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downloads\DA PROJECT\phonepe\"/>
    </mc:Choice>
  </mc:AlternateContent>
  <xr:revisionPtr revIDLastSave="0" documentId="8_{586E30CB-639E-40CC-AC19-85749E3DD47E}" xr6:coauthVersionLast="47" xr6:coauthVersionMax="47" xr10:uidLastSave="{00000000-0000-0000-0000-000000000000}"/>
  <bookViews>
    <workbookView xWindow="-108" yWindow="-108" windowWidth="23256" windowHeight="12456" activeTab="2" xr2:uid="{4FA5F52C-6F33-4CD7-A566-184B545C986C}"/>
  </bookViews>
  <sheets>
    <sheet name="Dashboard " sheetId="1" r:id="rId1"/>
    <sheet name="Raw" sheetId="3" r:id="rId2"/>
    <sheet name="Dataset" sheetId="2" r:id="rId3"/>
  </sheets>
  <definedNames>
    <definedName name="ExternalData_1" localSheetId="2" hidden="1">Dataset!$A$1:$H$2875</definedName>
    <definedName name="Slicer_quarter">#N/A</definedName>
    <definedName name="Slicer_state">#N/A</definedName>
    <definedName name="Slicer_transaction_type">#N/A</definedName>
    <definedName name="Slicer_year">#N/A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0" i="2" l="1"/>
  <c r="M20" i="2"/>
  <c r="N20" i="2" s="1"/>
  <c r="N19" i="2"/>
  <c r="L19" i="2"/>
  <c r="M19" i="2"/>
  <c r="M21" i="2"/>
  <c r="M18" i="2"/>
  <c r="K18" i="2"/>
  <c r="L20" i="2"/>
  <c r="L21" i="2"/>
  <c r="K19" i="2"/>
  <c r="K20" i="2"/>
  <c r="K21" i="2"/>
  <c r="K10" i="2"/>
  <c r="J10" i="2"/>
  <c r="J6" i="2"/>
  <c r="K6" i="2"/>
  <c r="N21" i="2" l="1"/>
  <c r="L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B6C949-6488-4CB7-B181-58C8BDD2CDC8}" keepAlive="1" name="Query - excel_use" description="Connection to the 'excel_use' query in the workbook." type="5" refreshedVersion="8" background="1" saveData="1">
    <dbPr connection="Provider=Microsoft.Mashup.OleDb.1;Data Source=$Workbook$;Location=excel_use;Extended Properties=&quot;&quot;" command="SELECT * FROM [excel_use]"/>
  </connection>
</connections>
</file>

<file path=xl/sharedStrings.xml><?xml version="1.0" encoding="utf-8"?>
<sst xmlns="http://schemas.openxmlformats.org/spreadsheetml/2006/main" count="5853" uniqueCount="70">
  <si>
    <t>state</t>
  </si>
  <si>
    <t>year</t>
  </si>
  <si>
    <t>quarter</t>
  </si>
  <si>
    <t>transaction_type</t>
  </si>
  <si>
    <t>txn_count</t>
  </si>
  <si>
    <t>txn_amount</t>
  </si>
  <si>
    <t>registered_users</t>
  </si>
  <si>
    <t>app_opens</t>
  </si>
  <si>
    <t>andaman-&amp;-nicobar-islands</t>
  </si>
  <si>
    <t>Recharge &amp; bill payments</t>
  </si>
  <si>
    <t>Peer-to-peer payments</t>
  </si>
  <si>
    <t>Merchant payments</t>
  </si>
  <si>
    <t>Financial Services</t>
  </si>
  <si>
    <t>Others</t>
  </si>
  <si>
    <t>andhra-pradesh</t>
  </si>
  <si>
    <t>arunachal-pradesh</t>
  </si>
  <si>
    <t>assam</t>
  </si>
  <si>
    <t>bihar</t>
  </si>
  <si>
    <t>chandigarh</t>
  </si>
  <si>
    <t>chhattisgarh</t>
  </si>
  <si>
    <t>dadra-&amp;-nagar-haveli-&amp;-daman-&amp;-diu</t>
  </si>
  <si>
    <t>delhi</t>
  </si>
  <si>
    <t>goa</t>
  </si>
  <si>
    <t>gujarat</t>
  </si>
  <si>
    <t>haryana</t>
  </si>
  <si>
    <t>himachal-pradesh</t>
  </si>
  <si>
    <t>jammu-&amp;-kashmir</t>
  </si>
  <si>
    <t>jharkhand</t>
  </si>
  <si>
    <t>karnataka</t>
  </si>
  <si>
    <t>kerala</t>
  </si>
  <si>
    <t>ladakh</t>
  </si>
  <si>
    <t>lakshadweep</t>
  </si>
  <si>
    <t>madhya-pradesh</t>
  </si>
  <si>
    <t>maharashtra</t>
  </si>
  <si>
    <t>manipur</t>
  </si>
  <si>
    <t>meghalaya</t>
  </si>
  <si>
    <t>mizoram</t>
  </si>
  <si>
    <t>nagaland</t>
  </si>
  <si>
    <t>odisha</t>
  </si>
  <si>
    <t>puducherry</t>
  </si>
  <si>
    <t>punjab</t>
  </si>
  <si>
    <t>rajasthan</t>
  </si>
  <si>
    <t>sikkim</t>
  </si>
  <si>
    <t>tamil-nadu</t>
  </si>
  <si>
    <t>telangana</t>
  </si>
  <si>
    <t>tripura</t>
  </si>
  <si>
    <t>uttar-pradesh</t>
  </si>
  <si>
    <t>uttarakhand</t>
  </si>
  <si>
    <t>west-bengal</t>
  </si>
  <si>
    <t>Total Transaction Amount</t>
  </si>
  <si>
    <t>Total Registered Users</t>
  </si>
  <si>
    <t>National Avg Transactions-per-User</t>
  </si>
  <si>
    <t>Latest Year QoQ Growth %</t>
  </si>
  <si>
    <t>Latest Year QoQ Growth % (Users)</t>
  </si>
  <si>
    <t>Avg App Opens per Registered User</t>
  </si>
  <si>
    <t>Grand Total</t>
  </si>
  <si>
    <t>Row Labels</t>
  </si>
  <si>
    <t>Sum of txn_amount</t>
  </si>
  <si>
    <t xml:space="preserve"> Transactions-per-User</t>
  </si>
  <si>
    <t>Sum of registered_users</t>
  </si>
  <si>
    <t>Sum of txn_count</t>
  </si>
  <si>
    <t>Sum of  Transactions-per-User</t>
  </si>
  <si>
    <t xml:space="preserve">YEAR </t>
  </si>
  <si>
    <t>Total Txn Amount</t>
  </si>
  <si>
    <t>Transaction Count</t>
  </si>
  <si>
    <t>YOY Amount  Growth %</t>
  </si>
  <si>
    <t>YOY transaction growth  Growth %</t>
  </si>
  <si>
    <t>Sum of YOY Amount  Growth %</t>
  </si>
  <si>
    <t>Sum of YOY transaction growth  Growth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</si>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</sst>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0]#,##0.00,,,&quot;B&quot;;[&gt;=1000000]#,##0.00,,&quot;M&quot;;#,##0"/>
    <numFmt numFmtId="165" formatCode="[&gt;=1000000000]&quot;₹&quot;#,##0.00,,,&quot;B&quot;;[&gt;=1000000]&quot;₹&quot;#,##0.00,,&quot;M&quot;;&quot;₹&quot;#,##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2" fontId="0" fillId="0" borderId="0" xfId="0" applyNumberForma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1" applyFont="1"/>
    <xf numFmtId="0" fontId="0" fillId="0" borderId="0" xfId="0" applyNumberFormat="1"/>
  </cellXfs>
  <cellStyles count="2">
    <cellStyle name="Normal" xfId="0" builtinId="0"/>
    <cellStyle name="Percent" xfId="1" builtinId="5"/>
  </cellStyles>
  <dxfs count="11">
    <dxf>
      <numFmt numFmtId="2" formatCode="0.00"/>
    </dxf>
    <dxf>
      <numFmt numFmtId="164" formatCode="[&gt;=1000000000]#,##0.00,,,&quot;B&quot;;[&gt;=1000000]#,##0.00,,&quot;M&quot;;#,##0"/>
    </dxf>
    <dxf>
      <numFmt numFmtId="14" formatCode="0.00%"/>
    </dxf>
    <dxf>
      <numFmt numFmtId="14" formatCode="0.00%"/>
    </dxf>
    <dxf>
      <numFmt numFmtId="165" formatCode="[&gt;=1000000000]&quot;₹&quot;#,##0.00,,,&quot;B&quot;;[&gt;=1000000]&quot;₹&quot;#,##0.00,,&quot;M&quot;;&quot;₹&quot;#,##0"/>
    </dxf>
    <dxf>
      <font>
        <b val="0"/>
        <i val="0"/>
        <strike val="0"/>
        <condense val="0"/>
        <extend val="0"/>
        <outline val="0"/>
        <shadow val="0"/>
        <u val="none"/>
        <vertAlign val="baseline"/>
        <sz val="11"/>
        <color theme="1"/>
        <name val="Calibri"/>
        <family val="2"/>
        <scheme val="minor"/>
      </font>
    </dxf>
    <dxf>
      <numFmt numFmtId="2" formatCode="0.00"/>
    </dxf>
    <dxf>
      <numFmt numFmtId="164" formatCode="[&gt;=1000000000]#,##0.00,,,&quot;B&quot;;[&gt;=1000000]#,##0.00,,&quot;M&quot;;#,##0"/>
    </dxf>
    <dxf>
      <numFmt numFmtId="165" formatCode="[&gt;=1000000000]&quot;₹&quot;#,##0.00,,,&quot;B&quot;;[&gt;=1000000]&quot;₹&quot;#,##0.00,,&quot;M&quot;;&quot;₹&quot;#,##0"/>
    </dxf>
    <dxf>
      <numFmt numFmtId="0" formatCode="General"/>
    </dxf>
    <dxf>
      <numFmt numFmtId="0" formatCode="General"/>
    </dxf>
  </dxfs>
  <tableStyles count="1" defaultTableStyle="TableStyleMedium2" defaultPivotStyle="PivotStyleLight16">
    <tableStyle name="Invisible" pivot="0" table="0" count="0" xr9:uid="{34294652-8BC4-4CDC-A23C-847F0973757E}"/>
  </tableStyles>
  <colors>
    <mruColors>
      <color rgb="FF4C1D95"/>
      <color rgb="FFF7F8FC"/>
      <color rgb="FFFFFFFF"/>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 project.xlsx]Raw!PivotTable3</c:name>
    <c:fmtId val="3"/>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Raw!$I$44</c:f>
              <c:strCache>
                <c:ptCount val="1"/>
                <c:pt idx="0">
                  <c:v>Sum of YOY Amount  Growth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Raw!$H$45:$H$49</c:f>
              <c:strCache>
                <c:ptCount val="4"/>
                <c:pt idx="0">
                  <c:v>2018</c:v>
                </c:pt>
                <c:pt idx="1">
                  <c:v>2019</c:v>
                </c:pt>
                <c:pt idx="2">
                  <c:v>2020</c:v>
                </c:pt>
                <c:pt idx="3">
                  <c:v>2021</c:v>
                </c:pt>
              </c:strCache>
            </c:strRef>
          </c:cat>
          <c:val>
            <c:numRef>
              <c:f>Raw!$I$45:$I$49</c:f>
              <c:numCache>
                <c:formatCode>General</c:formatCode>
                <c:ptCount val="4"/>
                <c:pt idx="1">
                  <c:v>2.8672289432305544</c:v>
                </c:pt>
                <c:pt idx="2">
                  <c:v>1.3326253698417045</c:v>
                </c:pt>
                <c:pt idx="3">
                  <c:v>1.3631115985883562</c:v>
                </c:pt>
              </c:numCache>
            </c:numRef>
          </c:val>
          <c:smooth val="0"/>
          <c:extLst>
            <c:ext xmlns:c16="http://schemas.microsoft.com/office/drawing/2014/chart" uri="{C3380CC4-5D6E-409C-BE32-E72D297353CC}">
              <c16:uniqueId val="{00000000-F156-4A35-BFC3-BB442DCF2A13}"/>
            </c:ext>
          </c:extLst>
        </c:ser>
        <c:ser>
          <c:idx val="1"/>
          <c:order val="1"/>
          <c:tx>
            <c:strRef>
              <c:f>Raw!$J$44</c:f>
              <c:strCache>
                <c:ptCount val="1"/>
                <c:pt idx="0">
                  <c:v>Sum of YOY transaction growth  Growth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Raw!$H$45:$H$49</c:f>
              <c:strCache>
                <c:ptCount val="4"/>
                <c:pt idx="0">
                  <c:v>2018</c:v>
                </c:pt>
                <c:pt idx="1">
                  <c:v>2019</c:v>
                </c:pt>
                <c:pt idx="2">
                  <c:v>2020</c:v>
                </c:pt>
                <c:pt idx="3">
                  <c:v>2021</c:v>
                </c:pt>
              </c:strCache>
            </c:strRef>
          </c:cat>
          <c:val>
            <c:numRef>
              <c:f>Raw!$J$45:$J$49</c:f>
              <c:numCache>
                <c:formatCode>General</c:formatCode>
                <c:ptCount val="4"/>
                <c:pt idx="1">
                  <c:v>2.7769099357961995</c:v>
                </c:pt>
                <c:pt idx="2">
                  <c:v>0.95448834491879331</c:v>
                </c:pt>
                <c:pt idx="3">
                  <c:v>1.4189227890106255</c:v>
                </c:pt>
              </c:numCache>
            </c:numRef>
          </c:val>
          <c:smooth val="0"/>
          <c:extLst>
            <c:ext xmlns:c16="http://schemas.microsoft.com/office/drawing/2014/chart" uri="{C3380CC4-5D6E-409C-BE32-E72D297353CC}">
              <c16:uniqueId val="{00000001-F156-4A35-BFC3-BB442DCF2A13}"/>
            </c:ext>
          </c:extLst>
        </c:ser>
        <c:dLbls>
          <c:showLegendKey val="0"/>
          <c:showVal val="0"/>
          <c:showCatName val="0"/>
          <c:showSerName val="0"/>
          <c:showPercent val="0"/>
          <c:showBubbleSize val="0"/>
        </c:dLbls>
        <c:marker val="1"/>
        <c:smooth val="0"/>
        <c:axId val="903315375"/>
        <c:axId val="903315855"/>
      </c:lineChart>
      <c:catAx>
        <c:axId val="90331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15855"/>
        <c:crosses val="autoZero"/>
        <c:auto val="1"/>
        <c:lblAlgn val="ctr"/>
        <c:lblOffset val="100"/>
        <c:noMultiLvlLbl val="0"/>
      </c:catAx>
      <c:valAx>
        <c:axId val="90331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15375"/>
        <c:crosses val="autoZero"/>
        <c:crossBetween val="between"/>
      </c:valAx>
      <c:spPr>
        <a:noFill/>
        <a:ln>
          <a:noFill/>
        </a:ln>
        <a:effectLst/>
      </c:spPr>
    </c:plotArea>
    <c:legend>
      <c:legendPos val="r"/>
      <c:layout>
        <c:manualLayout>
          <c:xMode val="edge"/>
          <c:yMode val="edge"/>
          <c:x val="0.65759580052493438"/>
          <c:y val="0.32557820742704191"/>
          <c:w val="0.32573753280839896"/>
          <c:h val="0.538611912372339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 project.xlsx]Raw!PivotTable4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p>
          <a:p>
            <a:pPr>
              <a:defRPr/>
            </a:pPr>
            <a:r>
              <a:rPr lang="en-US" baseline="0"/>
              <a:t> Count By Payment Type</a:t>
            </a:r>
            <a:endParaRPr lang="en-US"/>
          </a:p>
        </c:rich>
      </c:tx>
      <c:layout>
        <c:manualLayout>
          <c:xMode val="edge"/>
          <c:yMode val="edge"/>
          <c:x val="0.3725580947596735"/>
          <c:y val="4.6310316979608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layout>
            <c:manualLayout>
              <c:x val="7.9647369112562112E-3"/>
              <c:y val="0"/>
            </c:manualLayout>
          </c:layout>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5.6541792761935585E-2"/>
          <c:y val="0.19126224005653139"/>
          <c:w val="0.38601285583794831"/>
          <c:h val="0.77668647789218659"/>
        </c:manualLayout>
      </c:layout>
      <c:doughnutChart>
        <c:varyColors val="1"/>
        <c:ser>
          <c:idx val="0"/>
          <c:order val="0"/>
          <c:tx>
            <c:strRef>
              <c:f>Raw!$H$6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5C-4414-9EBC-2F0FB267EE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5C-4414-9EBC-2F0FB267EE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5C-4414-9EBC-2F0FB267EE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5C-4414-9EBC-2F0FB267EE8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5C-4414-9EBC-2F0FB267EE86}"/>
              </c:ext>
            </c:extLst>
          </c:dPt>
          <c:dLbls>
            <c:dLbl>
              <c:idx val="4"/>
              <c:layout>
                <c:manualLayout>
                  <c:x val="7.9647369112562112E-3"/>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05C-4414-9EBC-2F0FB267EE86}"/>
                </c:ext>
              </c:extLst>
            </c:dLbl>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Raw!$G$7:$G$12</c:f>
              <c:strCache>
                <c:ptCount val="5"/>
                <c:pt idx="0">
                  <c:v>Financial Services</c:v>
                </c:pt>
                <c:pt idx="1">
                  <c:v>Merchant payments</c:v>
                </c:pt>
                <c:pt idx="2">
                  <c:v>Others</c:v>
                </c:pt>
                <c:pt idx="3">
                  <c:v>Peer-to-peer payments</c:v>
                </c:pt>
                <c:pt idx="4">
                  <c:v>Recharge &amp; bill payments</c:v>
                </c:pt>
              </c:strCache>
            </c:strRef>
          </c:cat>
          <c:val>
            <c:numRef>
              <c:f>Raw!$H$7:$H$12</c:f>
              <c:numCache>
                <c:formatCode>General</c:formatCode>
                <c:ptCount val="5"/>
                <c:pt idx="0">
                  <c:v>55250046</c:v>
                </c:pt>
                <c:pt idx="1">
                  <c:v>12428536543</c:v>
                </c:pt>
                <c:pt idx="2">
                  <c:v>146085055</c:v>
                </c:pt>
                <c:pt idx="3">
                  <c:v>14094054770</c:v>
                </c:pt>
                <c:pt idx="4">
                  <c:v>5698507172</c:v>
                </c:pt>
              </c:numCache>
            </c:numRef>
          </c:val>
          <c:extLst>
            <c:ext xmlns:c16="http://schemas.microsoft.com/office/drawing/2014/chart" uri="{C3380CC4-5D6E-409C-BE32-E72D297353CC}">
              <c16:uniqueId val="{0000000A-E05C-4414-9EBC-2F0FB267EE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9073503546659708"/>
          <c:y val="0.39218970825762162"/>
          <c:w val="0.48463385884918336"/>
          <c:h val="0.571141858469614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 project.xlsx]Raw!PivotTable9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5 State By Transaction Per-User</a:t>
            </a:r>
          </a:p>
        </c:rich>
      </c:tx>
      <c:layout>
        <c:manualLayout>
          <c:xMode val="edge"/>
          <c:yMode val="edge"/>
          <c:x val="0.35480628321004754"/>
          <c:y val="5.021872265966754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23497641003624"/>
          <c:y val="0.19162613006707496"/>
          <c:w val="0.58484536251429386"/>
          <c:h val="0.67357188684747726"/>
        </c:manualLayout>
      </c:layout>
      <c:barChart>
        <c:barDir val="bar"/>
        <c:grouping val="clustered"/>
        <c:varyColors val="0"/>
        <c:ser>
          <c:idx val="0"/>
          <c:order val="0"/>
          <c:tx>
            <c:strRef>
              <c:f>Raw!$H$23</c:f>
              <c:strCache>
                <c:ptCount val="1"/>
                <c:pt idx="0">
                  <c:v>Total</c:v>
                </c:pt>
              </c:strCache>
            </c:strRef>
          </c:tx>
          <c:spPr>
            <a:solidFill>
              <a:schemeClr val="accent1"/>
            </a:solidFill>
            <a:ln>
              <a:noFill/>
            </a:ln>
            <a:effectLst/>
          </c:spPr>
          <c:invertIfNegative val="0"/>
          <c:cat>
            <c:strRef>
              <c:f>Raw!$G$24:$G$29</c:f>
              <c:strCache>
                <c:ptCount val="5"/>
                <c:pt idx="0">
                  <c:v>andhra-pradesh</c:v>
                </c:pt>
                <c:pt idx="1">
                  <c:v>delhi</c:v>
                </c:pt>
                <c:pt idx="2">
                  <c:v>karnataka</c:v>
                </c:pt>
                <c:pt idx="3">
                  <c:v>rajasthan</c:v>
                </c:pt>
                <c:pt idx="4">
                  <c:v>telangana</c:v>
                </c:pt>
              </c:strCache>
            </c:strRef>
          </c:cat>
          <c:val>
            <c:numRef>
              <c:f>Raw!$H$24:$H$29</c:f>
              <c:numCache>
                <c:formatCode>General</c:formatCode>
                <c:ptCount val="5"/>
                <c:pt idx="0">
                  <c:v>32936.046804342681</c:v>
                </c:pt>
                <c:pt idx="1">
                  <c:v>25213.778220087213</c:v>
                </c:pt>
                <c:pt idx="2">
                  <c:v>30017.47232634274</c:v>
                </c:pt>
                <c:pt idx="3">
                  <c:v>24336.744450935923</c:v>
                </c:pt>
                <c:pt idx="4">
                  <c:v>42080.338982109832</c:v>
                </c:pt>
              </c:numCache>
            </c:numRef>
          </c:val>
          <c:extLst>
            <c:ext xmlns:c16="http://schemas.microsoft.com/office/drawing/2014/chart" uri="{C3380CC4-5D6E-409C-BE32-E72D297353CC}">
              <c16:uniqueId val="{00000000-C023-43A9-8423-EF85B81863ED}"/>
            </c:ext>
          </c:extLst>
        </c:ser>
        <c:dLbls>
          <c:showLegendKey val="0"/>
          <c:showVal val="0"/>
          <c:showCatName val="0"/>
          <c:showSerName val="0"/>
          <c:showPercent val="0"/>
          <c:showBubbleSize val="0"/>
        </c:dLbls>
        <c:gapWidth val="182"/>
        <c:axId val="201203567"/>
        <c:axId val="201204047"/>
      </c:barChart>
      <c:catAx>
        <c:axId val="20120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04047"/>
        <c:crosses val="autoZero"/>
        <c:auto val="1"/>
        <c:lblAlgn val="ctr"/>
        <c:lblOffset val="100"/>
        <c:noMultiLvlLbl val="0"/>
      </c:catAx>
      <c:valAx>
        <c:axId val="201204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0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 project.xlsx]Raw!PivotTable1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State By Transaction Amount</a:t>
            </a:r>
            <a:endParaRPr lang="en-US"/>
          </a:p>
        </c:rich>
      </c:tx>
      <c:layout>
        <c:manualLayout>
          <c:xMode val="edge"/>
          <c:yMode val="edge"/>
          <c:x val="0.26071823006791955"/>
          <c:y val="5.13600572655690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39799326617392"/>
          <c:y val="0.22045633500357908"/>
          <c:w val="0.74358073213591058"/>
          <c:h val="0.45576890956812216"/>
        </c:manualLayout>
      </c:layout>
      <c:barChart>
        <c:barDir val="col"/>
        <c:grouping val="clustered"/>
        <c:varyColors val="0"/>
        <c:ser>
          <c:idx val="0"/>
          <c:order val="0"/>
          <c:tx>
            <c:strRef>
              <c:f>Raw!$B$3</c:f>
              <c:strCache>
                <c:ptCount val="1"/>
                <c:pt idx="0">
                  <c:v>Total</c:v>
                </c:pt>
              </c:strCache>
            </c:strRef>
          </c:tx>
          <c:spPr>
            <a:solidFill>
              <a:schemeClr val="accent1"/>
            </a:solidFill>
            <a:ln>
              <a:noFill/>
            </a:ln>
            <a:effectLst/>
          </c:spPr>
          <c:invertIfNegative val="0"/>
          <c:cat>
            <c:strRef>
              <c:f>Raw!$A$4:$A$9</c:f>
              <c:strCache>
                <c:ptCount val="5"/>
                <c:pt idx="0">
                  <c:v>andhra-pradesh</c:v>
                </c:pt>
                <c:pt idx="1">
                  <c:v>karnataka</c:v>
                </c:pt>
                <c:pt idx="2">
                  <c:v>maharashtra</c:v>
                </c:pt>
                <c:pt idx="3">
                  <c:v>rajasthan</c:v>
                </c:pt>
                <c:pt idx="4">
                  <c:v>telangana</c:v>
                </c:pt>
              </c:strCache>
            </c:strRef>
          </c:cat>
          <c:val>
            <c:numRef>
              <c:f>Raw!$B$4:$B$9</c:f>
              <c:numCache>
                <c:formatCode>General</c:formatCode>
                <c:ptCount val="5"/>
                <c:pt idx="0">
                  <c:v>6000774621676.2275</c:v>
                </c:pt>
                <c:pt idx="1">
                  <c:v>6870101942415.5928</c:v>
                </c:pt>
                <c:pt idx="2">
                  <c:v>6925611031627.9727</c:v>
                </c:pt>
                <c:pt idx="3">
                  <c:v>4240030098367.7822</c:v>
                </c:pt>
                <c:pt idx="4">
                  <c:v>7216293195531.0479</c:v>
                </c:pt>
              </c:numCache>
            </c:numRef>
          </c:val>
          <c:extLst>
            <c:ext xmlns:c16="http://schemas.microsoft.com/office/drawing/2014/chart" uri="{C3380CC4-5D6E-409C-BE32-E72D297353CC}">
              <c16:uniqueId val="{00000000-29EB-4D3B-B784-FC53122D803D}"/>
            </c:ext>
          </c:extLst>
        </c:ser>
        <c:dLbls>
          <c:showLegendKey val="0"/>
          <c:showVal val="0"/>
          <c:showCatName val="0"/>
          <c:showSerName val="0"/>
          <c:showPercent val="0"/>
          <c:showBubbleSize val="0"/>
        </c:dLbls>
        <c:gapWidth val="219"/>
        <c:overlap val="-27"/>
        <c:axId val="285036448"/>
        <c:axId val="285033088"/>
      </c:barChart>
      <c:catAx>
        <c:axId val="28503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33088"/>
        <c:crosses val="autoZero"/>
        <c:auto val="1"/>
        <c:lblAlgn val="ctr"/>
        <c:lblOffset val="100"/>
        <c:noMultiLvlLbl val="0"/>
      </c:catAx>
      <c:valAx>
        <c:axId val="28503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3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 project.xlsx]Raw!PivotTable16</c:name>
    <c:fmtId val="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101514734545537"/>
          <c:y val="0.11674192384719682"/>
          <c:w val="0.52067475054685353"/>
          <c:h val="0.7158152031943873"/>
        </c:manualLayout>
      </c:layout>
      <c:bar3DChart>
        <c:barDir val="col"/>
        <c:grouping val="percentStacked"/>
        <c:varyColors val="0"/>
        <c:ser>
          <c:idx val="0"/>
          <c:order val="0"/>
          <c:tx>
            <c:strRef>
              <c:f>Raw!$B$44:$B$45</c:f>
              <c:strCache>
                <c:ptCount val="1"/>
                <c:pt idx="0">
                  <c:v>Financial Services</c:v>
                </c:pt>
              </c:strCache>
            </c:strRef>
          </c:tx>
          <c:spPr>
            <a:solidFill>
              <a:schemeClr val="accent1"/>
            </a:solidFill>
            <a:ln>
              <a:noFill/>
            </a:ln>
            <a:effectLst/>
            <a:sp3d/>
          </c:spPr>
          <c:invertIfNegative val="0"/>
          <c:cat>
            <c:strRef>
              <c:f>Raw!$A$46:$A$49</c:f>
              <c:strCache>
                <c:ptCount val="4"/>
                <c:pt idx="0">
                  <c:v>2018</c:v>
                </c:pt>
                <c:pt idx="1">
                  <c:v>2019</c:v>
                </c:pt>
                <c:pt idx="2">
                  <c:v>2020</c:v>
                </c:pt>
                <c:pt idx="3">
                  <c:v>2021</c:v>
                </c:pt>
              </c:strCache>
            </c:strRef>
          </c:cat>
          <c:val>
            <c:numRef>
              <c:f>Raw!$B$46:$B$49</c:f>
              <c:numCache>
                <c:formatCode>General</c:formatCode>
                <c:ptCount val="4"/>
                <c:pt idx="0">
                  <c:v>20384145</c:v>
                </c:pt>
                <c:pt idx="1">
                  <c:v>12624867</c:v>
                </c:pt>
                <c:pt idx="2">
                  <c:v>8514716</c:v>
                </c:pt>
                <c:pt idx="3">
                  <c:v>13726318</c:v>
                </c:pt>
              </c:numCache>
            </c:numRef>
          </c:val>
          <c:extLst>
            <c:ext xmlns:c16="http://schemas.microsoft.com/office/drawing/2014/chart" uri="{C3380CC4-5D6E-409C-BE32-E72D297353CC}">
              <c16:uniqueId val="{00000000-2CFF-4F4C-878C-11ADBF9091A8}"/>
            </c:ext>
          </c:extLst>
        </c:ser>
        <c:ser>
          <c:idx val="1"/>
          <c:order val="1"/>
          <c:tx>
            <c:strRef>
              <c:f>Raw!$C$44:$C$45</c:f>
              <c:strCache>
                <c:ptCount val="1"/>
                <c:pt idx="0">
                  <c:v>Merchant payments</c:v>
                </c:pt>
              </c:strCache>
            </c:strRef>
          </c:tx>
          <c:spPr>
            <a:solidFill>
              <a:schemeClr val="accent2"/>
            </a:solidFill>
            <a:ln>
              <a:noFill/>
            </a:ln>
            <a:effectLst/>
            <a:sp3d/>
          </c:spPr>
          <c:invertIfNegative val="0"/>
          <c:cat>
            <c:strRef>
              <c:f>Raw!$A$46:$A$49</c:f>
              <c:strCache>
                <c:ptCount val="4"/>
                <c:pt idx="0">
                  <c:v>2018</c:v>
                </c:pt>
                <c:pt idx="1">
                  <c:v>2019</c:v>
                </c:pt>
                <c:pt idx="2">
                  <c:v>2020</c:v>
                </c:pt>
                <c:pt idx="3">
                  <c:v>2021</c:v>
                </c:pt>
              </c:strCache>
            </c:strRef>
          </c:cat>
          <c:val>
            <c:numRef>
              <c:f>Raw!$C$46:$C$49</c:f>
              <c:numCache>
                <c:formatCode>General</c:formatCode>
                <c:ptCount val="4"/>
                <c:pt idx="0">
                  <c:v>112656898</c:v>
                </c:pt>
                <c:pt idx="1">
                  <c:v>1149862129</c:v>
                </c:pt>
                <c:pt idx="2">
                  <c:v>2729138477</c:v>
                </c:pt>
                <c:pt idx="3">
                  <c:v>8436879039</c:v>
                </c:pt>
              </c:numCache>
            </c:numRef>
          </c:val>
          <c:extLst>
            <c:ext xmlns:c16="http://schemas.microsoft.com/office/drawing/2014/chart" uri="{C3380CC4-5D6E-409C-BE32-E72D297353CC}">
              <c16:uniqueId val="{00000001-2CFF-4F4C-878C-11ADBF9091A8}"/>
            </c:ext>
          </c:extLst>
        </c:ser>
        <c:ser>
          <c:idx val="2"/>
          <c:order val="2"/>
          <c:tx>
            <c:strRef>
              <c:f>Raw!$D$44:$D$45</c:f>
              <c:strCache>
                <c:ptCount val="1"/>
                <c:pt idx="0">
                  <c:v>Others</c:v>
                </c:pt>
              </c:strCache>
            </c:strRef>
          </c:tx>
          <c:spPr>
            <a:solidFill>
              <a:schemeClr val="accent3"/>
            </a:solidFill>
            <a:ln>
              <a:noFill/>
            </a:ln>
            <a:effectLst/>
            <a:sp3d/>
          </c:spPr>
          <c:invertIfNegative val="0"/>
          <c:cat>
            <c:strRef>
              <c:f>Raw!$A$46:$A$49</c:f>
              <c:strCache>
                <c:ptCount val="4"/>
                <c:pt idx="0">
                  <c:v>2018</c:v>
                </c:pt>
                <c:pt idx="1">
                  <c:v>2019</c:v>
                </c:pt>
                <c:pt idx="2">
                  <c:v>2020</c:v>
                </c:pt>
                <c:pt idx="3">
                  <c:v>2021</c:v>
                </c:pt>
              </c:strCache>
            </c:strRef>
          </c:cat>
          <c:val>
            <c:numRef>
              <c:f>Raw!$D$46:$D$49</c:f>
              <c:numCache>
                <c:formatCode>General</c:formatCode>
                <c:ptCount val="4"/>
                <c:pt idx="0">
                  <c:v>24575693</c:v>
                </c:pt>
                <c:pt idx="1">
                  <c:v>46571025</c:v>
                </c:pt>
                <c:pt idx="2">
                  <c:v>28904189</c:v>
                </c:pt>
                <c:pt idx="3">
                  <c:v>46034148</c:v>
                </c:pt>
              </c:numCache>
            </c:numRef>
          </c:val>
          <c:extLst>
            <c:ext xmlns:c16="http://schemas.microsoft.com/office/drawing/2014/chart" uri="{C3380CC4-5D6E-409C-BE32-E72D297353CC}">
              <c16:uniqueId val="{00000002-2CFF-4F4C-878C-11ADBF9091A8}"/>
            </c:ext>
          </c:extLst>
        </c:ser>
        <c:ser>
          <c:idx val="3"/>
          <c:order val="3"/>
          <c:tx>
            <c:strRef>
              <c:f>Raw!$E$44:$E$45</c:f>
              <c:strCache>
                <c:ptCount val="1"/>
                <c:pt idx="0">
                  <c:v>Peer-to-peer payments</c:v>
                </c:pt>
              </c:strCache>
            </c:strRef>
          </c:tx>
          <c:spPr>
            <a:solidFill>
              <a:schemeClr val="accent4"/>
            </a:solidFill>
            <a:ln>
              <a:noFill/>
            </a:ln>
            <a:effectLst/>
            <a:sp3d/>
          </c:spPr>
          <c:invertIfNegative val="0"/>
          <c:cat>
            <c:strRef>
              <c:f>Raw!$A$46:$A$49</c:f>
              <c:strCache>
                <c:ptCount val="4"/>
                <c:pt idx="0">
                  <c:v>2018</c:v>
                </c:pt>
                <c:pt idx="1">
                  <c:v>2019</c:v>
                </c:pt>
                <c:pt idx="2">
                  <c:v>2020</c:v>
                </c:pt>
                <c:pt idx="3">
                  <c:v>2021</c:v>
                </c:pt>
              </c:strCache>
            </c:strRef>
          </c:cat>
          <c:val>
            <c:numRef>
              <c:f>Raw!$E$46:$E$49</c:f>
              <c:numCache>
                <c:formatCode>General</c:formatCode>
                <c:ptCount val="4"/>
                <c:pt idx="0">
                  <c:v>523796208</c:v>
                </c:pt>
                <c:pt idx="1">
                  <c:v>1954956507</c:v>
                </c:pt>
                <c:pt idx="2">
                  <c:v>3491324361</c:v>
                </c:pt>
                <c:pt idx="3">
                  <c:v>8123977694</c:v>
                </c:pt>
              </c:numCache>
            </c:numRef>
          </c:val>
          <c:extLst>
            <c:ext xmlns:c16="http://schemas.microsoft.com/office/drawing/2014/chart" uri="{C3380CC4-5D6E-409C-BE32-E72D297353CC}">
              <c16:uniqueId val="{00000003-2CFF-4F4C-878C-11ADBF9091A8}"/>
            </c:ext>
          </c:extLst>
        </c:ser>
        <c:ser>
          <c:idx val="4"/>
          <c:order val="4"/>
          <c:tx>
            <c:strRef>
              <c:f>Raw!$F$44:$F$45</c:f>
              <c:strCache>
                <c:ptCount val="1"/>
                <c:pt idx="0">
                  <c:v>Recharge &amp; bill payments</c:v>
                </c:pt>
              </c:strCache>
            </c:strRef>
          </c:tx>
          <c:spPr>
            <a:solidFill>
              <a:schemeClr val="accent5"/>
            </a:solidFill>
            <a:ln>
              <a:noFill/>
            </a:ln>
            <a:effectLst/>
            <a:sp3d/>
          </c:spPr>
          <c:invertIfNegative val="0"/>
          <c:cat>
            <c:strRef>
              <c:f>Raw!$A$46:$A$49</c:f>
              <c:strCache>
                <c:ptCount val="4"/>
                <c:pt idx="0">
                  <c:v>2018</c:v>
                </c:pt>
                <c:pt idx="1">
                  <c:v>2019</c:v>
                </c:pt>
                <c:pt idx="2">
                  <c:v>2020</c:v>
                </c:pt>
                <c:pt idx="3">
                  <c:v>2021</c:v>
                </c:pt>
              </c:strCache>
            </c:strRef>
          </c:cat>
          <c:val>
            <c:numRef>
              <c:f>Raw!$F$46:$F$49</c:f>
              <c:numCache>
                <c:formatCode>General</c:formatCode>
                <c:ptCount val="4"/>
                <c:pt idx="0">
                  <c:v>398789466</c:v>
                </c:pt>
                <c:pt idx="1">
                  <c:v>915812687</c:v>
                </c:pt>
                <c:pt idx="2">
                  <c:v>1716092998</c:v>
                </c:pt>
                <c:pt idx="3">
                  <c:v>2667812021</c:v>
                </c:pt>
              </c:numCache>
            </c:numRef>
          </c:val>
          <c:extLst>
            <c:ext xmlns:c16="http://schemas.microsoft.com/office/drawing/2014/chart" uri="{C3380CC4-5D6E-409C-BE32-E72D297353CC}">
              <c16:uniqueId val="{00000004-2CFF-4F4C-878C-11ADBF9091A8}"/>
            </c:ext>
          </c:extLst>
        </c:ser>
        <c:dLbls>
          <c:showLegendKey val="0"/>
          <c:showVal val="0"/>
          <c:showCatName val="0"/>
          <c:showSerName val="0"/>
          <c:showPercent val="0"/>
          <c:showBubbleSize val="0"/>
        </c:dLbls>
        <c:gapWidth val="150"/>
        <c:shape val="box"/>
        <c:axId val="903322095"/>
        <c:axId val="903324495"/>
        <c:axId val="0"/>
      </c:bar3DChart>
      <c:catAx>
        <c:axId val="903322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24495"/>
        <c:crosses val="autoZero"/>
        <c:auto val="1"/>
        <c:lblAlgn val="ctr"/>
        <c:lblOffset val="100"/>
        <c:noMultiLvlLbl val="0"/>
      </c:catAx>
      <c:valAx>
        <c:axId val="9033244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22095"/>
        <c:crosses val="autoZero"/>
        <c:crossBetween val="between"/>
      </c:valAx>
      <c:spPr>
        <a:noFill/>
        <a:ln>
          <a:noFill/>
        </a:ln>
        <a:effectLst/>
      </c:spPr>
    </c:plotArea>
    <c:legend>
      <c:legendPos val="r"/>
      <c:layout>
        <c:manualLayout>
          <c:xMode val="edge"/>
          <c:yMode val="edge"/>
          <c:x val="0.65568467571327382"/>
          <c:y val="8.4696048065081908E-2"/>
          <c:w val="0.33230487992865609"/>
          <c:h val="0.735820552051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Raw!$C$81</c:f>
              <c:strCache>
                <c:ptCount val="1"/>
                <c:pt idx="0">
                  <c:v>Sum of txn_count</c:v>
                </c:pt>
              </c:strCache>
            </c:strRef>
          </c:tx>
          <c:spPr>
            <a:ln w="19050" cap="rnd">
              <a:noFill/>
              <a:round/>
            </a:ln>
            <a:effectLst/>
          </c:spPr>
          <c:marker>
            <c:symbol val="circle"/>
            <c:size val="5"/>
            <c:spPr>
              <a:solidFill>
                <a:schemeClr val="accent1"/>
              </a:solidFill>
              <a:ln w="9525">
                <a:solidFill>
                  <a:schemeClr val="accent1"/>
                </a:solidFill>
              </a:ln>
              <a:effectLst/>
            </c:spPr>
          </c:marker>
          <c:xVal>
            <c:numRef>
              <c:f>Raw!$B$82:$B$117</c:f>
              <c:numCache>
                <c:formatCode>General</c:formatCode>
                <c:ptCount val="36"/>
                <c:pt idx="0">
                  <c:v>30093690</c:v>
                </c:pt>
                <c:pt idx="1">
                  <c:v>11085628620</c:v>
                </c:pt>
                <c:pt idx="2">
                  <c:v>135862705</c:v>
                </c:pt>
                <c:pt idx="3">
                  <c:v>1924385210</c:v>
                </c:pt>
                <c:pt idx="4">
                  <c:v>8182983160</c:v>
                </c:pt>
                <c:pt idx="5">
                  <c:v>263671155</c:v>
                </c:pt>
                <c:pt idx="6">
                  <c:v>2652097415</c:v>
                </c:pt>
                <c:pt idx="7">
                  <c:v>190957195</c:v>
                </c:pt>
                <c:pt idx="8">
                  <c:v>6607691310</c:v>
                </c:pt>
                <c:pt idx="9">
                  <c:v>335827580</c:v>
                </c:pt>
                <c:pt idx="10">
                  <c:v>8880629670</c:v>
                </c:pt>
                <c:pt idx="11">
                  <c:v>5995324170</c:v>
                </c:pt>
                <c:pt idx="12">
                  <c:v>949759415</c:v>
                </c:pt>
                <c:pt idx="13">
                  <c:v>691520940</c:v>
                </c:pt>
                <c:pt idx="14">
                  <c:v>3163419655</c:v>
                </c:pt>
                <c:pt idx="15">
                  <c:v>14309483705</c:v>
                </c:pt>
                <c:pt idx="16">
                  <c:v>3722965235</c:v>
                </c:pt>
                <c:pt idx="17">
                  <c:v>41145060</c:v>
                </c:pt>
                <c:pt idx="18">
                  <c:v>2378959</c:v>
                </c:pt>
                <c:pt idx="19">
                  <c:v>8855346445</c:v>
                </c:pt>
                <c:pt idx="20">
                  <c:v>22211605955</c:v>
                </c:pt>
                <c:pt idx="21">
                  <c:v>168697595</c:v>
                </c:pt>
                <c:pt idx="22">
                  <c:v>104489275</c:v>
                </c:pt>
                <c:pt idx="23">
                  <c:v>44806520</c:v>
                </c:pt>
                <c:pt idx="24">
                  <c:v>106819570</c:v>
                </c:pt>
                <c:pt idx="25">
                  <c:v>5635070540</c:v>
                </c:pt>
                <c:pt idx="26">
                  <c:v>198271590</c:v>
                </c:pt>
                <c:pt idx="27">
                  <c:v>3251969930</c:v>
                </c:pt>
                <c:pt idx="28">
                  <c:v>10573570205</c:v>
                </c:pt>
                <c:pt idx="29">
                  <c:v>91371445</c:v>
                </c:pt>
                <c:pt idx="30">
                  <c:v>9459890440</c:v>
                </c:pt>
                <c:pt idx="31">
                  <c:v>10436642755</c:v>
                </c:pt>
                <c:pt idx="32">
                  <c:v>259478780</c:v>
                </c:pt>
                <c:pt idx="33">
                  <c:v>1676744905</c:v>
                </c:pt>
                <c:pt idx="34">
                  <c:v>17433346755</c:v>
                </c:pt>
                <c:pt idx="35">
                  <c:v>10131549340</c:v>
                </c:pt>
              </c:numCache>
            </c:numRef>
          </c:xVal>
          <c:yVal>
            <c:numRef>
              <c:f>Raw!$C$82:$C$117</c:f>
              <c:numCache>
                <c:formatCode>General</c:formatCode>
                <c:ptCount val="36"/>
                <c:pt idx="0">
                  <c:v>2309452</c:v>
                </c:pt>
                <c:pt idx="1">
                  <c:v>2735377722</c:v>
                </c:pt>
                <c:pt idx="2">
                  <c:v>12341364</c:v>
                </c:pt>
                <c:pt idx="3">
                  <c:v>203102783</c:v>
                </c:pt>
                <c:pt idx="4">
                  <c:v>1146441947</c:v>
                </c:pt>
                <c:pt idx="5">
                  <c:v>40064823</c:v>
                </c:pt>
                <c:pt idx="6">
                  <c:v>390863981</c:v>
                </c:pt>
                <c:pt idx="7">
                  <c:v>19748740</c:v>
                </c:pt>
                <c:pt idx="8">
                  <c:v>1542475091</c:v>
                </c:pt>
                <c:pt idx="9">
                  <c:v>42038126</c:v>
                </c:pt>
                <c:pt idx="10">
                  <c:v>945228555</c:v>
                </c:pt>
                <c:pt idx="11">
                  <c:v>877898078</c:v>
                </c:pt>
                <c:pt idx="12">
                  <c:v>79718476</c:v>
                </c:pt>
                <c:pt idx="13">
                  <c:v>74994997</c:v>
                </c:pt>
                <c:pt idx="14">
                  <c:v>442075731</c:v>
                </c:pt>
                <c:pt idx="15">
                  <c:v>4666066510</c:v>
                </c:pt>
                <c:pt idx="16">
                  <c:v>368489883</c:v>
                </c:pt>
                <c:pt idx="17">
                  <c:v>3101283</c:v>
                </c:pt>
                <c:pt idx="18">
                  <c:v>100450</c:v>
                </c:pt>
                <c:pt idx="19">
                  <c:v>1816005146</c:v>
                </c:pt>
                <c:pt idx="20">
                  <c:v>4637275716</c:v>
                </c:pt>
                <c:pt idx="21">
                  <c:v>20946878</c:v>
                </c:pt>
                <c:pt idx="22">
                  <c:v>8186837</c:v>
                </c:pt>
                <c:pt idx="23">
                  <c:v>3194634</c:v>
                </c:pt>
                <c:pt idx="24">
                  <c:v>8853252</c:v>
                </c:pt>
                <c:pt idx="25">
                  <c:v>1151767186</c:v>
                </c:pt>
                <c:pt idx="26">
                  <c:v>28782922</c:v>
                </c:pt>
                <c:pt idx="27">
                  <c:v>276229753</c:v>
                </c:pt>
                <c:pt idx="28">
                  <c:v>2270825280</c:v>
                </c:pt>
                <c:pt idx="29">
                  <c:v>9228887</c:v>
                </c:pt>
                <c:pt idx="30">
                  <c:v>1263913253</c:v>
                </c:pt>
                <c:pt idx="31">
                  <c:v>3746306784</c:v>
                </c:pt>
                <c:pt idx="32">
                  <c:v>16620045</c:v>
                </c:pt>
                <c:pt idx="33">
                  <c:v>195414726</c:v>
                </c:pt>
                <c:pt idx="34">
                  <c:v>2027415706</c:v>
                </c:pt>
                <c:pt idx="35">
                  <c:v>1349028589</c:v>
                </c:pt>
              </c:numCache>
            </c:numRef>
          </c:yVal>
          <c:smooth val="0"/>
          <c:extLst>
            <c:ext xmlns:c16="http://schemas.microsoft.com/office/drawing/2014/chart" uri="{C3380CC4-5D6E-409C-BE32-E72D297353CC}">
              <c16:uniqueId val="{00000000-2930-4AC4-9A2F-F41CCC607921}"/>
            </c:ext>
          </c:extLst>
        </c:ser>
        <c:dLbls>
          <c:showLegendKey val="0"/>
          <c:showVal val="0"/>
          <c:showCatName val="0"/>
          <c:showSerName val="0"/>
          <c:showPercent val="0"/>
          <c:showBubbleSize val="0"/>
        </c:dLbls>
        <c:axId val="1525015088"/>
        <c:axId val="1525010768"/>
      </c:scatterChart>
      <c:valAx>
        <c:axId val="1525015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010768"/>
        <c:crosses val="autoZero"/>
        <c:crossBetween val="midCat"/>
      </c:valAx>
      <c:valAx>
        <c:axId val="152501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0150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 project.xlsx]Raw!PivotTable1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Raw!$B$3</c:f>
              <c:strCache>
                <c:ptCount val="1"/>
                <c:pt idx="0">
                  <c:v>Total</c:v>
                </c:pt>
              </c:strCache>
            </c:strRef>
          </c:tx>
          <c:spPr>
            <a:solidFill>
              <a:schemeClr val="accent1"/>
            </a:solidFill>
            <a:ln>
              <a:noFill/>
            </a:ln>
            <a:effectLst/>
          </c:spPr>
          <c:invertIfNegative val="0"/>
          <c:cat>
            <c:strRef>
              <c:f>Raw!$A$4:$A$9</c:f>
              <c:strCache>
                <c:ptCount val="5"/>
                <c:pt idx="0">
                  <c:v>andhra-pradesh</c:v>
                </c:pt>
                <c:pt idx="1">
                  <c:v>karnataka</c:v>
                </c:pt>
                <c:pt idx="2">
                  <c:v>maharashtra</c:v>
                </c:pt>
                <c:pt idx="3">
                  <c:v>rajasthan</c:v>
                </c:pt>
                <c:pt idx="4">
                  <c:v>telangana</c:v>
                </c:pt>
              </c:strCache>
            </c:strRef>
          </c:cat>
          <c:val>
            <c:numRef>
              <c:f>Raw!$B$4:$B$9</c:f>
              <c:numCache>
                <c:formatCode>General</c:formatCode>
                <c:ptCount val="5"/>
                <c:pt idx="0">
                  <c:v>6000774621676.2275</c:v>
                </c:pt>
                <c:pt idx="1">
                  <c:v>6870101942415.5928</c:v>
                </c:pt>
                <c:pt idx="2">
                  <c:v>6925611031627.9727</c:v>
                </c:pt>
                <c:pt idx="3">
                  <c:v>4240030098367.7822</c:v>
                </c:pt>
                <c:pt idx="4">
                  <c:v>7216293195531.0479</c:v>
                </c:pt>
              </c:numCache>
            </c:numRef>
          </c:val>
          <c:extLst>
            <c:ext xmlns:c16="http://schemas.microsoft.com/office/drawing/2014/chart" uri="{C3380CC4-5D6E-409C-BE32-E72D297353CC}">
              <c16:uniqueId val="{00000002-4A53-4744-8EB0-5DF3A2A7C5EF}"/>
            </c:ext>
          </c:extLst>
        </c:ser>
        <c:dLbls>
          <c:showLegendKey val="0"/>
          <c:showVal val="0"/>
          <c:showCatName val="0"/>
          <c:showSerName val="0"/>
          <c:showPercent val="0"/>
          <c:showBubbleSize val="0"/>
        </c:dLbls>
        <c:gapWidth val="219"/>
        <c:overlap val="-27"/>
        <c:axId val="285036448"/>
        <c:axId val="285033088"/>
      </c:barChart>
      <c:catAx>
        <c:axId val="28503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33088"/>
        <c:crosses val="autoZero"/>
        <c:auto val="1"/>
        <c:lblAlgn val="ctr"/>
        <c:lblOffset val="100"/>
        <c:noMultiLvlLbl val="0"/>
      </c:catAx>
      <c:valAx>
        <c:axId val="28503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3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 project.xlsx]Raw!PivotTable4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Raw!$H$6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ED-4578-9691-7EA118C708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ED-4578-9691-7EA118C708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ED-4578-9691-7EA118C708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ED-4578-9691-7EA118C708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ED-4578-9691-7EA118C70893}"/>
              </c:ext>
            </c:extLst>
          </c:dPt>
          <c:cat>
            <c:strRef>
              <c:f>Raw!$G$7:$G$12</c:f>
              <c:strCache>
                <c:ptCount val="5"/>
                <c:pt idx="0">
                  <c:v>Financial Services</c:v>
                </c:pt>
                <c:pt idx="1">
                  <c:v>Merchant payments</c:v>
                </c:pt>
                <c:pt idx="2">
                  <c:v>Others</c:v>
                </c:pt>
                <c:pt idx="3">
                  <c:v>Peer-to-peer payments</c:v>
                </c:pt>
                <c:pt idx="4">
                  <c:v>Recharge &amp; bill payments</c:v>
                </c:pt>
              </c:strCache>
            </c:strRef>
          </c:cat>
          <c:val>
            <c:numRef>
              <c:f>Raw!$H$7:$H$12</c:f>
              <c:numCache>
                <c:formatCode>General</c:formatCode>
                <c:ptCount val="5"/>
                <c:pt idx="0">
                  <c:v>55250046</c:v>
                </c:pt>
                <c:pt idx="1">
                  <c:v>12428536543</c:v>
                </c:pt>
                <c:pt idx="2">
                  <c:v>146085055</c:v>
                </c:pt>
                <c:pt idx="3">
                  <c:v>14094054770</c:v>
                </c:pt>
                <c:pt idx="4">
                  <c:v>5698507172</c:v>
                </c:pt>
              </c:numCache>
            </c:numRef>
          </c:val>
          <c:extLst>
            <c:ext xmlns:c16="http://schemas.microsoft.com/office/drawing/2014/chart" uri="{C3380CC4-5D6E-409C-BE32-E72D297353CC}">
              <c16:uniqueId val="{00000000-77C3-42D1-88EE-F74716BFF4C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5091119860017503"/>
          <c:y val="0.28001020705745111"/>
          <c:w val="0.53242213473315836"/>
          <c:h val="0.555116287547389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 project.xlsx]Raw!PivotTable9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Raw!$H$23</c:f>
              <c:strCache>
                <c:ptCount val="1"/>
                <c:pt idx="0">
                  <c:v>Total</c:v>
                </c:pt>
              </c:strCache>
            </c:strRef>
          </c:tx>
          <c:spPr>
            <a:solidFill>
              <a:schemeClr val="accent1"/>
            </a:solidFill>
            <a:ln>
              <a:noFill/>
            </a:ln>
            <a:effectLst/>
          </c:spPr>
          <c:invertIfNegative val="0"/>
          <c:cat>
            <c:strRef>
              <c:f>Raw!$G$24:$G$29</c:f>
              <c:strCache>
                <c:ptCount val="5"/>
                <c:pt idx="0">
                  <c:v>andhra-pradesh</c:v>
                </c:pt>
                <c:pt idx="1">
                  <c:v>delhi</c:v>
                </c:pt>
                <c:pt idx="2">
                  <c:v>karnataka</c:v>
                </c:pt>
                <c:pt idx="3">
                  <c:v>rajasthan</c:v>
                </c:pt>
                <c:pt idx="4">
                  <c:v>telangana</c:v>
                </c:pt>
              </c:strCache>
            </c:strRef>
          </c:cat>
          <c:val>
            <c:numRef>
              <c:f>Raw!$H$24:$H$29</c:f>
              <c:numCache>
                <c:formatCode>General</c:formatCode>
                <c:ptCount val="5"/>
                <c:pt idx="0">
                  <c:v>32936.046804342681</c:v>
                </c:pt>
                <c:pt idx="1">
                  <c:v>25213.778220087213</c:v>
                </c:pt>
                <c:pt idx="2">
                  <c:v>30017.47232634274</c:v>
                </c:pt>
                <c:pt idx="3">
                  <c:v>24336.744450935923</c:v>
                </c:pt>
                <c:pt idx="4">
                  <c:v>42080.338982109832</c:v>
                </c:pt>
              </c:numCache>
            </c:numRef>
          </c:val>
          <c:extLst>
            <c:ext xmlns:c16="http://schemas.microsoft.com/office/drawing/2014/chart" uri="{C3380CC4-5D6E-409C-BE32-E72D297353CC}">
              <c16:uniqueId val="{00000000-DEDD-4618-A6B5-A35E0C3E94FB}"/>
            </c:ext>
          </c:extLst>
        </c:ser>
        <c:dLbls>
          <c:showLegendKey val="0"/>
          <c:showVal val="0"/>
          <c:showCatName val="0"/>
          <c:showSerName val="0"/>
          <c:showPercent val="0"/>
          <c:showBubbleSize val="0"/>
        </c:dLbls>
        <c:gapWidth val="182"/>
        <c:axId val="201203567"/>
        <c:axId val="201204047"/>
      </c:barChart>
      <c:catAx>
        <c:axId val="20120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04047"/>
        <c:crosses val="autoZero"/>
        <c:auto val="1"/>
        <c:lblAlgn val="ctr"/>
        <c:lblOffset val="100"/>
        <c:noMultiLvlLbl val="0"/>
      </c:catAx>
      <c:valAx>
        <c:axId val="201204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0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 project.xlsx]Raw!PivotTable14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Raw!$H$35</c:f>
              <c:strCache>
                <c:ptCount val="1"/>
                <c:pt idx="0">
                  <c:v>Total</c:v>
                </c:pt>
              </c:strCache>
            </c:strRef>
          </c:tx>
          <c:spPr>
            <a:solidFill>
              <a:schemeClr val="accent1"/>
            </a:solidFill>
            <a:ln>
              <a:noFill/>
            </a:ln>
            <a:effectLst/>
          </c:spPr>
          <c:invertIfNegative val="0"/>
          <c:cat>
            <c:strRef>
              <c:f>Raw!$G$36:$G$41</c:f>
              <c:strCache>
                <c:ptCount val="5"/>
                <c:pt idx="0">
                  <c:v>dadra-&amp;-nagar-haveli-&amp;-daman-&amp;-diu</c:v>
                </c:pt>
                <c:pt idx="1">
                  <c:v>himachal-pradesh</c:v>
                </c:pt>
                <c:pt idx="2">
                  <c:v>kerala</c:v>
                </c:pt>
                <c:pt idx="3">
                  <c:v>lakshadweep</c:v>
                </c:pt>
                <c:pt idx="4">
                  <c:v>tripura</c:v>
                </c:pt>
              </c:strCache>
            </c:strRef>
          </c:cat>
          <c:val>
            <c:numRef>
              <c:f>Raw!$H$36:$H$41</c:f>
              <c:numCache>
                <c:formatCode>0.00</c:formatCode>
                <c:ptCount val="5"/>
                <c:pt idx="0">
                  <c:v>10172.317010709354</c:v>
                </c:pt>
                <c:pt idx="1">
                  <c:v>10321.373333751349</c:v>
                </c:pt>
                <c:pt idx="2">
                  <c:v>10170.869271786816</c:v>
                </c:pt>
                <c:pt idx="3">
                  <c:v>8480.1158856111542</c:v>
                </c:pt>
                <c:pt idx="4">
                  <c:v>8000.7810846080783</c:v>
                </c:pt>
              </c:numCache>
            </c:numRef>
          </c:val>
          <c:extLst>
            <c:ext xmlns:c16="http://schemas.microsoft.com/office/drawing/2014/chart" uri="{C3380CC4-5D6E-409C-BE32-E72D297353CC}">
              <c16:uniqueId val="{00000000-C74A-4CE4-A054-E37A99744381}"/>
            </c:ext>
          </c:extLst>
        </c:ser>
        <c:dLbls>
          <c:showLegendKey val="0"/>
          <c:showVal val="0"/>
          <c:showCatName val="0"/>
          <c:showSerName val="0"/>
          <c:showPercent val="0"/>
          <c:showBubbleSize val="0"/>
        </c:dLbls>
        <c:gapWidth val="182"/>
        <c:axId val="1597164623"/>
        <c:axId val="1597168463"/>
      </c:barChart>
      <c:catAx>
        <c:axId val="159716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168463"/>
        <c:crosses val="autoZero"/>
        <c:auto val="1"/>
        <c:lblAlgn val="ctr"/>
        <c:lblOffset val="100"/>
        <c:noMultiLvlLbl val="0"/>
      </c:catAx>
      <c:valAx>
        <c:axId val="15971684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16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 project.xlsx]Raw!PivotTable3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Raw!$I$44</c:f>
              <c:strCache>
                <c:ptCount val="1"/>
                <c:pt idx="0">
                  <c:v>Sum of YOY Amount  Growth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Raw!$H$45:$H$49</c:f>
              <c:strCache>
                <c:ptCount val="4"/>
                <c:pt idx="0">
                  <c:v>2018</c:v>
                </c:pt>
                <c:pt idx="1">
                  <c:v>2019</c:v>
                </c:pt>
                <c:pt idx="2">
                  <c:v>2020</c:v>
                </c:pt>
                <c:pt idx="3">
                  <c:v>2021</c:v>
                </c:pt>
              </c:strCache>
            </c:strRef>
          </c:cat>
          <c:val>
            <c:numRef>
              <c:f>Raw!$I$45:$I$49</c:f>
              <c:numCache>
                <c:formatCode>General</c:formatCode>
                <c:ptCount val="4"/>
                <c:pt idx="1">
                  <c:v>2.8672289432305544</c:v>
                </c:pt>
                <c:pt idx="2">
                  <c:v>1.3326253698417045</c:v>
                </c:pt>
                <c:pt idx="3">
                  <c:v>1.3631115985883562</c:v>
                </c:pt>
              </c:numCache>
            </c:numRef>
          </c:val>
          <c:smooth val="0"/>
          <c:extLst>
            <c:ext xmlns:c16="http://schemas.microsoft.com/office/drawing/2014/chart" uri="{C3380CC4-5D6E-409C-BE32-E72D297353CC}">
              <c16:uniqueId val="{00000000-05FE-4C14-A9B7-4637E3461BB2}"/>
            </c:ext>
          </c:extLst>
        </c:ser>
        <c:ser>
          <c:idx val="1"/>
          <c:order val="1"/>
          <c:tx>
            <c:strRef>
              <c:f>Raw!$J$44</c:f>
              <c:strCache>
                <c:ptCount val="1"/>
                <c:pt idx="0">
                  <c:v>Sum of YOY transaction growth  Growth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Raw!$H$45:$H$49</c:f>
              <c:strCache>
                <c:ptCount val="4"/>
                <c:pt idx="0">
                  <c:v>2018</c:v>
                </c:pt>
                <c:pt idx="1">
                  <c:v>2019</c:v>
                </c:pt>
                <c:pt idx="2">
                  <c:v>2020</c:v>
                </c:pt>
                <c:pt idx="3">
                  <c:v>2021</c:v>
                </c:pt>
              </c:strCache>
            </c:strRef>
          </c:cat>
          <c:val>
            <c:numRef>
              <c:f>Raw!$J$45:$J$49</c:f>
              <c:numCache>
                <c:formatCode>General</c:formatCode>
                <c:ptCount val="4"/>
                <c:pt idx="1">
                  <c:v>2.7769099357961995</c:v>
                </c:pt>
                <c:pt idx="2">
                  <c:v>0.95448834491879331</c:v>
                </c:pt>
                <c:pt idx="3">
                  <c:v>1.4189227890106255</c:v>
                </c:pt>
              </c:numCache>
            </c:numRef>
          </c:val>
          <c:smooth val="0"/>
          <c:extLst>
            <c:ext xmlns:c16="http://schemas.microsoft.com/office/drawing/2014/chart" uri="{C3380CC4-5D6E-409C-BE32-E72D297353CC}">
              <c16:uniqueId val="{00000001-05FE-4C14-A9B7-4637E3461BB2}"/>
            </c:ext>
          </c:extLst>
        </c:ser>
        <c:dLbls>
          <c:showLegendKey val="0"/>
          <c:showVal val="0"/>
          <c:showCatName val="0"/>
          <c:showSerName val="0"/>
          <c:showPercent val="0"/>
          <c:showBubbleSize val="0"/>
        </c:dLbls>
        <c:marker val="1"/>
        <c:smooth val="0"/>
        <c:axId val="903315375"/>
        <c:axId val="903315855"/>
      </c:lineChart>
      <c:catAx>
        <c:axId val="90331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15855"/>
        <c:crosses val="autoZero"/>
        <c:auto val="1"/>
        <c:lblAlgn val="ctr"/>
        <c:lblOffset val="100"/>
        <c:noMultiLvlLbl val="0"/>
      </c:catAx>
      <c:valAx>
        <c:axId val="90331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1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[Phonepe project.xlsx]Raw!PivotTable16</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Raw!$B$44:$B$45</c:f>
              <c:strCache>
                <c:ptCount val="1"/>
                <c:pt idx="0">
                  <c:v>Financial Services</c:v>
                </c:pt>
              </c:strCache>
            </c:strRef>
          </c:tx>
          <c:spPr>
            <a:solidFill>
              <a:schemeClr val="accent1"/>
            </a:solidFill>
            <a:ln>
              <a:noFill/>
            </a:ln>
            <a:effectLst/>
            <a:sp3d/>
          </c:spPr>
          <c:invertIfNegative val="0"/>
          <c:cat>
            <c:strRef>
              <c:f>Raw!$A$46:$A$49</c:f>
              <c:strCache>
                <c:ptCount val="4"/>
                <c:pt idx="0">
                  <c:v>2018</c:v>
                </c:pt>
                <c:pt idx="1">
                  <c:v>2019</c:v>
                </c:pt>
                <c:pt idx="2">
                  <c:v>2020</c:v>
                </c:pt>
                <c:pt idx="3">
                  <c:v>2021</c:v>
                </c:pt>
              </c:strCache>
            </c:strRef>
          </c:cat>
          <c:val>
            <c:numRef>
              <c:f>Raw!$B$46:$B$49</c:f>
              <c:numCache>
                <c:formatCode>General</c:formatCode>
                <c:ptCount val="4"/>
                <c:pt idx="0">
                  <c:v>20384145</c:v>
                </c:pt>
                <c:pt idx="1">
                  <c:v>12624867</c:v>
                </c:pt>
                <c:pt idx="2">
                  <c:v>8514716</c:v>
                </c:pt>
                <c:pt idx="3">
                  <c:v>13726318</c:v>
                </c:pt>
              </c:numCache>
            </c:numRef>
          </c:val>
          <c:extLst>
            <c:ext xmlns:c16="http://schemas.microsoft.com/office/drawing/2014/chart" uri="{C3380CC4-5D6E-409C-BE32-E72D297353CC}">
              <c16:uniqueId val="{00000000-0F06-43E6-B03E-1E7FCA8EFE7D}"/>
            </c:ext>
          </c:extLst>
        </c:ser>
        <c:ser>
          <c:idx val="1"/>
          <c:order val="1"/>
          <c:tx>
            <c:strRef>
              <c:f>Raw!$C$44:$C$45</c:f>
              <c:strCache>
                <c:ptCount val="1"/>
                <c:pt idx="0">
                  <c:v>Merchant payments</c:v>
                </c:pt>
              </c:strCache>
            </c:strRef>
          </c:tx>
          <c:spPr>
            <a:solidFill>
              <a:schemeClr val="accent2"/>
            </a:solidFill>
            <a:ln>
              <a:noFill/>
            </a:ln>
            <a:effectLst/>
            <a:sp3d/>
          </c:spPr>
          <c:invertIfNegative val="0"/>
          <c:cat>
            <c:strRef>
              <c:f>Raw!$A$46:$A$49</c:f>
              <c:strCache>
                <c:ptCount val="4"/>
                <c:pt idx="0">
                  <c:v>2018</c:v>
                </c:pt>
                <c:pt idx="1">
                  <c:v>2019</c:v>
                </c:pt>
                <c:pt idx="2">
                  <c:v>2020</c:v>
                </c:pt>
                <c:pt idx="3">
                  <c:v>2021</c:v>
                </c:pt>
              </c:strCache>
            </c:strRef>
          </c:cat>
          <c:val>
            <c:numRef>
              <c:f>Raw!$C$46:$C$49</c:f>
              <c:numCache>
                <c:formatCode>General</c:formatCode>
                <c:ptCount val="4"/>
                <c:pt idx="0">
                  <c:v>112656898</c:v>
                </c:pt>
                <c:pt idx="1">
                  <c:v>1149862129</c:v>
                </c:pt>
                <c:pt idx="2">
                  <c:v>2729138477</c:v>
                </c:pt>
                <c:pt idx="3">
                  <c:v>8436879039</c:v>
                </c:pt>
              </c:numCache>
            </c:numRef>
          </c:val>
          <c:extLst>
            <c:ext xmlns:c16="http://schemas.microsoft.com/office/drawing/2014/chart" uri="{C3380CC4-5D6E-409C-BE32-E72D297353CC}">
              <c16:uniqueId val="{00000001-0F06-43E6-B03E-1E7FCA8EFE7D}"/>
            </c:ext>
          </c:extLst>
        </c:ser>
        <c:ser>
          <c:idx val="2"/>
          <c:order val="2"/>
          <c:tx>
            <c:strRef>
              <c:f>Raw!$D$44:$D$45</c:f>
              <c:strCache>
                <c:ptCount val="1"/>
                <c:pt idx="0">
                  <c:v>Others</c:v>
                </c:pt>
              </c:strCache>
            </c:strRef>
          </c:tx>
          <c:spPr>
            <a:solidFill>
              <a:schemeClr val="accent3"/>
            </a:solidFill>
            <a:ln>
              <a:noFill/>
            </a:ln>
            <a:effectLst/>
            <a:sp3d/>
          </c:spPr>
          <c:invertIfNegative val="0"/>
          <c:cat>
            <c:strRef>
              <c:f>Raw!$A$46:$A$49</c:f>
              <c:strCache>
                <c:ptCount val="4"/>
                <c:pt idx="0">
                  <c:v>2018</c:v>
                </c:pt>
                <c:pt idx="1">
                  <c:v>2019</c:v>
                </c:pt>
                <c:pt idx="2">
                  <c:v>2020</c:v>
                </c:pt>
                <c:pt idx="3">
                  <c:v>2021</c:v>
                </c:pt>
              </c:strCache>
            </c:strRef>
          </c:cat>
          <c:val>
            <c:numRef>
              <c:f>Raw!$D$46:$D$49</c:f>
              <c:numCache>
                <c:formatCode>General</c:formatCode>
                <c:ptCount val="4"/>
                <c:pt idx="0">
                  <c:v>24575693</c:v>
                </c:pt>
                <c:pt idx="1">
                  <c:v>46571025</c:v>
                </c:pt>
                <c:pt idx="2">
                  <c:v>28904189</c:v>
                </c:pt>
                <c:pt idx="3">
                  <c:v>46034148</c:v>
                </c:pt>
              </c:numCache>
            </c:numRef>
          </c:val>
          <c:extLst>
            <c:ext xmlns:c16="http://schemas.microsoft.com/office/drawing/2014/chart" uri="{C3380CC4-5D6E-409C-BE32-E72D297353CC}">
              <c16:uniqueId val="{00000002-0F06-43E6-B03E-1E7FCA8EFE7D}"/>
            </c:ext>
          </c:extLst>
        </c:ser>
        <c:ser>
          <c:idx val="3"/>
          <c:order val="3"/>
          <c:tx>
            <c:strRef>
              <c:f>Raw!$E$44:$E$45</c:f>
              <c:strCache>
                <c:ptCount val="1"/>
                <c:pt idx="0">
                  <c:v>Peer-to-peer payments</c:v>
                </c:pt>
              </c:strCache>
            </c:strRef>
          </c:tx>
          <c:spPr>
            <a:solidFill>
              <a:schemeClr val="accent4"/>
            </a:solidFill>
            <a:ln>
              <a:noFill/>
            </a:ln>
            <a:effectLst/>
            <a:sp3d/>
          </c:spPr>
          <c:invertIfNegative val="0"/>
          <c:cat>
            <c:strRef>
              <c:f>Raw!$A$46:$A$49</c:f>
              <c:strCache>
                <c:ptCount val="4"/>
                <c:pt idx="0">
                  <c:v>2018</c:v>
                </c:pt>
                <c:pt idx="1">
                  <c:v>2019</c:v>
                </c:pt>
                <c:pt idx="2">
                  <c:v>2020</c:v>
                </c:pt>
                <c:pt idx="3">
                  <c:v>2021</c:v>
                </c:pt>
              </c:strCache>
            </c:strRef>
          </c:cat>
          <c:val>
            <c:numRef>
              <c:f>Raw!$E$46:$E$49</c:f>
              <c:numCache>
                <c:formatCode>General</c:formatCode>
                <c:ptCount val="4"/>
                <c:pt idx="0">
                  <c:v>523796208</c:v>
                </c:pt>
                <c:pt idx="1">
                  <c:v>1954956507</c:v>
                </c:pt>
                <c:pt idx="2">
                  <c:v>3491324361</c:v>
                </c:pt>
                <c:pt idx="3">
                  <c:v>8123977694</c:v>
                </c:pt>
              </c:numCache>
            </c:numRef>
          </c:val>
          <c:extLst>
            <c:ext xmlns:c16="http://schemas.microsoft.com/office/drawing/2014/chart" uri="{C3380CC4-5D6E-409C-BE32-E72D297353CC}">
              <c16:uniqueId val="{00000003-0F06-43E6-B03E-1E7FCA8EFE7D}"/>
            </c:ext>
          </c:extLst>
        </c:ser>
        <c:ser>
          <c:idx val="4"/>
          <c:order val="4"/>
          <c:tx>
            <c:strRef>
              <c:f>Raw!$F$44:$F$45</c:f>
              <c:strCache>
                <c:ptCount val="1"/>
                <c:pt idx="0">
                  <c:v>Recharge &amp; bill payments</c:v>
                </c:pt>
              </c:strCache>
            </c:strRef>
          </c:tx>
          <c:spPr>
            <a:solidFill>
              <a:schemeClr val="accent5"/>
            </a:solidFill>
            <a:ln>
              <a:noFill/>
            </a:ln>
            <a:effectLst/>
            <a:sp3d/>
          </c:spPr>
          <c:invertIfNegative val="0"/>
          <c:cat>
            <c:strRef>
              <c:f>Raw!$A$46:$A$49</c:f>
              <c:strCache>
                <c:ptCount val="4"/>
                <c:pt idx="0">
                  <c:v>2018</c:v>
                </c:pt>
                <c:pt idx="1">
                  <c:v>2019</c:v>
                </c:pt>
                <c:pt idx="2">
                  <c:v>2020</c:v>
                </c:pt>
                <c:pt idx="3">
                  <c:v>2021</c:v>
                </c:pt>
              </c:strCache>
            </c:strRef>
          </c:cat>
          <c:val>
            <c:numRef>
              <c:f>Raw!$F$46:$F$49</c:f>
              <c:numCache>
                <c:formatCode>General</c:formatCode>
                <c:ptCount val="4"/>
                <c:pt idx="0">
                  <c:v>398789466</c:v>
                </c:pt>
                <c:pt idx="1">
                  <c:v>915812687</c:v>
                </c:pt>
                <c:pt idx="2">
                  <c:v>1716092998</c:v>
                </c:pt>
                <c:pt idx="3">
                  <c:v>2667812021</c:v>
                </c:pt>
              </c:numCache>
            </c:numRef>
          </c:val>
          <c:extLst>
            <c:ext xmlns:c16="http://schemas.microsoft.com/office/drawing/2014/chart" uri="{C3380CC4-5D6E-409C-BE32-E72D297353CC}">
              <c16:uniqueId val="{00000004-0F06-43E6-B03E-1E7FCA8EFE7D}"/>
            </c:ext>
          </c:extLst>
        </c:ser>
        <c:dLbls>
          <c:showLegendKey val="0"/>
          <c:showVal val="0"/>
          <c:showCatName val="0"/>
          <c:showSerName val="0"/>
          <c:showPercent val="0"/>
          <c:showBubbleSize val="0"/>
        </c:dLbls>
        <c:gapWidth val="150"/>
        <c:shape val="box"/>
        <c:axId val="903322095"/>
        <c:axId val="903324495"/>
        <c:axId val="0"/>
      </c:bar3DChart>
      <c:catAx>
        <c:axId val="903322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24495"/>
        <c:crosses val="autoZero"/>
        <c:auto val="1"/>
        <c:lblAlgn val="ctr"/>
        <c:lblOffset val="100"/>
        <c:noMultiLvlLbl val="0"/>
      </c:catAx>
      <c:valAx>
        <c:axId val="9033244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2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Raw!$C$81</c:f>
              <c:strCache>
                <c:ptCount val="1"/>
                <c:pt idx="0">
                  <c:v>Sum of txn_count</c:v>
                </c:pt>
              </c:strCache>
            </c:strRef>
          </c:tx>
          <c:spPr>
            <a:ln w="19050" cap="rnd">
              <a:noFill/>
              <a:round/>
            </a:ln>
            <a:effectLst/>
          </c:spPr>
          <c:marker>
            <c:symbol val="circle"/>
            <c:size val="5"/>
            <c:spPr>
              <a:solidFill>
                <a:schemeClr val="accent1"/>
              </a:solidFill>
              <a:ln w="9525">
                <a:solidFill>
                  <a:schemeClr val="accent1"/>
                </a:solidFill>
              </a:ln>
              <a:effectLst/>
            </c:spPr>
          </c:marker>
          <c:xVal>
            <c:numRef>
              <c:f>Raw!$B$82:$B$117</c:f>
              <c:numCache>
                <c:formatCode>General</c:formatCode>
                <c:ptCount val="36"/>
                <c:pt idx="0">
                  <c:v>30093690</c:v>
                </c:pt>
                <c:pt idx="1">
                  <c:v>11085628620</c:v>
                </c:pt>
                <c:pt idx="2">
                  <c:v>135862705</c:v>
                </c:pt>
                <c:pt idx="3">
                  <c:v>1924385210</c:v>
                </c:pt>
                <c:pt idx="4">
                  <c:v>8182983160</c:v>
                </c:pt>
                <c:pt idx="5">
                  <c:v>263671155</c:v>
                </c:pt>
                <c:pt idx="6">
                  <c:v>2652097415</c:v>
                </c:pt>
                <c:pt idx="7">
                  <c:v>190957195</c:v>
                </c:pt>
                <c:pt idx="8">
                  <c:v>6607691310</c:v>
                </c:pt>
                <c:pt idx="9">
                  <c:v>335827580</c:v>
                </c:pt>
                <c:pt idx="10">
                  <c:v>8880629670</c:v>
                </c:pt>
                <c:pt idx="11">
                  <c:v>5995324170</c:v>
                </c:pt>
                <c:pt idx="12">
                  <c:v>949759415</c:v>
                </c:pt>
                <c:pt idx="13">
                  <c:v>691520940</c:v>
                </c:pt>
                <c:pt idx="14">
                  <c:v>3163419655</c:v>
                </c:pt>
                <c:pt idx="15">
                  <c:v>14309483705</c:v>
                </c:pt>
                <c:pt idx="16">
                  <c:v>3722965235</c:v>
                </c:pt>
                <c:pt idx="17">
                  <c:v>41145060</c:v>
                </c:pt>
                <c:pt idx="18">
                  <c:v>2378959</c:v>
                </c:pt>
                <c:pt idx="19">
                  <c:v>8855346445</c:v>
                </c:pt>
                <c:pt idx="20">
                  <c:v>22211605955</c:v>
                </c:pt>
                <c:pt idx="21">
                  <c:v>168697595</c:v>
                </c:pt>
                <c:pt idx="22">
                  <c:v>104489275</c:v>
                </c:pt>
                <c:pt idx="23">
                  <c:v>44806520</c:v>
                </c:pt>
                <c:pt idx="24">
                  <c:v>106819570</c:v>
                </c:pt>
                <c:pt idx="25">
                  <c:v>5635070540</c:v>
                </c:pt>
                <c:pt idx="26">
                  <c:v>198271590</c:v>
                </c:pt>
                <c:pt idx="27">
                  <c:v>3251969930</c:v>
                </c:pt>
                <c:pt idx="28">
                  <c:v>10573570205</c:v>
                </c:pt>
                <c:pt idx="29">
                  <c:v>91371445</c:v>
                </c:pt>
                <c:pt idx="30">
                  <c:v>9459890440</c:v>
                </c:pt>
                <c:pt idx="31">
                  <c:v>10436642755</c:v>
                </c:pt>
                <c:pt idx="32">
                  <c:v>259478780</c:v>
                </c:pt>
                <c:pt idx="33">
                  <c:v>1676744905</c:v>
                </c:pt>
                <c:pt idx="34">
                  <c:v>17433346755</c:v>
                </c:pt>
                <c:pt idx="35">
                  <c:v>10131549340</c:v>
                </c:pt>
              </c:numCache>
            </c:numRef>
          </c:xVal>
          <c:yVal>
            <c:numRef>
              <c:f>Raw!$C$82:$C$117</c:f>
              <c:numCache>
                <c:formatCode>General</c:formatCode>
                <c:ptCount val="36"/>
                <c:pt idx="0">
                  <c:v>2309452</c:v>
                </c:pt>
                <c:pt idx="1">
                  <c:v>2735377722</c:v>
                </c:pt>
                <c:pt idx="2">
                  <c:v>12341364</c:v>
                </c:pt>
                <c:pt idx="3">
                  <c:v>203102783</c:v>
                </c:pt>
                <c:pt idx="4">
                  <c:v>1146441947</c:v>
                </c:pt>
                <c:pt idx="5">
                  <c:v>40064823</c:v>
                </c:pt>
                <c:pt idx="6">
                  <c:v>390863981</c:v>
                </c:pt>
                <c:pt idx="7">
                  <c:v>19748740</c:v>
                </c:pt>
                <c:pt idx="8">
                  <c:v>1542475091</c:v>
                </c:pt>
                <c:pt idx="9">
                  <c:v>42038126</c:v>
                </c:pt>
                <c:pt idx="10">
                  <c:v>945228555</c:v>
                </c:pt>
                <c:pt idx="11">
                  <c:v>877898078</c:v>
                </c:pt>
                <c:pt idx="12">
                  <c:v>79718476</c:v>
                </c:pt>
                <c:pt idx="13">
                  <c:v>74994997</c:v>
                </c:pt>
                <c:pt idx="14">
                  <c:v>442075731</c:v>
                </c:pt>
                <c:pt idx="15">
                  <c:v>4666066510</c:v>
                </c:pt>
                <c:pt idx="16">
                  <c:v>368489883</c:v>
                </c:pt>
                <c:pt idx="17">
                  <c:v>3101283</c:v>
                </c:pt>
                <c:pt idx="18">
                  <c:v>100450</c:v>
                </c:pt>
                <c:pt idx="19">
                  <c:v>1816005146</c:v>
                </c:pt>
                <c:pt idx="20">
                  <c:v>4637275716</c:v>
                </c:pt>
                <c:pt idx="21">
                  <c:v>20946878</c:v>
                </c:pt>
                <c:pt idx="22">
                  <c:v>8186837</c:v>
                </c:pt>
                <c:pt idx="23">
                  <c:v>3194634</c:v>
                </c:pt>
                <c:pt idx="24">
                  <c:v>8853252</c:v>
                </c:pt>
                <c:pt idx="25">
                  <c:v>1151767186</c:v>
                </c:pt>
                <c:pt idx="26">
                  <c:v>28782922</c:v>
                </c:pt>
                <c:pt idx="27">
                  <c:v>276229753</c:v>
                </c:pt>
                <c:pt idx="28">
                  <c:v>2270825280</c:v>
                </c:pt>
                <c:pt idx="29">
                  <c:v>9228887</c:v>
                </c:pt>
                <c:pt idx="30">
                  <c:v>1263913253</c:v>
                </c:pt>
                <c:pt idx="31">
                  <c:v>3746306784</c:v>
                </c:pt>
                <c:pt idx="32">
                  <c:v>16620045</c:v>
                </c:pt>
                <c:pt idx="33">
                  <c:v>195414726</c:v>
                </c:pt>
                <c:pt idx="34">
                  <c:v>2027415706</c:v>
                </c:pt>
                <c:pt idx="35">
                  <c:v>1349028589</c:v>
                </c:pt>
              </c:numCache>
            </c:numRef>
          </c:yVal>
          <c:smooth val="0"/>
          <c:extLst>
            <c:ext xmlns:c16="http://schemas.microsoft.com/office/drawing/2014/chart" uri="{C3380CC4-5D6E-409C-BE32-E72D297353CC}">
              <c16:uniqueId val="{00000000-C2CF-4C78-84FB-C9455D85D179}"/>
            </c:ext>
          </c:extLst>
        </c:ser>
        <c:dLbls>
          <c:showLegendKey val="0"/>
          <c:showVal val="0"/>
          <c:showCatName val="0"/>
          <c:showSerName val="0"/>
          <c:showPercent val="0"/>
          <c:showBubbleSize val="0"/>
        </c:dLbls>
        <c:axId val="1525015088"/>
        <c:axId val="1525010768"/>
      </c:scatterChart>
      <c:valAx>
        <c:axId val="1525015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010768"/>
        <c:crosses val="autoZero"/>
        <c:crossBetween val="midCat"/>
      </c:valAx>
      <c:valAx>
        <c:axId val="152501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0150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24</xdr:col>
      <xdr:colOff>251460</xdr:colOff>
      <xdr:row>1</xdr:row>
      <xdr:rowOff>114300</xdr:rowOff>
    </xdr:to>
    <xdr:sp macro="" textlink="">
      <xdr:nvSpPr>
        <xdr:cNvPr id="24" name="Rectangle 23">
          <a:extLst>
            <a:ext uri="{FF2B5EF4-FFF2-40B4-BE49-F238E27FC236}">
              <a16:creationId xmlns:a16="http://schemas.microsoft.com/office/drawing/2014/main" id="{061B81D1-A27A-5667-1E0D-3AC43F22214F}"/>
            </a:ext>
          </a:extLst>
        </xdr:cNvPr>
        <xdr:cNvSpPr/>
      </xdr:nvSpPr>
      <xdr:spPr>
        <a:xfrm>
          <a:off x="0" y="7620"/>
          <a:ext cx="14881860" cy="289560"/>
        </a:xfrm>
        <a:prstGeom prst="rect">
          <a:avLst/>
        </a:prstGeom>
        <a:solidFill>
          <a:srgbClr val="4C1D9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Georgia" panose="02040502050405020303" pitchFamily="18" charset="0"/>
            </a:rPr>
            <a:t>PhonePe Pulse Analysis</a:t>
          </a:r>
          <a:r>
            <a:rPr lang="en-IN" sz="1400" b="1" baseline="0">
              <a:latin typeface="Georgia" panose="02040502050405020303" pitchFamily="18" charset="0"/>
            </a:rPr>
            <a:t> Dashboard</a:t>
          </a:r>
        </a:p>
        <a:p>
          <a:pPr algn="l"/>
          <a:endParaRPr lang="en-IN" sz="1400" b="1">
            <a:latin typeface="Georgia" panose="02040502050405020303" pitchFamily="18" charset="0"/>
          </a:endParaRPr>
        </a:p>
      </xdr:txBody>
    </xdr:sp>
    <xdr:clientData/>
  </xdr:twoCellAnchor>
  <xdr:twoCellAnchor>
    <xdr:from>
      <xdr:col>0</xdr:col>
      <xdr:colOff>30480</xdr:colOff>
      <xdr:row>1</xdr:row>
      <xdr:rowOff>114300</xdr:rowOff>
    </xdr:from>
    <xdr:to>
      <xdr:col>25</xdr:col>
      <xdr:colOff>245942</xdr:colOff>
      <xdr:row>40</xdr:row>
      <xdr:rowOff>137160</xdr:rowOff>
    </xdr:to>
    <xdr:sp macro="" textlink="">
      <xdr:nvSpPr>
        <xdr:cNvPr id="502" name="Rectangle 25">
          <a:extLst>
            <a:ext uri="{FF2B5EF4-FFF2-40B4-BE49-F238E27FC236}">
              <a16:creationId xmlns:a16="http://schemas.microsoft.com/office/drawing/2014/main" id="{24514FF4-D315-E50E-7106-C03469953402}"/>
            </a:ext>
          </a:extLst>
        </xdr:cNvPr>
        <xdr:cNvSpPr/>
      </xdr:nvSpPr>
      <xdr:spPr>
        <a:xfrm>
          <a:off x="30480" y="297180"/>
          <a:ext cx="15455462" cy="7155180"/>
        </a:xfrm>
        <a:prstGeom prst="rect">
          <a:avLst/>
        </a:prstGeom>
        <a:solidFill>
          <a:srgbClr val="F7F8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76200</xdr:colOff>
      <xdr:row>1</xdr:row>
      <xdr:rowOff>160020</xdr:rowOff>
    </xdr:from>
    <xdr:to>
      <xdr:col>6</xdr:col>
      <xdr:colOff>144780</xdr:colOff>
      <xdr:row>4</xdr:row>
      <xdr:rowOff>144780</xdr:rowOff>
    </xdr:to>
    <xdr:sp macro="" textlink="">
      <xdr:nvSpPr>
        <xdr:cNvPr id="25" name="Rectangle: Rounded Corners 24">
          <a:extLst>
            <a:ext uri="{FF2B5EF4-FFF2-40B4-BE49-F238E27FC236}">
              <a16:creationId xmlns:a16="http://schemas.microsoft.com/office/drawing/2014/main" id="{7C3A48BE-654D-B0B1-C910-A8709A3652C5}"/>
            </a:ext>
          </a:extLst>
        </xdr:cNvPr>
        <xdr:cNvSpPr/>
      </xdr:nvSpPr>
      <xdr:spPr>
        <a:xfrm>
          <a:off x="1905000" y="342900"/>
          <a:ext cx="1897380" cy="533400"/>
        </a:xfrm>
        <a:prstGeom prst="roundRect">
          <a:avLst>
            <a:gd name="adj" fmla="val 4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lang="en-IN" sz="1100" b="0" i="0" u="none" strike="noStrike">
              <a:solidFill>
                <a:schemeClr val="dk1"/>
              </a:solidFill>
              <a:effectLst/>
              <a:latin typeface="+mn-lt"/>
              <a:ea typeface="+mn-ea"/>
              <a:cs typeface="+mn-cs"/>
            </a:rPr>
            <a:t>Total Transaction Amount</a:t>
          </a:r>
        </a:p>
      </xdr:txBody>
    </xdr:sp>
    <xdr:clientData/>
  </xdr:twoCellAnchor>
  <xdr:twoCellAnchor>
    <xdr:from>
      <xdr:col>6</xdr:col>
      <xdr:colOff>315468</xdr:colOff>
      <xdr:row>1</xdr:row>
      <xdr:rowOff>160020</xdr:rowOff>
    </xdr:from>
    <xdr:to>
      <xdr:col>9</xdr:col>
      <xdr:colOff>384048</xdr:colOff>
      <xdr:row>4</xdr:row>
      <xdr:rowOff>144780</xdr:rowOff>
    </xdr:to>
    <xdr:sp macro="" textlink="">
      <xdr:nvSpPr>
        <xdr:cNvPr id="27" name="Rectangle: Rounded Corners 26">
          <a:extLst>
            <a:ext uri="{FF2B5EF4-FFF2-40B4-BE49-F238E27FC236}">
              <a16:creationId xmlns:a16="http://schemas.microsoft.com/office/drawing/2014/main" id="{003F9EA5-EA43-4FA8-A39E-30F7CEE56F60}"/>
            </a:ext>
          </a:extLst>
        </xdr:cNvPr>
        <xdr:cNvSpPr/>
      </xdr:nvSpPr>
      <xdr:spPr>
        <a:xfrm>
          <a:off x="3973068" y="342900"/>
          <a:ext cx="1897380" cy="533400"/>
        </a:xfrm>
        <a:prstGeom prst="roundRect">
          <a:avLst>
            <a:gd name="adj" fmla="val 4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b="0" i="0" u="none" strike="noStrike">
              <a:solidFill>
                <a:schemeClr val="dk1"/>
              </a:solidFill>
              <a:effectLst/>
              <a:latin typeface="+mn-lt"/>
              <a:ea typeface="+mn-ea"/>
              <a:cs typeface="+mn-cs"/>
            </a:rPr>
            <a:t>    Total Registered Users</a:t>
          </a:r>
          <a:r>
            <a:rPr lang="en-IN">
              <a:effectLst/>
            </a:rPr>
            <a:t> </a:t>
          </a:r>
          <a:endParaRPr lang="en-IN" sz="1100"/>
        </a:p>
      </xdr:txBody>
    </xdr:sp>
    <xdr:clientData/>
  </xdr:twoCellAnchor>
  <xdr:twoCellAnchor>
    <xdr:from>
      <xdr:col>13</xdr:col>
      <xdr:colOff>161544</xdr:colOff>
      <xdr:row>1</xdr:row>
      <xdr:rowOff>160020</xdr:rowOff>
    </xdr:from>
    <xdr:to>
      <xdr:col>16</xdr:col>
      <xdr:colOff>230124</xdr:colOff>
      <xdr:row>4</xdr:row>
      <xdr:rowOff>144780</xdr:rowOff>
    </xdr:to>
    <xdr:sp macro="" textlink="">
      <xdr:nvSpPr>
        <xdr:cNvPr id="18" name="Rectangle: Rounded Corners 27">
          <a:extLst>
            <a:ext uri="{FF2B5EF4-FFF2-40B4-BE49-F238E27FC236}">
              <a16:creationId xmlns:a16="http://schemas.microsoft.com/office/drawing/2014/main" id="{A8B1825E-501A-4097-BF6E-C18DD50A9638}"/>
            </a:ext>
          </a:extLst>
        </xdr:cNvPr>
        <xdr:cNvSpPr/>
      </xdr:nvSpPr>
      <xdr:spPr>
        <a:xfrm>
          <a:off x="8086344" y="342900"/>
          <a:ext cx="1897380" cy="533400"/>
        </a:xfrm>
        <a:prstGeom prst="roundRect">
          <a:avLst>
            <a:gd name="adj" fmla="val 4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b="0" i="0" u="none" strike="noStrike">
              <a:solidFill>
                <a:schemeClr val="dk1"/>
              </a:solidFill>
              <a:effectLst/>
              <a:latin typeface="+mn-lt"/>
              <a:ea typeface="+mn-ea"/>
              <a:cs typeface="+mn-cs"/>
            </a:rPr>
            <a:t>Transaction QoQ Growth %</a:t>
          </a:r>
          <a:r>
            <a:rPr lang="en-IN">
              <a:effectLst/>
            </a:rPr>
            <a:t> </a:t>
          </a:r>
          <a:endParaRPr lang="en-IN" sz="1100"/>
        </a:p>
      </xdr:txBody>
    </xdr:sp>
    <xdr:clientData/>
  </xdr:twoCellAnchor>
  <xdr:twoCellAnchor>
    <xdr:from>
      <xdr:col>20</xdr:col>
      <xdr:colOff>15240</xdr:colOff>
      <xdr:row>1</xdr:row>
      <xdr:rowOff>144780</xdr:rowOff>
    </xdr:from>
    <xdr:to>
      <xdr:col>23</xdr:col>
      <xdr:colOff>83820</xdr:colOff>
      <xdr:row>4</xdr:row>
      <xdr:rowOff>129540</xdr:rowOff>
    </xdr:to>
    <xdr:sp macro="" textlink="">
      <xdr:nvSpPr>
        <xdr:cNvPr id="29" name="Rectangle: Rounded Corners 28">
          <a:extLst>
            <a:ext uri="{FF2B5EF4-FFF2-40B4-BE49-F238E27FC236}">
              <a16:creationId xmlns:a16="http://schemas.microsoft.com/office/drawing/2014/main" id="{51494D98-F9F7-4607-B023-816D2F3910A0}"/>
            </a:ext>
          </a:extLst>
        </xdr:cNvPr>
        <xdr:cNvSpPr/>
      </xdr:nvSpPr>
      <xdr:spPr>
        <a:xfrm>
          <a:off x="12207240" y="327660"/>
          <a:ext cx="1897380" cy="533400"/>
        </a:xfrm>
        <a:prstGeom prst="roundRect">
          <a:avLst>
            <a:gd name="adj" fmla="val 4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b="0" i="0" u="none" strike="noStrike">
              <a:solidFill>
                <a:schemeClr val="dk1"/>
              </a:solidFill>
              <a:effectLst/>
              <a:latin typeface="+mn-lt"/>
              <a:ea typeface="+mn-ea"/>
              <a:cs typeface="+mn-cs"/>
            </a:rPr>
            <a:t>Avg App Opens per  User</a:t>
          </a:r>
          <a:r>
            <a:rPr lang="en-IN">
              <a:effectLst/>
            </a:rPr>
            <a:t> </a:t>
          </a:r>
          <a:endParaRPr lang="en-IN" sz="1100"/>
        </a:p>
      </xdr:txBody>
    </xdr:sp>
    <xdr:clientData/>
  </xdr:twoCellAnchor>
  <xdr:twoCellAnchor>
    <xdr:from>
      <xdr:col>16</xdr:col>
      <xdr:colOff>393192</xdr:colOff>
      <xdr:row>1</xdr:row>
      <xdr:rowOff>144780</xdr:rowOff>
    </xdr:from>
    <xdr:to>
      <xdr:col>19</xdr:col>
      <xdr:colOff>461772</xdr:colOff>
      <xdr:row>4</xdr:row>
      <xdr:rowOff>129540</xdr:rowOff>
    </xdr:to>
    <xdr:sp macro="" textlink="">
      <xdr:nvSpPr>
        <xdr:cNvPr id="30" name="Rectangle: Rounded Corners 29">
          <a:extLst>
            <a:ext uri="{FF2B5EF4-FFF2-40B4-BE49-F238E27FC236}">
              <a16:creationId xmlns:a16="http://schemas.microsoft.com/office/drawing/2014/main" id="{B84A3503-3172-45FC-99AD-FC1619277DA7}"/>
            </a:ext>
          </a:extLst>
        </xdr:cNvPr>
        <xdr:cNvSpPr/>
      </xdr:nvSpPr>
      <xdr:spPr>
        <a:xfrm>
          <a:off x="10146792" y="327660"/>
          <a:ext cx="1897380" cy="533400"/>
        </a:xfrm>
        <a:prstGeom prst="roundRect">
          <a:avLst>
            <a:gd name="adj" fmla="val 4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 User QoQ Growth % </a:t>
          </a:r>
        </a:p>
      </xdr:txBody>
    </xdr:sp>
    <xdr:clientData/>
  </xdr:twoCellAnchor>
  <xdr:twoCellAnchor>
    <xdr:from>
      <xdr:col>9</xdr:col>
      <xdr:colOff>539496</xdr:colOff>
      <xdr:row>1</xdr:row>
      <xdr:rowOff>160020</xdr:rowOff>
    </xdr:from>
    <xdr:to>
      <xdr:col>12</xdr:col>
      <xdr:colOff>608076</xdr:colOff>
      <xdr:row>4</xdr:row>
      <xdr:rowOff>144780</xdr:rowOff>
    </xdr:to>
    <xdr:sp macro="" textlink="">
      <xdr:nvSpPr>
        <xdr:cNvPr id="17" name="Rectangle: Rounded Corners 30">
          <a:extLst>
            <a:ext uri="{FF2B5EF4-FFF2-40B4-BE49-F238E27FC236}">
              <a16:creationId xmlns:a16="http://schemas.microsoft.com/office/drawing/2014/main" id="{2BEFB5A1-2DC5-4655-979D-D1871A5A8A49}"/>
            </a:ext>
          </a:extLst>
        </xdr:cNvPr>
        <xdr:cNvSpPr/>
      </xdr:nvSpPr>
      <xdr:spPr>
        <a:xfrm>
          <a:off x="6025896" y="342900"/>
          <a:ext cx="1897380" cy="533400"/>
        </a:xfrm>
        <a:prstGeom prst="roundRect">
          <a:avLst>
            <a:gd name="adj" fmla="val 4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b="0" i="0" u="none" strike="noStrike">
              <a:solidFill>
                <a:schemeClr val="dk1"/>
              </a:solidFill>
              <a:effectLst/>
              <a:latin typeface="+mn-lt"/>
              <a:ea typeface="+mn-ea"/>
              <a:cs typeface="+mn-cs"/>
            </a:rPr>
            <a:t>Avg Transactions-per-User</a:t>
          </a:r>
          <a:r>
            <a:rPr lang="en-IN">
              <a:effectLst/>
            </a:rPr>
            <a:t> </a:t>
          </a:r>
          <a:endParaRPr lang="en-IN" sz="1100"/>
        </a:p>
      </xdr:txBody>
    </xdr:sp>
    <xdr:clientData/>
  </xdr:twoCellAnchor>
  <xdr:oneCellAnchor>
    <xdr:from>
      <xdr:col>3</xdr:col>
      <xdr:colOff>281940</xdr:colOff>
      <xdr:row>3</xdr:row>
      <xdr:rowOff>89642</xdr:rowOff>
    </xdr:from>
    <xdr:ext cx="904158" cy="254927"/>
    <xdr:sp macro="" textlink="Dataset!J6">
      <xdr:nvSpPr>
        <xdr:cNvPr id="503" name="TextBox 31">
          <a:extLst>
            <a:ext uri="{FF2B5EF4-FFF2-40B4-BE49-F238E27FC236}">
              <a16:creationId xmlns:a16="http://schemas.microsoft.com/office/drawing/2014/main" id="{AE09ABEB-D5C8-D9EA-FA63-9FDE1DDF3F03}"/>
            </a:ext>
          </a:extLst>
        </xdr:cNvPr>
        <xdr:cNvSpPr txBox="1"/>
      </xdr:nvSpPr>
      <xdr:spPr>
        <a:xfrm>
          <a:off x="2110740" y="638282"/>
          <a:ext cx="904158" cy="254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BC8CC02-F5A0-4051-B860-5E0F1F14257A}" type="TxLink">
            <a:rPr lang="en-US" sz="1100" b="0" i="0" u="none" strike="noStrike">
              <a:solidFill>
                <a:srgbClr val="000000"/>
              </a:solidFill>
              <a:latin typeface="Calibri"/>
              <a:ea typeface="Calibri"/>
              <a:cs typeface="Calibri"/>
            </a:rPr>
            <a:pPr/>
            <a:t>₹57,139.60B</a:t>
          </a:fld>
          <a:endParaRPr lang="en-IN" sz="1100"/>
        </a:p>
      </xdr:txBody>
    </xdr:sp>
    <xdr:clientData/>
  </xdr:oneCellAnchor>
  <xdr:oneCellAnchor>
    <xdr:from>
      <xdr:col>7</xdr:col>
      <xdr:colOff>320894</xdr:colOff>
      <xdr:row>3</xdr:row>
      <xdr:rowOff>89642</xdr:rowOff>
    </xdr:from>
    <xdr:ext cx="654475" cy="254927"/>
    <xdr:sp macro="" textlink="Dataset!K6">
      <xdr:nvSpPr>
        <xdr:cNvPr id="504" name="TextBox 33">
          <a:extLst>
            <a:ext uri="{FF2B5EF4-FFF2-40B4-BE49-F238E27FC236}">
              <a16:creationId xmlns:a16="http://schemas.microsoft.com/office/drawing/2014/main" id="{2FB9AC46-036B-D27E-6699-7377966889A0}"/>
            </a:ext>
          </a:extLst>
        </xdr:cNvPr>
        <xdr:cNvSpPr txBox="1"/>
      </xdr:nvSpPr>
      <xdr:spPr>
        <a:xfrm>
          <a:off x="4588094" y="638282"/>
          <a:ext cx="654475" cy="254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076BC3C5-A438-4FAE-9B86-8C690CD74C1B}" type="TxLink">
            <a:rPr lang="en-US" sz="1100" b="0" i="0" u="none" strike="noStrike">
              <a:solidFill>
                <a:srgbClr val="000000"/>
              </a:solidFill>
              <a:latin typeface="Calibri"/>
              <a:ea typeface="Calibri"/>
              <a:cs typeface="Calibri"/>
            </a:rPr>
            <a:pPr/>
            <a:t>169.81B</a:t>
          </a:fld>
          <a:endParaRPr lang="en-IN" sz="1100"/>
        </a:p>
      </xdr:txBody>
    </xdr:sp>
    <xdr:clientData/>
  </xdr:oneCellAnchor>
  <xdr:oneCellAnchor>
    <xdr:from>
      <xdr:col>11</xdr:col>
      <xdr:colOff>216860</xdr:colOff>
      <xdr:row>3</xdr:row>
      <xdr:rowOff>89642</xdr:rowOff>
    </xdr:from>
    <xdr:ext cx="577722" cy="254927"/>
    <xdr:sp macro="" textlink="Dataset!L6">
      <xdr:nvSpPr>
        <xdr:cNvPr id="505" name="TextBox 34">
          <a:extLst>
            <a:ext uri="{FF2B5EF4-FFF2-40B4-BE49-F238E27FC236}">
              <a16:creationId xmlns:a16="http://schemas.microsoft.com/office/drawing/2014/main" id="{3C656F76-EB4E-2FA7-5533-338557466A24}"/>
            </a:ext>
          </a:extLst>
        </xdr:cNvPr>
        <xdr:cNvSpPr txBox="1"/>
      </xdr:nvSpPr>
      <xdr:spPr>
        <a:xfrm>
          <a:off x="6922460" y="638282"/>
          <a:ext cx="577722" cy="254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C0E74E50-50AD-4EAF-B468-31458CCE6C12}" type="TxLink">
            <a:rPr lang="en-US" sz="1100" b="0" i="0" u="none" strike="noStrike">
              <a:solidFill>
                <a:srgbClr val="000000"/>
              </a:solidFill>
              <a:latin typeface="Calibri"/>
              <a:ea typeface="Calibri"/>
              <a:cs typeface="Calibri"/>
            </a:rPr>
            <a:pPr/>
            <a:t>336.50</a:t>
          </a:fld>
          <a:endParaRPr lang="en-IN" sz="1100"/>
        </a:p>
      </xdr:txBody>
    </xdr:sp>
    <xdr:clientData/>
  </xdr:oneCellAnchor>
  <xdr:oneCellAnchor>
    <xdr:from>
      <xdr:col>14</xdr:col>
      <xdr:colOff>78980</xdr:colOff>
      <xdr:row>3</xdr:row>
      <xdr:rowOff>89642</xdr:rowOff>
    </xdr:from>
    <xdr:ext cx="607089" cy="254927"/>
    <xdr:sp macro="" textlink="Dataset!J10">
      <xdr:nvSpPr>
        <xdr:cNvPr id="506" name="TextBox 35">
          <a:extLst>
            <a:ext uri="{FF2B5EF4-FFF2-40B4-BE49-F238E27FC236}">
              <a16:creationId xmlns:a16="http://schemas.microsoft.com/office/drawing/2014/main" id="{0DA41185-33FE-BE3E-0AC8-DFE6184BFB3E}"/>
            </a:ext>
          </a:extLst>
        </xdr:cNvPr>
        <xdr:cNvSpPr txBox="1"/>
      </xdr:nvSpPr>
      <xdr:spPr>
        <a:xfrm>
          <a:off x="8613380" y="638282"/>
          <a:ext cx="607089" cy="254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0123B9A1-329A-4991-9A4F-AA4B9AD50ABF}" type="TxLink">
            <a:rPr lang="en-US" sz="1100" b="0" i="0" u="none" strike="noStrike">
              <a:solidFill>
                <a:srgbClr val="000000"/>
              </a:solidFill>
              <a:latin typeface="Calibri"/>
              <a:ea typeface="Calibri"/>
              <a:cs typeface="Calibri"/>
            </a:rPr>
            <a:pPr/>
            <a:t>26.09%</a:t>
          </a:fld>
          <a:endParaRPr lang="en-IN" sz="1100"/>
        </a:p>
      </xdr:txBody>
    </xdr:sp>
    <xdr:clientData/>
  </xdr:oneCellAnchor>
  <xdr:oneCellAnchor>
    <xdr:from>
      <xdr:col>17</xdr:col>
      <xdr:colOff>298570</xdr:colOff>
      <xdr:row>3</xdr:row>
      <xdr:rowOff>89642</xdr:rowOff>
    </xdr:from>
    <xdr:ext cx="535596" cy="254927"/>
    <xdr:sp macro="" textlink="Dataset!K10">
      <xdr:nvSpPr>
        <xdr:cNvPr id="507" name="TextBox 36">
          <a:extLst>
            <a:ext uri="{FF2B5EF4-FFF2-40B4-BE49-F238E27FC236}">
              <a16:creationId xmlns:a16="http://schemas.microsoft.com/office/drawing/2014/main" id="{438209CB-D9BA-20DD-3A94-35E5A7A02642}"/>
            </a:ext>
          </a:extLst>
        </xdr:cNvPr>
        <xdr:cNvSpPr txBox="1"/>
      </xdr:nvSpPr>
      <xdr:spPr>
        <a:xfrm>
          <a:off x="10661770" y="638282"/>
          <a:ext cx="535596" cy="254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764DE05B-3F94-47F2-98A8-760CD5F65F08}" type="TxLink">
            <a:rPr lang="en-US" sz="1100" b="0" i="0" u="none" strike="noStrike">
              <a:solidFill>
                <a:srgbClr val="000000"/>
              </a:solidFill>
              <a:latin typeface="Calibri"/>
              <a:ea typeface="Calibri"/>
              <a:cs typeface="Calibri"/>
            </a:rPr>
            <a:pPr/>
            <a:t>6.95%</a:t>
          </a:fld>
          <a:endParaRPr lang="en-IN" sz="1100"/>
        </a:p>
      </xdr:txBody>
    </xdr:sp>
    <xdr:clientData/>
  </xdr:oneCellAnchor>
  <xdr:oneCellAnchor>
    <xdr:from>
      <xdr:col>20</xdr:col>
      <xdr:colOff>518160</xdr:colOff>
      <xdr:row>3</xdr:row>
      <xdr:rowOff>89642</xdr:rowOff>
    </xdr:from>
    <xdr:ext cx="506229" cy="254927"/>
    <xdr:sp macro="" textlink="Dataset!J14">
      <xdr:nvSpPr>
        <xdr:cNvPr id="508" name="TextBox 37">
          <a:extLst>
            <a:ext uri="{FF2B5EF4-FFF2-40B4-BE49-F238E27FC236}">
              <a16:creationId xmlns:a16="http://schemas.microsoft.com/office/drawing/2014/main" id="{998D87E1-3E7C-B9FF-5C37-66B79316E937}"/>
            </a:ext>
          </a:extLst>
        </xdr:cNvPr>
        <xdr:cNvSpPr txBox="1"/>
      </xdr:nvSpPr>
      <xdr:spPr>
        <a:xfrm>
          <a:off x="12710160" y="638282"/>
          <a:ext cx="506229" cy="254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1D60A20-33C2-46C9-A331-AA56867D8670}" type="TxLink">
            <a:rPr lang="en-US" sz="1100" b="0" i="0" u="none" strike="noStrike">
              <a:solidFill>
                <a:srgbClr val="000000"/>
              </a:solidFill>
              <a:latin typeface="Calibri"/>
              <a:ea typeface="Calibri"/>
              <a:cs typeface="Calibri"/>
            </a:rPr>
            <a:pPr/>
            <a:t> </a:t>
          </a:fld>
          <a:endParaRPr lang="en-IN" sz="1100"/>
        </a:p>
      </xdr:txBody>
    </xdr:sp>
    <xdr:clientData/>
  </xdr:oneCellAnchor>
  <xdr:twoCellAnchor>
    <xdr:from>
      <xdr:col>3</xdr:col>
      <xdr:colOff>38100</xdr:colOff>
      <xdr:row>7</xdr:row>
      <xdr:rowOff>129540</xdr:rowOff>
    </xdr:from>
    <xdr:to>
      <xdr:col>10</xdr:col>
      <xdr:colOff>342900</xdr:colOff>
      <xdr:row>16</xdr:row>
      <xdr:rowOff>22860</xdr:rowOff>
    </xdr:to>
    <xdr:graphicFrame macro="">
      <xdr:nvGraphicFramePr>
        <xdr:cNvPr id="5" name="Chart 4">
          <a:extLst>
            <a:ext uri="{FF2B5EF4-FFF2-40B4-BE49-F238E27FC236}">
              <a16:creationId xmlns:a16="http://schemas.microsoft.com/office/drawing/2014/main" id="{7C1EB3FF-C052-49B3-B731-C28C38049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415203</xdr:colOff>
      <xdr:row>7</xdr:row>
      <xdr:rowOff>106680</xdr:rowOff>
    </xdr:from>
    <xdr:to>
      <xdr:col>15</xdr:col>
      <xdr:colOff>556260</xdr:colOff>
      <xdr:row>16</xdr:row>
      <xdr:rowOff>45720</xdr:rowOff>
    </xdr:to>
    <xdr:graphicFrame macro="">
      <xdr:nvGraphicFramePr>
        <xdr:cNvPr id="510" name="Chart 509">
          <a:extLst>
            <a:ext uri="{FF2B5EF4-FFF2-40B4-BE49-F238E27FC236}">
              <a16:creationId xmlns:a16="http://schemas.microsoft.com/office/drawing/2014/main" id="{1070A8F9-8077-4889-9F9A-994FED233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124025</xdr:colOff>
      <xdr:row>16</xdr:row>
      <xdr:rowOff>114300</xdr:rowOff>
    </xdr:from>
    <xdr:to>
      <xdr:col>23</xdr:col>
      <xdr:colOff>83820</xdr:colOff>
      <xdr:row>26</xdr:row>
      <xdr:rowOff>0</xdr:rowOff>
    </xdr:to>
    <xdr:graphicFrame macro="">
      <xdr:nvGraphicFramePr>
        <xdr:cNvPr id="511" name="Chart 510">
          <a:extLst>
            <a:ext uri="{FF2B5EF4-FFF2-40B4-BE49-F238E27FC236}">
              <a16:creationId xmlns:a16="http://schemas.microsoft.com/office/drawing/2014/main" id="{A5CE4036-2187-41A2-AB7D-DE1103641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30480</xdr:colOff>
      <xdr:row>16</xdr:row>
      <xdr:rowOff>99061</xdr:rowOff>
    </xdr:from>
    <xdr:to>
      <xdr:col>9</xdr:col>
      <xdr:colOff>539496</xdr:colOff>
      <xdr:row>25</xdr:row>
      <xdr:rowOff>129541</xdr:rowOff>
    </xdr:to>
    <xdr:graphicFrame macro="">
      <xdr:nvGraphicFramePr>
        <xdr:cNvPr id="519" name="Chart 518">
          <a:extLst>
            <a:ext uri="{FF2B5EF4-FFF2-40B4-BE49-F238E27FC236}">
              <a16:creationId xmlns:a16="http://schemas.microsoft.com/office/drawing/2014/main" id="{009AA453-A721-4100-B12D-DEBC16FF9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15240</xdr:colOff>
      <xdr:row>7</xdr:row>
      <xdr:rowOff>99060</xdr:rowOff>
    </xdr:from>
    <xdr:to>
      <xdr:col>23</xdr:col>
      <xdr:colOff>83820</xdr:colOff>
      <xdr:row>16</xdr:row>
      <xdr:rowOff>60960</xdr:rowOff>
    </xdr:to>
    <xdr:graphicFrame macro="">
      <xdr:nvGraphicFramePr>
        <xdr:cNvPr id="520" name="Chart 519">
          <a:extLst>
            <a:ext uri="{FF2B5EF4-FFF2-40B4-BE49-F238E27FC236}">
              <a16:creationId xmlns:a16="http://schemas.microsoft.com/office/drawing/2014/main" id="{AE7D565E-A273-4F50-AE2C-AB8CD2A57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16</xdr:row>
      <xdr:rowOff>106680</xdr:rowOff>
    </xdr:from>
    <xdr:to>
      <xdr:col>16</xdr:col>
      <xdr:colOff>15240</xdr:colOff>
      <xdr:row>25</xdr:row>
      <xdr:rowOff>129541</xdr:rowOff>
    </xdr:to>
    <xdr:graphicFrame macro="">
      <xdr:nvGraphicFramePr>
        <xdr:cNvPr id="521" name="Chart 520">
          <a:extLst>
            <a:ext uri="{FF2B5EF4-FFF2-40B4-BE49-F238E27FC236}">
              <a16:creationId xmlns:a16="http://schemas.microsoft.com/office/drawing/2014/main" id="{32B44179-2899-427C-AB8F-D4EFAE3D7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76200</xdr:colOff>
      <xdr:row>5</xdr:row>
      <xdr:rowOff>1</xdr:rowOff>
    </xdr:from>
    <xdr:to>
      <xdr:col>19</xdr:col>
      <xdr:colOff>461772</xdr:colOff>
      <xdr:row>7</xdr:row>
      <xdr:rowOff>99060</xdr:rowOff>
    </xdr:to>
    <mc:AlternateContent xmlns:mc="http://schemas.openxmlformats.org/markup-compatibility/2006" xmlns:a14="http://schemas.microsoft.com/office/drawing/2010/main">
      <mc:Choice Requires="a14">
        <xdr:graphicFrame macro="">
          <xdr:nvGraphicFramePr>
            <xdr:cNvPr id="524" name="transaction_type 1">
              <a:extLst>
                <a:ext uri="{FF2B5EF4-FFF2-40B4-BE49-F238E27FC236}">
                  <a16:creationId xmlns:a16="http://schemas.microsoft.com/office/drawing/2014/main" id="{DDB5DA5C-25B4-4E79-8972-8C27E8350073}"/>
                </a:ext>
              </a:extLst>
            </xdr:cNvPr>
            <xdr:cNvGraphicFramePr/>
          </xdr:nvGraphicFramePr>
          <xdr:xfrm>
            <a:off x="0" y="0"/>
            <a:ext cx="0" cy="0"/>
          </xdr:xfrm>
          <a:graphic>
            <a:graphicData uri="http://schemas.microsoft.com/office/drawing/2010/slicer">
              <sle:slicer xmlns:sle="http://schemas.microsoft.com/office/drawing/2010/slicer" name="transaction_type 1"/>
            </a:graphicData>
          </a:graphic>
        </xdr:graphicFrame>
      </mc:Choice>
      <mc:Fallback xmlns="">
        <xdr:sp macro="" textlink="">
          <xdr:nvSpPr>
            <xdr:cNvPr id="0" name=""/>
            <xdr:cNvSpPr>
              <a:spLocks noTextEdit="1"/>
            </xdr:cNvSpPr>
          </xdr:nvSpPr>
          <xdr:spPr>
            <a:xfrm>
              <a:off x="1905000" y="914401"/>
              <a:ext cx="10139172" cy="464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xdr:colOff>
      <xdr:row>5</xdr:row>
      <xdr:rowOff>1</xdr:rowOff>
    </xdr:from>
    <xdr:to>
      <xdr:col>24</xdr:col>
      <xdr:colOff>518551</xdr:colOff>
      <xdr:row>7</xdr:row>
      <xdr:rowOff>91440</xdr:rowOff>
    </xdr:to>
    <mc:AlternateContent xmlns:mc="http://schemas.openxmlformats.org/markup-compatibility/2006" xmlns:a14="http://schemas.microsoft.com/office/drawing/2010/main">
      <mc:Choice Requires="a14">
        <xdr:graphicFrame macro="">
          <xdr:nvGraphicFramePr>
            <xdr:cNvPr id="523" name="year 1">
              <a:extLst>
                <a:ext uri="{FF2B5EF4-FFF2-40B4-BE49-F238E27FC236}">
                  <a16:creationId xmlns:a16="http://schemas.microsoft.com/office/drawing/2014/main" id="{42034DB9-ABBF-467E-8872-A7F089C35A4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363201" y="914401"/>
              <a:ext cx="4785750" cy="457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xdr:row>
      <xdr:rowOff>160020</xdr:rowOff>
    </xdr:from>
    <xdr:to>
      <xdr:col>3</xdr:col>
      <xdr:colOff>30480</xdr:colOff>
      <xdr:row>20</xdr:row>
      <xdr:rowOff>0</xdr:rowOff>
    </xdr:to>
    <mc:AlternateContent xmlns:mc="http://schemas.openxmlformats.org/markup-compatibility/2006" xmlns:a14="http://schemas.microsoft.com/office/drawing/2010/main">
      <mc:Choice Requires="a14">
        <xdr:graphicFrame macro="">
          <xdr:nvGraphicFramePr>
            <xdr:cNvPr id="522" name="state 1">
              <a:extLst>
                <a:ext uri="{FF2B5EF4-FFF2-40B4-BE49-F238E27FC236}">
                  <a16:creationId xmlns:a16="http://schemas.microsoft.com/office/drawing/2014/main" id="{18763DB9-1C98-4B06-9FF4-E48871D39BE5}"/>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0480" y="342900"/>
              <a:ext cx="1828800" cy="3314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20</xdr:row>
      <xdr:rowOff>53340</xdr:rowOff>
    </xdr:from>
    <xdr:to>
      <xdr:col>3</xdr:col>
      <xdr:colOff>0</xdr:colOff>
      <xdr:row>25</xdr:row>
      <xdr:rowOff>129541</xdr:rowOff>
    </xdr:to>
    <mc:AlternateContent xmlns:mc="http://schemas.openxmlformats.org/markup-compatibility/2006" xmlns:a14="http://schemas.microsoft.com/office/drawing/2010/main">
      <mc:Choice Requires="a14">
        <xdr:graphicFrame macro="">
          <xdr:nvGraphicFramePr>
            <xdr:cNvPr id="525" name="quarter 1">
              <a:extLst>
                <a:ext uri="{FF2B5EF4-FFF2-40B4-BE49-F238E27FC236}">
                  <a16:creationId xmlns:a16="http://schemas.microsoft.com/office/drawing/2014/main" id="{D215C215-82D2-46BD-A439-000F6C9550AE}"/>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30480" y="3710940"/>
              <a:ext cx="1798320" cy="990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444610</xdr:colOff>
      <xdr:row>2</xdr:row>
      <xdr:rowOff>170677</xdr:rowOff>
    </xdr:from>
    <xdr:to>
      <xdr:col>5</xdr:col>
      <xdr:colOff>1369391</xdr:colOff>
      <xdr:row>18</xdr:row>
      <xdr:rowOff>77304</xdr:rowOff>
    </xdr:to>
    <xdr:graphicFrame macro="">
      <xdr:nvGraphicFramePr>
        <xdr:cNvPr id="2" name="Chart 1">
          <a:extLst>
            <a:ext uri="{FF2B5EF4-FFF2-40B4-BE49-F238E27FC236}">
              <a16:creationId xmlns:a16="http://schemas.microsoft.com/office/drawing/2014/main" id="{3C36E942-3A06-2E9C-8D35-70BC63D08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264459</xdr:colOff>
      <xdr:row>1</xdr:row>
      <xdr:rowOff>129989</xdr:rowOff>
    </xdr:from>
    <xdr:to>
      <xdr:col>10</xdr:col>
      <xdr:colOff>1349189</xdr:colOff>
      <xdr:row>17</xdr:row>
      <xdr:rowOff>4483</xdr:rowOff>
    </xdr:to>
    <xdr:graphicFrame macro="">
      <xdr:nvGraphicFramePr>
        <xdr:cNvPr id="7" name="Chart 6">
          <a:extLst>
            <a:ext uri="{FF2B5EF4-FFF2-40B4-BE49-F238E27FC236}">
              <a16:creationId xmlns:a16="http://schemas.microsoft.com/office/drawing/2014/main" id="{33D20F60-8F6F-5B3D-0754-ACE68E84C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291352</xdr:colOff>
      <xdr:row>18</xdr:row>
      <xdr:rowOff>76200</xdr:rowOff>
    </xdr:from>
    <xdr:to>
      <xdr:col>10</xdr:col>
      <xdr:colOff>1394011</xdr:colOff>
      <xdr:row>28</xdr:row>
      <xdr:rowOff>143436</xdr:rowOff>
    </xdr:to>
    <xdr:graphicFrame macro="">
      <xdr:nvGraphicFramePr>
        <xdr:cNvPr id="8" name="Chart 7">
          <a:extLst>
            <a:ext uri="{FF2B5EF4-FFF2-40B4-BE49-F238E27FC236}">
              <a16:creationId xmlns:a16="http://schemas.microsoft.com/office/drawing/2014/main" id="{B87B0CA9-0B09-600D-FA69-1420073C5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183776</xdr:colOff>
      <xdr:row>30</xdr:row>
      <xdr:rowOff>161363</xdr:rowOff>
    </xdr:from>
    <xdr:to>
      <xdr:col>11</xdr:col>
      <xdr:colOff>851647</xdr:colOff>
      <xdr:row>41</xdr:row>
      <xdr:rowOff>8965</xdr:rowOff>
    </xdr:to>
    <xdr:graphicFrame macro="">
      <xdr:nvGraphicFramePr>
        <xdr:cNvPr id="10" name="Chart 9">
          <a:extLst>
            <a:ext uri="{FF2B5EF4-FFF2-40B4-BE49-F238E27FC236}">
              <a16:creationId xmlns:a16="http://schemas.microsoft.com/office/drawing/2014/main" id="{857C21E9-0B6A-50F0-DB35-FB86DD609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971826</xdr:colOff>
      <xdr:row>50</xdr:row>
      <xdr:rowOff>64053</xdr:rowOff>
    </xdr:from>
    <xdr:to>
      <xdr:col>9</xdr:col>
      <xdr:colOff>938696</xdr:colOff>
      <xdr:row>64</xdr:row>
      <xdr:rowOff>178906</xdr:rowOff>
    </xdr:to>
    <xdr:graphicFrame macro="">
      <xdr:nvGraphicFramePr>
        <xdr:cNvPr id="14" name="Chart 13">
          <a:extLst>
            <a:ext uri="{FF2B5EF4-FFF2-40B4-BE49-F238E27FC236}">
              <a16:creationId xmlns:a16="http://schemas.microsoft.com/office/drawing/2014/main" id="{6E5B3632-8FF2-AEB1-84B9-66BE7C4A9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99392</xdr:colOff>
      <xdr:row>50</xdr:row>
      <xdr:rowOff>135833</xdr:rowOff>
    </xdr:from>
    <xdr:to>
      <xdr:col>4</xdr:col>
      <xdr:colOff>1082262</xdr:colOff>
      <xdr:row>65</xdr:row>
      <xdr:rowOff>62947</xdr:rowOff>
    </xdr:to>
    <xdr:graphicFrame macro="">
      <xdr:nvGraphicFramePr>
        <xdr:cNvPr id="16" name="Chart 15">
          <a:extLst>
            <a:ext uri="{FF2B5EF4-FFF2-40B4-BE49-F238E27FC236}">
              <a16:creationId xmlns:a16="http://schemas.microsoft.com/office/drawing/2014/main" id="{537EA8D2-783A-8722-91B4-27AF0D179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905566</xdr:colOff>
      <xdr:row>91</xdr:row>
      <xdr:rowOff>108226</xdr:rowOff>
    </xdr:from>
    <xdr:to>
      <xdr:col>6</xdr:col>
      <xdr:colOff>2308087</xdr:colOff>
      <xdr:row>106</xdr:row>
      <xdr:rowOff>35339</xdr:rowOff>
    </xdr:to>
    <xdr:graphicFrame macro="">
      <xdr:nvGraphicFramePr>
        <xdr:cNvPr id="3" name="Chart 2">
          <a:extLst>
            <a:ext uri="{FF2B5EF4-FFF2-40B4-BE49-F238E27FC236}">
              <a16:creationId xmlns:a16="http://schemas.microsoft.com/office/drawing/2014/main" id="{01EA9943-9424-A144-488E-A0471EC95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424070</xdr:colOff>
      <xdr:row>24</xdr:row>
      <xdr:rowOff>0</xdr:rowOff>
    </xdr:from>
    <xdr:to>
      <xdr:col>2</xdr:col>
      <xdr:colOff>0</xdr:colOff>
      <xdr:row>37</xdr:row>
      <xdr:rowOff>26366</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EE58B3A1-146E-B20F-E40D-4628D91C65C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24070" y="450573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331305</xdr:colOff>
      <xdr:row>23</xdr:row>
      <xdr:rowOff>117199</xdr:rowOff>
    </xdr:from>
    <xdr:to>
      <xdr:col>3</xdr:col>
      <xdr:colOff>536714</xdr:colOff>
      <xdr:row>36</xdr:row>
      <xdr:rowOff>143565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03D96191-894C-00E3-1AE0-CA80A239810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84175" y="443519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876853</xdr:colOff>
      <xdr:row>23</xdr:row>
      <xdr:rowOff>161373</xdr:rowOff>
    </xdr:from>
    <xdr:to>
      <xdr:col>4</xdr:col>
      <xdr:colOff>1082262</xdr:colOff>
      <xdr:row>37</xdr:row>
      <xdr:rowOff>0</xdr:rowOff>
    </xdr:to>
    <mc:AlternateContent xmlns:mc="http://schemas.openxmlformats.org/markup-compatibility/2006" xmlns:a14="http://schemas.microsoft.com/office/drawing/2010/main">
      <mc:Choice Requires="a14">
        <xdr:graphicFrame macro="">
          <xdr:nvGraphicFramePr>
            <xdr:cNvPr id="9" name="transaction_type">
              <a:extLst>
                <a:ext uri="{FF2B5EF4-FFF2-40B4-BE49-F238E27FC236}">
                  <a16:creationId xmlns:a16="http://schemas.microsoft.com/office/drawing/2014/main" id="{A588040C-B50A-2C52-A5C1-B46400441B1F}"/>
                </a:ext>
              </a:extLst>
            </xdr:cNvPr>
            <xdr:cNvGraphicFramePr/>
          </xdr:nvGraphicFramePr>
          <xdr:xfrm>
            <a:off x="0" y="0"/>
            <a:ext cx="0" cy="0"/>
          </xdr:xfrm>
          <a:graphic>
            <a:graphicData uri="http://schemas.microsoft.com/office/drawing/2010/slicer">
              <sle:slicer xmlns:sle="http://schemas.microsoft.com/office/drawing/2010/slicer" name="transaction_type"/>
            </a:graphicData>
          </a:graphic>
        </xdr:graphicFrame>
      </mc:Choice>
      <mc:Fallback xmlns="">
        <xdr:sp macro="" textlink="">
          <xdr:nvSpPr>
            <xdr:cNvPr id="0" name=""/>
            <xdr:cNvSpPr>
              <a:spLocks noTextEdit="1"/>
            </xdr:cNvSpPr>
          </xdr:nvSpPr>
          <xdr:spPr>
            <a:xfrm>
              <a:off x="4753114" y="447937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1535043</xdr:colOff>
      <xdr:row>23</xdr:row>
      <xdr:rowOff>77305</xdr:rowOff>
    </xdr:from>
    <xdr:to>
      <xdr:col>5</xdr:col>
      <xdr:colOff>1740452</xdr:colOff>
      <xdr:row>36</xdr:row>
      <xdr:rowOff>103671</xdr:rowOff>
    </xdr:to>
    <mc:AlternateContent xmlns:mc="http://schemas.openxmlformats.org/markup-compatibility/2006" xmlns:a14="http://schemas.microsoft.com/office/drawing/2010/main">
      <mc:Choice Requires="a14">
        <xdr:graphicFrame macro="">
          <xdr:nvGraphicFramePr>
            <xdr:cNvPr id="11" name="quarter">
              <a:extLst>
                <a:ext uri="{FF2B5EF4-FFF2-40B4-BE49-F238E27FC236}">
                  <a16:creationId xmlns:a16="http://schemas.microsoft.com/office/drawing/2014/main" id="{35F04697-792B-360D-A07E-7B0DF4E36CF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7034695" y="439530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shanshu dewangan" refreshedDate="46227.804837847223" createdVersion="8" refreshedVersion="8" minRefreshableVersion="3" recordCount="2875" xr:uid="{7DB30AF2-E2A1-4E81-B5FB-0516F1C89B7A}">
  <cacheSource type="worksheet">
    <worksheetSource ref="A1:I1048576" sheet="Dataset"/>
  </cacheSource>
  <cacheFields count="9">
    <cacheField name="state" numFmtId="0">
      <sharedItems containsBlank="1" count="37">
        <s v="andaman-&amp;-nicobar-islands"/>
        <s v="andhra-pradesh"/>
        <s v="arunachal-pradesh"/>
        <s v="assam"/>
        <s v="bihar"/>
        <s v="chandigarh"/>
        <s v="chhattisgarh"/>
        <s v="dadra-&amp;-nagar-haveli-&amp;-daman-&amp;-diu"/>
        <s v="delhi"/>
        <s v="goa"/>
        <s v="gujarat"/>
        <s v="haryana"/>
        <s v="himachal-pradesh"/>
        <s v="jammu-&amp;-kashmir"/>
        <s v="jharkhand"/>
        <s v="karnataka"/>
        <s v="kerala"/>
        <s v="ladakh"/>
        <s v="lakshadweep"/>
        <s v="madhya-pradesh"/>
        <s v="maharashtra"/>
        <s v="manipur"/>
        <s v="meghalaya"/>
        <s v="mizoram"/>
        <s v="nagaland"/>
        <s v="odisha"/>
        <s v="puducherry"/>
        <s v="punjab"/>
        <s v="rajasthan"/>
        <s v="sikkim"/>
        <s v="tamil-nadu"/>
        <s v="telangana"/>
        <s v="tripura"/>
        <s v="uttar-pradesh"/>
        <s v="uttarakhand"/>
        <s v="west-bengal"/>
        <m/>
      </sharedItems>
    </cacheField>
    <cacheField name="year" numFmtId="0">
      <sharedItems containsString="0" containsBlank="1" containsNumber="1" containsInteger="1" minValue="2018" maxValue="2021"/>
    </cacheField>
    <cacheField name="quarter" numFmtId="0">
      <sharedItems containsString="0" containsBlank="1" containsNumber="1" containsInteger="1" minValue="1" maxValue="4"/>
    </cacheField>
    <cacheField name="transaction_type" numFmtId="0">
      <sharedItems containsBlank="1"/>
    </cacheField>
    <cacheField name="txn_count" numFmtId="0">
      <sharedItems containsString="0" containsBlank="1" containsNumber="1" containsInteger="1" minValue="2" maxValue="540351277"/>
    </cacheField>
    <cacheField name="txn_amount" numFmtId="165">
      <sharedItems containsString="0" containsBlank="1" containsNumber="1" minValue="34.397211816256558" maxValue="1204991223519.0161"/>
    </cacheField>
    <cacheField name="registered_users" numFmtId="164">
      <sharedItems containsString="0" containsBlank="1" containsNumber="1" containsInteger="1" minValue="5511" maxValue="500307566"/>
    </cacheField>
    <cacheField name="app_opens" numFmtId="0">
      <sharedItems containsString="0" containsBlank="1" containsNumber="1" containsInteger="1" minValue="0" maxValue="22349131728"/>
    </cacheField>
    <cacheField name=" Transactions-per-User" numFmtId="2">
      <sharedItems containsString="0" containsBlank="1" containsNumber="1" minValue="1.2884298541505246E-3" maxValue="5236.948793028648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shanshu dewangan" refreshedDate="46227.813922569447" createdVersion="8" refreshedVersion="8" minRefreshableVersion="3" recordCount="2874" xr:uid="{4F5F4D94-EF4A-4B47-9883-E2D418192948}">
  <cacheSource type="worksheet">
    <worksheetSource name="excel_use"/>
  </cacheSource>
  <cacheFields count="10">
    <cacheField name="state" numFmtId="0">
      <sharedItems count="36">
        <s v="andaman-&amp;-nicobar-islands"/>
        <s v="andhra-pradesh"/>
        <s v="arunachal-pradesh"/>
        <s v="assam"/>
        <s v="bihar"/>
        <s v="chandigarh"/>
        <s v="chhattisgarh"/>
        <s v="dadra-&amp;-nagar-haveli-&amp;-daman-&amp;-diu"/>
        <s v="delhi"/>
        <s v="goa"/>
        <s v="gujarat"/>
        <s v="haryana"/>
        <s v="himachal-pradesh"/>
        <s v="jammu-&amp;-kashmir"/>
        <s v="jharkhand"/>
        <s v="karnataka"/>
        <s v="kerala"/>
        <s v="ladakh"/>
        <s v="lakshadweep"/>
        <s v="madhya-pradesh"/>
        <s v="maharashtra"/>
        <s v="manipur"/>
        <s v="meghalaya"/>
        <s v="mizoram"/>
        <s v="nagaland"/>
        <s v="odisha"/>
        <s v="puducherry"/>
        <s v="punjab"/>
        <s v="rajasthan"/>
        <s v="sikkim"/>
        <s v="tamil-nadu"/>
        <s v="telangana"/>
        <s v="tripura"/>
        <s v="uttar-pradesh"/>
        <s v="uttarakhand"/>
        <s v="west-bengal"/>
      </sharedItems>
    </cacheField>
    <cacheField name="year" numFmtId="0">
      <sharedItems containsSemiMixedTypes="0" containsString="0" containsNumber="1" containsInteger="1" minValue="2018" maxValue="2021" count="4">
        <n v="2018"/>
        <n v="2019"/>
        <n v="2020"/>
        <n v="2021"/>
      </sharedItems>
    </cacheField>
    <cacheField name="quarter" numFmtId="0">
      <sharedItems containsSemiMixedTypes="0" containsString="0" containsNumber="1" containsInteger="1" minValue="1" maxValue="4" count="4">
        <n v="1"/>
        <n v="2"/>
        <n v="3"/>
        <n v="4"/>
      </sharedItems>
    </cacheField>
    <cacheField name="transaction_type" numFmtId="0">
      <sharedItems count="5">
        <s v="Recharge &amp; bill payments"/>
        <s v="Peer-to-peer payments"/>
        <s v="Merchant payments"/>
        <s v="Financial Services"/>
        <s v="Others"/>
      </sharedItems>
    </cacheField>
    <cacheField name="txn_count" numFmtId="0">
      <sharedItems containsSemiMixedTypes="0" containsString="0" containsNumber="1" containsInteger="1" minValue="2" maxValue="540351277"/>
    </cacheField>
    <cacheField name="txn_amount" numFmtId="165">
      <sharedItems containsSemiMixedTypes="0" containsString="0" containsNumber="1" minValue="34.397211816256558" maxValue="1204991223519.0161"/>
    </cacheField>
    <cacheField name="registered_users" numFmtId="164">
      <sharedItems containsSemiMixedTypes="0" containsString="0" containsNumber="1" containsInteger="1" minValue="5511" maxValue="500307566"/>
    </cacheField>
    <cacheField name="app_opens" numFmtId="0">
      <sharedItems containsSemiMixedTypes="0" containsString="0" containsNumber="1" containsInteger="1" minValue="0" maxValue="22349131728"/>
    </cacheField>
    <cacheField name=" Transactions-per-User" numFmtId="2">
      <sharedItems containsSemiMixedTypes="0" containsString="0" containsNumber="1" minValue="1.2884298541505246E-3" maxValue="5236.9487930286487"/>
    </cacheField>
    <cacheField name="transaction_per_user" numFmtId="0" formula="txn_count/registered_users" databaseField="0"/>
  </cacheFields>
  <extLst>
    <ext xmlns:x14="http://schemas.microsoft.com/office/spreadsheetml/2009/9/main" uri="{725AE2AE-9491-48be-B2B4-4EB974FC3084}">
      <x14:pivotCacheDefinition pivotCacheId="165342703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shanshu dewangan" refreshedDate="46233.002693171293" createdVersion="8" refreshedVersion="8" minRefreshableVersion="3" recordCount="4" xr:uid="{E5D02DAC-03B6-44C6-98E6-C64751DDA362}">
  <cacheSource type="worksheet">
    <worksheetSource ref="J17:N21" sheet="Dataset"/>
  </cacheSource>
  <cacheFields count="5">
    <cacheField name="YEAR " numFmtId="0">
      <sharedItems containsSemiMixedTypes="0" containsString="0" containsNumber="1" containsInteger="1" minValue="2018" maxValue="2021" count="4">
        <n v="2018"/>
        <n v="2019"/>
        <n v="2020"/>
        <n v="2021"/>
      </sharedItems>
    </cacheField>
    <cacheField name="Total Txn Amount" numFmtId="0">
      <sharedItems containsSemiMixedTypes="0" containsString="0" containsNumber="1" minValue="1623045396413.8962" maxValue="34598699687166.465"/>
    </cacheField>
    <cacheField name="YOY Amount  Growth %" numFmtId="9">
      <sharedItems containsString="0" containsBlank="1" containsNumber="1" minValue="1.3326253698417045" maxValue="2.8672289432305544"/>
    </cacheField>
    <cacheField name="Transaction Count" numFmtId="0">
      <sharedItems containsSemiMixedTypes="0" containsString="0" containsNumber="1" containsInteger="1" minValue="1080202410" maxValue="19288429220"/>
    </cacheField>
    <cacheField name="YOY transaction growth  Growth %" numFmtId="0">
      <sharedItems containsString="0" containsBlank="1" containsNumber="1" minValue="0.95448834491879331" maxValue="2.77690993579619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5">
  <r>
    <x v="0"/>
    <n v="2018"/>
    <n v="1"/>
    <s v="Recharge &amp; bill payments"/>
    <n v="4200"/>
    <n v="1845307.4673655091"/>
    <n v="74140"/>
    <n v="0"/>
    <n v="24.889499155186257"/>
  </r>
  <r>
    <x v="0"/>
    <n v="2018"/>
    <n v="1"/>
    <s v="Peer-to-peer payments"/>
    <n v="1871"/>
    <n v="12138655.299749982"/>
    <n v="74140"/>
    <n v="0"/>
    <n v="163.72613029066605"/>
  </r>
  <r>
    <x v="0"/>
    <n v="2018"/>
    <n v="1"/>
    <s v="Merchant payments"/>
    <n v="298"/>
    <n v="452507.16864661302"/>
    <n v="74140"/>
    <n v="0"/>
    <n v="6.1034147376128001"/>
  </r>
  <r>
    <x v="0"/>
    <n v="2018"/>
    <n v="1"/>
    <s v="Financial Services"/>
    <n v="33"/>
    <n v="10601.419933464953"/>
    <n v="74140"/>
    <n v="0"/>
    <n v="0.14299190630516526"/>
  </r>
  <r>
    <x v="0"/>
    <n v="2018"/>
    <n v="1"/>
    <s v="Others"/>
    <n v="256"/>
    <n v="184689.8662902223"/>
    <n v="74140"/>
    <n v="0"/>
    <n v="2.4910961193717602"/>
  </r>
  <r>
    <x v="0"/>
    <n v="2018"/>
    <n v="2"/>
    <s v="Recharge &amp; bill payments"/>
    <n v="6735"/>
    <n v="2320944.7310744789"/>
    <n v="103455"/>
    <n v="0"/>
    <n v="22.434340834899029"/>
  </r>
  <r>
    <x v="0"/>
    <n v="2018"/>
    <n v="2"/>
    <s v="Peer-to-peer payments"/>
    <n v="3575"/>
    <n v="24511925.231047668"/>
    <n v="103455"/>
    <n v="0"/>
    <n v="236.9332099081501"/>
  </r>
  <r>
    <x v="0"/>
    <n v="2018"/>
    <n v="2"/>
    <s v="Merchant payments"/>
    <n v="603"/>
    <n v="1024491.0133579008"/>
    <n v="103455"/>
    <n v="0"/>
    <n v="9.9027694491121814"/>
  </r>
  <r>
    <x v="0"/>
    <n v="2018"/>
    <n v="2"/>
    <s v="Financial Services"/>
    <n v="59"/>
    <n v="121336.0270987509"/>
    <n v="103455"/>
    <n v="0"/>
    <n v="1.1728386941061417"/>
  </r>
  <r>
    <x v="0"/>
    <n v="2018"/>
    <n v="2"/>
    <s v="Others"/>
    <n v="368"/>
    <n v="359838.50537474576"/>
    <n v="103455"/>
    <n v="0"/>
    <n v="3.4782128014571141"/>
  </r>
  <r>
    <x v="0"/>
    <n v="2018"/>
    <n v="3"/>
    <s v="Recharge &amp; bill payments"/>
    <n v="8636"/>
    <n v="4343504.868377829"/>
    <n v="133639"/>
    <n v="0"/>
    <n v="32.50177619091604"/>
  </r>
  <r>
    <x v="0"/>
    <n v="2018"/>
    <n v="3"/>
    <s v="Peer-to-peer payments"/>
    <n v="6448"/>
    <n v="49270781.541635044"/>
    <n v="133639"/>
    <n v="0"/>
    <n v="368.68564971030196"/>
  </r>
  <r>
    <x v="0"/>
    <n v="2018"/>
    <n v="3"/>
    <s v="Merchant payments"/>
    <n v="945"/>
    <n v="1627359.8394868043"/>
    <n v="133639"/>
    <n v="0"/>
    <n v="12.177282376303356"/>
  </r>
  <r>
    <x v="0"/>
    <n v="2018"/>
    <n v="3"/>
    <s v="Financial Services"/>
    <n v="42"/>
    <n v="1481.4907042806485"/>
    <n v="133639"/>
    <n v="0"/>
    <n v="1.1085766163175784E-2"/>
  </r>
  <r>
    <x v="0"/>
    <n v="2018"/>
    <n v="3"/>
    <s v="Others"/>
    <n v="194"/>
    <n v="314343.39410715323"/>
    <n v="133639"/>
    <n v="0"/>
    <n v="2.352183076101686"/>
  </r>
  <r>
    <x v="0"/>
    <n v="2018"/>
    <n v="4"/>
    <s v="Recharge &amp; bill payments"/>
    <n v="11517"/>
    <n v="5450549.5122943753"/>
    <n v="167442"/>
    <n v="0"/>
    <n v="32.551865794092137"/>
  </r>
  <r>
    <x v="0"/>
    <n v="2018"/>
    <n v="4"/>
    <s v="Peer-to-peer payments"/>
    <n v="10451"/>
    <n v="81001456.97825177"/>
    <n v="167442"/>
    <n v="0"/>
    <n v="483.75829826597732"/>
  </r>
  <r>
    <x v="0"/>
    <n v="2018"/>
    <n v="4"/>
    <s v="Merchant payments"/>
    <n v="1421"/>
    <n v="3552027.735492656"/>
    <n v="167442"/>
    <n v="0"/>
    <n v="21.213481297957838"/>
  </r>
  <r>
    <x v="0"/>
    <n v="2018"/>
    <n v="4"/>
    <s v="Financial Services"/>
    <n v="29"/>
    <n v="76035.787739328603"/>
    <n v="167442"/>
    <n v="0"/>
    <n v="0.45410224280245459"/>
  </r>
  <r>
    <x v="0"/>
    <n v="2018"/>
    <n v="4"/>
    <s v="Others"/>
    <n v="340"/>
    <n v="468266.06067704351"/>
    <n v="167442"/>
    <n v="0"/>
    <n v="2.7965866429990296"/>
  </r>
  <r>
    <x v="0"/>
    <n v="2019"/>
    <n v="1"/>
    <s v="Recharge &amp; bill payments"/>
    <n v="15263"/>
    <n v="6611459.8729725825"/>
    <n v="204556"/>
    <n v="0"/>
    <n v="32.321026383839062"/>
  </r>
  <r>
    <x v="0"/>
    <n v="2019"/>
    <n v="1"/>
    <s v="Peer-to-peer payments"/>
    <n v="13119"/>
    <n v="91808345.868395522"/>
    <n v="204556"/>
    <n v="0"/>
    <n v="448.81766297930898"/>
  </r>
  <r>
    <x v="0"/>
    <n v="2019"/>
    <n v="1"/>
    <s v="Merchant payments"/>
    <n v="1759"/>
    <n v="3266589.8469614363"/>
    <n v="204556"/>
    <n v="0"/>
    <n v="15.969171507858173"/>
  </r>
  <r>
    <x v="0"/>
    <n v="2019"/>
    <n v="1"/>
    <s v="Financial Services"/>
    <n v="62"/>
    <n v="116250.43671861099"/>
    <n v="204556"/>
    <n v="0"/>
    <n v="0.56830616906182652"/>
  </r>
  <r>
    <x v="0"/>
    <n v="2019"/>
    <n v="1"/>
    <s v="Others"/>
    <n v="283"/>
    <n v="497094.64844172052"/>
    <n v="204556"/>
    <n v="0"/>
    <n v="2.4301152175527507"/>
  </r>
  <r>
    <x v="0"/>
    <n v="2019"/>
    <n v="2"/>
    <s v="Recharge &amp; bill payments"/>
    <n v="14676"/>
    <n v="7242448.2562123332"/>
    <n v="239041"/>
    <n v="579040"/>
    <n v="30.297933225732546"/>
  </r>
  <r>
    <x v="0"/>
    <n v="2019"/>
    <n v="2"/>
    <s v="Peer-to-peer payments"/>
    <n v="14481"/>
    <n v="107525358.66652842"/>
    <n v="239041"/>
    <n v="579040"/>
    <n v="449.81973245814908"/>
  </r>
  <r>
    <x v="0"/>
    <n v="2019"/>
    <n v="2"/>
    <s v="Merchant payments"/>
    <n v="4031"/>
    <n v="4702152.6166193718"/>
    <n v="239041"/>
    <n v="579040"/>
    <n v="19.670904224042619"/>
  </r>
  <r>
    <x v="0"/>
    <n v="2019"/>
    <n v="2"/>
    <s v="Financial Services"/>
    <n v="124"/>
    <n v="113278.91371326067"/>
    <n v="239041"/>
    <n v="579040"/>
    <n v="0.47388905548947952"/>
  </r>
  <r>
    <x v="0"/>
    <n v="2019"/>
    <n v="2"/>
    <s v="Others"/>
    <n v="377"/>
    <n v="671471.22258979199"/>
    <n v="239041"/>
    <n v="579040"/>
    <n v="2.8090211411004473"/>
  </r>
  <r>
    <x v="0"/>
    <n v="2019"/>
    <n v="3"/>
    <s v="Recharge &amp; bill payments"/>
    <n v="16219"/>
    <n v="8171737.7059166813"/>
    <n v="263241"/>
    <n v="1882177"/>
    <n v="31.042799966254044"/>
  </r>
  <r>
    <x v="0"/>
    <n v="2019"/>
    <n v="3"/>
    <s v="Peer-to-peer payments"/>
    <n v="13767"/>
    <n v="101079821.10344616"/>
    <n v="263241"/>
    <n v="1882177"/>
    <n v="383.98205865897091"/>
  </r>
  <r>
    <x v="0"/>
    <n v="2019"/>
    <n v="3"/>
    <s v="Merchant payments"/>
    <n v="3519"/>
    <n v="4428734.574846684"/>
    <n v="263241"/>
    <n v="1882177"/>
    <n v="16.823878403617538"/>
  </r>
  <r>
    <x v="0"/>
    <n v="2019"/>
    <n v="3"/>
    <s v="Financial Services"/>
    <n v="50"/>
    <n v="158857.94315586874"/>
    <n v="263241"/>
    <n v="1882177"/>
    <n v="0.60346960829000318"/>
  </r>
  <r>
    <x v="0"/>
    <n v="2019"/>
    <n v="3"/>
    <s v="Others"/>
    <n v="215"/>
    <n v="232624.75992853564"/>
    <n v="263241"/>
    <n v="1882177"/>
    <n v="0.88369501684211671"/>
  </r>
  <r>
    <x v="0"/>
    <n v="2019"/>
    <n v="4"/>
    <s v="Peer-to-peer payments"/>
    <n v="18128"/>
    <n v="121493224.30754511"/>
    <n v="285560"/>
    <n v="1947132"/>
    <n v="425.45603133332787"/>
  </r>
  <r>
    <x v="0"/>
    <n v="2019"/>
    <n v="4"/>
    <s v="Recharge &amp; bill payments"/>
    <n v="13851"/>
    <n v="9538690.9164246339"/>
    <n v="285560"/>
    <n v="1947132"/>
    <n v="33.403456073766051"/>
  </r>
  <r>
    <x v="0"/>
    <n v="2019"/>
    <n v="4"/>
    <s v="Merchant payments"/>
    <n v="2920"/>
    <n v="5247500.4879023759"/>
    <n v="285560"/>
    <n v="1947132"/>
    <n v="18.376174842073034"/>
  </r>
  <r>
    <x v="0"/>
    <n v="2019"/>
    <n v="4"/>
    <s v="Financial Services"/>
    <n v="60"/>
    <n v="295937.21108988649"/>
    <n v="285560"/>
    <n v="1947132"/>
    <n v="1.0363398623402664"/>
  </r>
  <r>
    <x v="0"/>
    <n v="2019"/>
    <n v="4"/>
    <s v="Others"/>
    <n v="200"/>
    <n v="263177.59441588831"/>
    <n v="285560"/>
    <n v="1947132"/>
    <n v="0.92161925485322982"/>
  </r>
  <r>
    <x v="0"/>
    <n v="2020"/>
    <n v="1"/>
    <s v="Peer-to-peer payments"/>
    <n v="18324"/>
    <n v="142332401.79234773"/>
    <n v="312048"/>
    <n v="2129446"/>
    <n v="456.12342265403953"/>
  </r>
  <r>
    <x v="0"/>
    <n v="2020"/>
    <n v="1"/>
    <s v="Recharge &amp; bill payments"/>
    <n v="18268"/>
    <n v="10850414.023977457"/>
    <n v="312048"/>
    <n v="2129446"/>
    <n v="34.771618545792492"/>
  </r>
  <r>
    <x v="0"/>
    <n v="2020"/>
    <n v="1"/>
    <s v="Merchant payments"/>
    <n v="4424"/>
    <n v="7752871.558217709"/>
    <n v="312048"/>
    <n v="2129446"/>
    <n v="24.845124975060596"/>
  </r>
  <r>
    <x v="0"/>
    <n v="2020"/>
    <n v="1"/>
    <s v="Financial Services"/>
    <n v="66"/>
    <n v="208231.73071652642"/>
    <n v="312048"/>
    <n v="2129446"/>
    <n v="0.66730673074823876"/>
  </r>
  <r>
    <x v="0"/>
    <n v="2020"/>
    <n v="1"/>
    <s v="Others"/>
    <n v="216"/>
    <n v="332393.19201521645"/>
    <n v="312048"/>
    <n v="2129446"/>
    <n v="1.065198918163925"/>
  </r>
  <r>
    <x v="0"/>
    <n v="2020"/>
    <n v="2"/>
    <s v="Recharge &amp; bill payments"/>
    <n v="38125"/>
    <n v="17659622.734188288"/>
    <n v="359810"/>
    <n v="3355792"/>
    <n v="49.08041114529415"/>
  </r>
  <r>
    <x v="0"/>
    <n v="2020"/>
    <n v="2"/>
    <s v="Peer-to-peer payments"/>
    <n v="20303"/>
    <n v="141728757.73517442"/>
    <n v="359810"/>
    <n v="3355792"/>
    <n v="393.89888478689983"/>
  </r>
  <r>
    <x v="0"/>
    <n v="2020"/>
    <n v="2"/>
    <s v="Merchant payments"/>
    <n v="4004"/>
    <n v="9236375.7404713426"/>
    <n v="359810"/>
    <n v="3355792"/>
    <n v="25.67014741244363"/>
  </r>
  <r>
    <x v="0"/>
    <n v="2020"/>
    <n v="2"/>
    <s v="Financial Services"/>
    <n v="175"/>
    <n v="706932.13971158117"/>
    <n v="359810"/>
    <n v="3355792"/>
    <n v="1.964737332791143"/>
  </r>
  <r>
    <x v="0"/>
    <n v="2020"/>
    <n v="2"/>
    <s v="Others"/>
    <n v="355"/>
    <n v="313313.06460143271"/>
    <n v="359810"/>
    <n v="3355792"/>
    <n v="0.87077364331572971"/>
  </r>
  <r>
    <x v="0"/>
    <n v="2020"/>
    <n v="3"/>
    <s v="Recharge &amp; bill payments"/>
    <n v="59310"/>
    <n v="24756220.875469353"/>
    <n v="454685"/>
    <n v="5671215"/>
    <n v="54.44697070602583"/>
  </r>
  <r>
    <x v="0"/>
    <n v="2020"/>
    <n v="3"/>
    <s v="Peer-to-peer payments"/>
    <n v="40697"/>
    <n v="289078946.73123938"/>
    <n v="454685"/>
    <n v="5671215"/>
    <n v="635.77849880959207"/>
  </r>
  <r>
    <x v="0"/>
    <n v="2020"/>
    <n v="3"/>
    <s v="Merchant payments"/>
    <n v="16096"/>
    <n v="22682992.238478824"/>
    <n v="454685"/>
    <n v="5671215"/>
    <n v="49.887267533520621"/>
  </r>
  <r>
    <x v="0"/>
    <n v="2020"/>
    <n v="3"/>
    <s v="Financial Services"/>
    <n v="572"/>
    <n v="961836.71298602736"/>
    <n v="454685"/>
    <n v="5671215"/>
    <n v="2.1153913434268281"/>
  </r>
  <r>
    <x v="0"/>
    <n v="2020"/>
    <n v="3"/>
    <s v="Others"/>
    <n v="808"/>
    <n v="539449.77218683623"/>
    <n v="454685"/>
    <n v="5671215"/>
    <n v="1.1864252662542996"/>
  </r>
  <r>
    <x v="0"/>
    <n v="2020"/>
    <n v="4"/>
    <s v="Peer-to-peer payments"/>
    <n v="81439"/>
    <n v="533316526.18149829"/>
    <n v="576356"/>
    <n v="9759288"/>
    <n v="925.32484468192968"/>
  </r>
  <r>
    <x v="0"/>
    <n v="2020"/>
    <n v="4"/>
    <s v="Recharge &amp; bill payments"/>
    <n v="80811"/>
    <n v="33710030.534383245"/>
    <n v="576356"/>
    <n v="9759288"/>
    <n v="58.488209603757475"/>
  </r>
  <r>
    <x v="0"/>
    <n v="2020"/>
    <n v="4"/>
    <s v="Merchant payments"/>
    <n v="59391"/>
    <n v="56867468.940003954"/>
    <n v="576356"/>
    <n v="9759288"/>
    <n v="98.667262837558653"/>
  </r>
  <r>
    <x v="0"/>
    <n v="2020"/>
    <n v="4"/>
    <s v="Financial Services"/>
    <n v="965"/>
    <n v="1880546.9672370641"/>
    <n v="576356"/>
    <n v="9759288"/>
    <n v="3.2628218795970967"/>
  </r>
  <r>
    <x v="0"/>
    <n v="2020"/>
    <n v="4"/>
    <s v="Others"/>
    <n v="1925"/>
    <n v="1508083.6917299272"/>
    <n v="576356"/>
    <n v="9759288"/>
    <n v="2.61658365963038"/>
  </r>
  <r>
    <x v="0"/>
    <n v="2021"/>
    <n v="1"/>
    <s v="Peer-to-peer payments"/>
    <n v="105458"/>
    <n v="665391395.71547794"/>
    <n v="635338"/>
    <n v="11047696"/>
    <n v="1047.3030036224466"/>
  </r>
  <r>
    <x v="0"/>
    <n v="2021"/>
    <n v="1"/>
    <s v="Recharge &amp; bill payments"/>
    <n v="84119"/>
    <n v="37160922.865069963"/>
    <n v="635338"/>
    <n v="11047696"/>
    <n v="58.490005107627695"/>
  </r>
  <r>
    <x v="0"/>
    <n v="2021"/>
    <n v="1"/>
    <s v="Merchant payments"/>
    <n v="53090"/>
    <n v="78606979.057514578"/>
    <n v="635338"/>
    <n v="11047696"/>
    <n v="123.72466160927661"/>
  </r>
  <r>
    <x v="0"/>
    <n v="2021"/>
    <n v="1"/>
    <s v="Financial Services"/>
    <n v="884"/>
    <n v="1469351.0852598653"/>
    <n v="635338"/>
    <n v="11047696"/>
    <n v="2.3127077008771164"/>
  </r>
  <r>
    <x v="0"/>
    <n v="2021"/>
    <n v="1"/>
    <s v="Others"/>
    <n v="1201"/>
    <n v="1077918.6664332279"/>
    <n v="635338"/>
    <n v="11047696"/>
    <n v="1.6966066352606455"/>
  </r>
  <r>
    <x v="0"/>
    <n v="2021"/>
    <n v="2"/>
    <s v="Peer-to-peer payments"/>
    <n v="132772"/>
    <n v="748382044.77073073"/>
    <n v="683045"/>
    <n v="24730453"/>
    <n v="1095.6555494451036"/>
  </r>
  <r>
    <x v="0"/>
    <n v="2021"/>
    <n v="2"/>
    <s v="Recharge &amp; bill payments"/>
    <n v="120911"/>
    <n v="43691961.262751207"/>
    <n v="683045"/>
    <n v="24730453"/>
    <n v="63.966446226458295"/>
  </r>
  <r>
    <x v="0"/>
    <n v="2021"/>
    <n v="2"/>
    <s v="Merchant payments"/>
    <n v="85143"/>
    <n v="103707408.50908463"/>
    <n v="683045"/>
    <n v="24730453"/>
    <n v="151.83100455912074"/>
  </r>
  <r>
    <x v="0"/>
    <n v="2021"/>
    <n v="2"/>
    <s v="Financial Services"/>
    <n v="960"/>
    <n v="2038521.5136710338"/>
    <n v="683045"/>
    <n v="24730453"/>
    <n v="2.9844615123030458"/>
  </r>
  <r>
    <x v="0"/>
    <n v="2021"/>
    <n v="2"/>
    <s v="Others"/>
    <n v="1628"/>
    <n v="1327080.0560584562"/>
    <n v="683045"/>
    <n v="24730453"/>
    <n v="1.9428881787560939"/>
  </r>
  <r>
    <x v="0"/>
    <n v="2021"/>
    <n v="3"/>
    <s v="Peer-to-peer payments"/>
    <n v="192321"/>
    <n v="1077787837.1562996"/>
    <n v="736802"/>
    <n v="34337875"/>
    <n v="1462.79168237369"/>
  </r>
  <r>
    <x v="0"/>
    <n v="2021"/>
    <n v="3"/>
    <s v="Recharge &amp; bill payments"/>
    <n v="136010"/>
    <n v="51243450.859250553"/>
    <n v="736802"/>
    <n v="34337875"/>
    <n v="69.54846873278106"/>
  </r>
  <r>
    <x v="0"/>
    <n v="2021"/>
    <n v="3"/>
    <s v="Merchant payments"/>
    <n v="118340"/>
    <n v="176991328.21761328"/>
    <n v="736802"/>
    <n v="34337875"/>
    <n v="240.21559145823883"/>
  </r>
  <r>
    <x v="0"/>
    <n v="2021"/>
    <n v="3"/>
    <s v="Financial Services"/>
    <n v="990"/>
    <n v="2351013.4417295731"/>
    <n v="736802"/>
    <n v="34337875"/>
    <n v="3.1908347720684431"/>
  </r>
  <r>
    <x v="0"/>
    <n v="2021"/>
    <n v="3"/>
    <s v="Others"/>
    <n v="2103"/>
    <n v="1650766.1267105162"/>
    <n v="736802"/>
    <n v="34337875"/>
    <n v="2.2404474020300111"/>
  </r>
  <r>
    <x v="0"/>
    <n v="2021"/>
    <n v="4"/>
    <s v="Peer-to-peer payments"/>
    <n v="285778"/>
    <n v="1544932663.2744582"/>
    <n v="789580"/>
    <n v="23242010"/>
    <n v="1956.6512111178831"/>
  </r>
  <r>
    <x v="0"/>
    <n v="2021"/>
    <n v="4"/>
    <s v="Merchant payments"/>
    <n v="210164"/>
    <n v="322842314.62433755"/>
    <n v="789580"/>
    <n v="23242010"/>
    <n v="408.87853621461733"/>
  </r>
  <r>
    <x v="0"/>
    <n v="2021"/>
    <n v="4"/>
    <s v="Recharge &amp; bill payments"/>
    <n v="135608"/>
    <n v="59243518.114643581"/>
    <n v="789580"/>
    <n v="23242010"/>
    <n v="75.031685344922082"/>
  </r>
  <r>
    <x v="0"/>
    <n v="2021"/>
    <n v="4"/>
    <s v="Financial Services"/>
    <n v="1718"/>
    <n v="3137965.1674740678"/>
    <n v="789580"/>
    <n v="23242010"/>
    <n v="3.9742206837484075"/>
  </r>
  <r>
    <x v="0"/>
    <n v="2021"/>
    <n v="4"/>
    <s v="Others"/>
    <n v="2855"/>
    <n v="2453640.1427439442"/>
    <n v="789580"/>
    <n v="23242010"/>
    <n v="3.1075257006813044"/>
  </r>
  <r>
    <x v="1"/>
    <n v="2018"/>
    <n v="1"/>
    <s v="Recharge &amp; bill payments"/>
    <n v="5027448"/>
    <n v="892293975.66985619"/>
    <n v="36700950"/>
    <n v="0"/>
    <n v="24.312558003807972"/>
  </r>
  <r>
    <x v="1"/>
    <n v="2018"/>
    <n v="1"/>
    <s v="Peer-to-peer payments"/>
    <n v="3049646"/>
    <n v="10524250283.178782"/>
    <n v="36700950"/>
    <n v="0"/>
    <n v="286.75689003087882"/>
  </r>
  <r>
    <x v="1"/>
    <n v="2018"/>
    <n v="1"/>
    <s v="Merchant payments"/>
    <n v="362672"/>
    <n v="247297640.24000686"/>
    <n v="36700950"/>
    <n v="0"/>
    <n v="6.7381808983148082"/>
  </r>
  <r>
    <x v="1"/>
    <n v="2018"/>
    <n v="1"/>
    <s v="Financial Services"/>
    <n v="204305"/>
    <n v="44808449.763954401"/>
    <n v="36700950"/>
    <n v="0"/>
    <n v="1.2209070818045418"/>
  </r>
  <r>
    <x v="1"/>
    <n v="2018"/>
    <n v="1"/>
    <s v="Others"/>
    <n v="395514"/>
    <n v="287626042.97070497"/>
    <n v="36700950"/>
    <n v="0"/>
    <n v="7.8370190136959659"/>
  </r>
  <r>
    <x v="1"/>
    <n v="2018"/>
    <n v="2"/>
    <s v="Recharge &amp; bill payments"/>
    <n v="6456387"/>
    <n v="1598591488.4880352"/>
    <n v="48427940"/>
    <n v="0"/>
    <n v="33.009694165971858"/>
  </r>
  <r>
    <x v="1"/>
    <n v="2018"/>
    <n v="2"/>
    <s v="Peer-to-peer payments"/>
    <n v="4745000"/>
    <n v="20451493098.895302"/>
    <n v="48427940"/>
    <n v="0"/>
    <n v="422.30772357641689"/>
  </r>
  <r>
    <x v="1"/>
    <n v="2018"/>
    <n v="2"/>
    <s v="Merchant payments"/>
    <n v="604847"/>
    <n v="436785223.86032957"/>
    <n v="48427940"/>
    <n v="0"/>
    <n v="9.0192815110518758"/>
  </r>
  <r>
    <x v="1"/>
    <n v="2018"/>
    <n v="2"/>
    <s v="Financial Services"/>
    <n v="225621"/>
    <n v="68952114.81374599"/>
    <n v="48427940"/>
    <n v="0"/>
    <n v="1.4238085455162039"/>
  </r>
  <r>
    <x v="1"/>
    <n v="2018"/>
    <n v="2"/>
    <s v="Others"/>
    <n v="322063"/>
    <n v="328092346.57565099"/>
    <n v="48427940"/>
    <n v="0"/>
    <n v="6.7748565513141994"/>
  </r>
  <r>
    <x v="1"/>
    <n v="2018"/>
    <n v="3"/>
    <s v="Peer-to-peer payments"/>
    <n v="16129591"/>
    <n v="32738630444.668724"/>
    <n v="59703787"/>
    <n v="0"/>
    <n v="548.35098558603534"/>
  </r>
  <r>
    <x v="1"/>
    <n v="2018"/>
    <n v="3"/>
    <s v="Recharge &amp; bill payments"/>
    <n v="7542005"/>
    <n v="1949098146.8941927"/>
    <n v="59703787"/>
    <n v="0"/>
    <n v="32.646139295890777"/>
  </r>
  <r>
    <x v="1"/>
    <n v="2018"/>
    <n v="3"/>
    <s v="Merchant payments"/>
    <n v="1225416"/>
    <n v="685277254.50762117"/>
    <n v="59703787"/>
    <n v="0"/>
    <n v="11.477952889447719"/>
  </r>
  <r>
    <x v="1"/>
    <n v="2018"/>
    <n v="3"/>
    <s v="Financial Services"/>
    <n v="380324"/>
    <n v="60790077.574373081"/>
    <n v="59703787"/>
    <n v="0"/>
    <n v="1.0181946678587253"/>
  </r>
  <r>
    <x v="1"/>
    <n v="2018"/>
    <n v="3"/>
    <s v="Others"/>
    <n v="348725"/>
    <n v="284248675.5700202"/>
    <n v="59703787"/>
    <n v="0"/>
    <n v="4.760982340534281"/>
  </r>
  <r>
    <x v="1"/>
    <n v="2018"/>
    <n v="4"/>
    <s v="Peer-to-peer payments"/>
    <n v="17580086"/>
    <n v="47011639726.136078"/>
    <n v="75431499"/>
    <n v="0"/>
    <n v="623.23618580264565"/>
  </r>
  <r>
    <x v="1"/>
    <n v="2018"/>
    <n v="4"/>
    <s v="Recharge &amp; bill payments"/>
    <n v="9767083"/>
    <n v="2418164314.4709568"/>
    <n v="75431499"/>
    <n v="0"/>
    <n v="32.057752351851803"/>
  </r>
  <r>
    <x v="1"/>
    <n v="2018"/>
    <n v="4"/>
    <s v="Merchant payments"/>
    <n v="2622131"/>
    <n v="1671585888.5682559"/>
    <n v="75431499"/>
    <n v="0"/>
    <n v="22.160316455705804"/>
  </r>
  <r>
    <x v="1"/>
    <n v="2018"/>
    <n v="4"/>
    <s v="Financial Services"/>
    <n v="400837"/>
    <n v="57178116.403220683"/>
    <n v="75431499"/>
    <n v="0"/>
    <n v="0.75801378948097908"/>
  </r>
  <r>
    <x v="1"/>
    <n v="2018"/>
    <n v="4"/>
    <s v="Others"/>
    <n v="389411"/>
    <n v="315211361.26249415"/>
    <n v="75431499"/>
    <n v="0"/>
    <n v="4.1787763128304549"/>
  </r>
  <r>
    <x v="1"/>
    <n v="2019"/>
    <n v="1"/>
    <s v="Peer-to-peer payments"/>
    <n v="37420988"/>
    <n v="77524329742.259506"/>
    <n v="91113209"/>
    <n v="0"/>
    <n v="850.85719834826045"/>
  </r>
  <r>
    <x v="1"/>
    <n v="2019"/>
    <n v="1"/>
    <s v="Recharge &amp; bill payments"/>
    <n v="14022264"/>
    <n v="3480641602.3771377"/>
    <n v="91113209"/>
    <n v="0"/>
    <n v="38.201284320664612"/>
  </r>
  <r>
    <x v="1"/>
    <n v="2019"/>
    <n v="1"/>
    <s v="Merchant payments"/>
    <n v="5043682"/>
    <n v="2423536770.3706346"/>
    <n v="91113209"/>
    <n v="0"/>
    <n v="26.599181358771311"/>
  </r>
  <r>
    <x v="1"/>
    <n v="2019"/>
    <n v="1"/>
    <s v="Financial Services"/>
    <n v="416325"/>
    <n v="47150177.529820479"/>
    <n v="91113209"/>
    <n v="0"/>
    <n v="0.51749003297447771"/>
  </r>
  <r>
    <x v="1"/>
    <n v="2019"/>
    <n v="1"/>
    <s v="Others"/>
    <n v="361263"/>
    <n v="284937624.53930187"/>
    <n v="91113209"/>
    <n v="0"/>
    <n v="3.1272921639638649"/>
  </r>
  <r>
    <x v="1"/>
    <n v="2019"/>
    <n v="2"/>
    <s v="Peer-to-peer payments"/>
    <n v="32494402"/>
    <n v="103924649232.47021"/>
    <n v="103279033"/>
    <n v="895127761"/>
    <n v="1006.2511839404056"/>
  </r>
  <r>
    <x v="1"/>
    <n v="2019"/>
    <n v="2"/>
    <s v="Recharge &amp; bill payments"/>
    <n v="14093964"/>
    <n v="4708345387.9101095"/>
    <n v="103279033"/>
    <n v="895127761"/>
    <n v="45.588589001507302"/>
  </r>
  <r>
    <x v="1"/>
    <n v="2019"/>
    <n v="2"/>
    <s v="Merchant payments"/>
    <n v="9226537"/>
    <n v="4613405202.6819592"/>
    <n v="103279033"/>
    <n v="895127761"/>
    <n v="44.66932995666177"/>
  </r>
  <r>
    <x v="1"/>
    <n v="2019"/>
    <n v="2"/>
    <s v="Financial Services"/>
    <n v="145310"/>
    <n v="26626696.771042537"/>
    <n v="103279033"/>
    <n v="895127761"/>
    <n v="0.25781318819128118"/>
  </r>
  <r>
    <x v="1"/>
    <n v="2019"/>
    <n v="2"/>
    <s v="Others"/>
    <n v="448802"/>
    <n v="361492238.39664549"/>
    <n v="103279033"/>
    <n v="895127761"/>
    <n v="3.5001512688121847"/>
  </r>
  <r>
    <x v="1"/>
    <n v="2019"/>
    <n v="3"/>
    <s v="Peer-to-peer payments"/>
    <n v="39023491"/>
    <n v="124338645329.51532"/>
    <n v="115045623"/>
    <n v="3420488962"/>
    <n v="1080.776843891882"/>
  </r>
  <r>
    <x v="1"/>
    <n v="2019"/>
    <n v="3"/>
    <s v="Recharge &amp; bill payments"/>
    <n v="20147629"/>
    <n v="6893984676.5989056"/>
    <n v="115045623"/>
    <n v="3420488962"/>
    <n v="59.923919718344308"/>
  </r>
  <r>
    <x v="1"/>
    <n v="2019"/>
    <n v="3"/>
    <s v="Merchant payments"/>
    <n v="16581787"/>
    <n v="7887394038.0663691"/>
    <n v="115045623"/>
    <n v="3420488962"/>
    <n v="68.558836332837885"/>
  </r>
  <r>
    <x v="1"/>
    <n v="2019"/>
    <n v="3"/>
    <s v="Financial Services"/>
    <n v="122270"/>
    <n v="29778183.027080443"/>
    <n v="115045623"/>
    <n v="3420488962"/>
    <n v="0.2588380352990956"/>
  </r>
  <r>
    <x v="1"/>
    <n v="2019"/>
    <n v="3"/>
    <s v="Others"/>
    <n v="413437"/>
    <n v="298142027.58625776"/>
    <n v="115045623"/>
    <n v="3420488962"/>
    <n v="2.5915112614606621"/>
  </r>
  <r>
    <x v="1"/>
    <n v="2019"/>
    <n v="4"/>
    <s v="Peer-to-peer payments"/>
    <n v="57181511"/>
    <n v="178893550050.68753"/>
    <n v="129336713"/>
    <n v="4523216698"/>
    <n v="1383.1614079344008"/>
  </r>
  <r>
    <x v="1"/>
    <n v="2019"/>
    <n v="4"/>
    <s v="Merchant payments"/>
    <n v="25122370"/>
    <n v="13476303367.50486"/>
    <n v="129336713"/>
    <n v="4523216698"/>
    <n v="104.19549913491971"/>
  </r>
  <r>
    <x v="1"/>
    <n v="2019"/>
    <n v="4"/>
    <s v="Recharge &amp; bill payments"/>
    <n v="24469888"/>
    <n v="8335168605.6919994"/>
    <n v="129336713"/>
    <n v="4523216698"/>
    <n v="64.445495887095873"/>
  </r>
  <r>
    <x v="1"/>
    <n v="2019"/>
    <n v="4"/>
    <s v="Financial Services"/>
    <n v="105662"/>
    <n v="26796571.745749153"/>
    <n v="129336713"/>
    <n v="4523216698"/>
    <n v="0.2071845736929247"/>
  </r>
  <r>
    <x v="1"/>
    <n v="2019"/>
    <n v="4"/>
    <s v="Others"/>
    <n v="338672"/>
    <n v="216496893.16102877"/>
    <n v="129336713"/>
    <n v="4523216698"/>
    <n v="1.673901308757002"/>
  </r>
  <r>
    <x v="1"/>
    <n v="2020"/>
    <n v="1"/>
    <s v="Peer-to-peer payments"/>
    <n v="65452143"/>
    <n v="223088554055.04755"/>
    <n v="143242660"/>
    <n v="5351651503"/>
    <n v="1557.4170017161616"/>
  </r>
  <r>
    <x v="1"/>
    <n v="2020"/>
    <n v="1"/>
    <s v="Merchant payments"/>
    <n v="31408022"/>
    <n v="18603161784.496994"/>
    <n v="143242660"/>
    <n v="5351651503"/>
    <n v="129.87165823712709"/>
  </r>
  <r>
    <x v="1"/>
    <n v="2020"/>
    <n v="1"/>
    <s v="Recharge &amp; bill payments"/>
    <n v="30449644"/>
    <n v="10813530777.973532"/>
    <n v="143242660"/>
    <n v="5351651503"/>
    <n v="75.490993939749032"/>
  </r>
  <r>
    <x v="1"/>
    <n v="2020"/>
    <n v="1"/>
    <s v="Financial Services"/>
    <n v="75238"/>
    <n v="43739133.169823855"/>
    <n v="143242660"/>
    <n v="5351651503"/>
    <n v="0.30534990881783303"/>
  </r>
  <r>
    <x v="1"/>
    <n v="2020"/>
    <n v="1"/>
    <s v="Others"/>
    <n v="292310"/>
    <n v="188228538.37489766"/>
    <n v="143242660"/>
    <n v="5351651503"/>
    <n v="1.3140536371978686"/>
  </r>
  <r>
    <x v="1"/>
    <n v="2020"/>
    <n v="2"/>
    <s v="Peer-to-peer payments"/>
    <n v="73609921"/>
    <n v="262731724130.79071"/>
    <n v="157516425"/>
    <n v="5437758678"/>
    <n v="1667.9639861734465"/>
  </r>
  <r>
    <x v="1"/>
    <n v="2020"/>
    <n v="2"/>
    <s v="Recharge &amp; bill payments"/>
    <n v="41013987"/>
    <n v="16991006436.573467"/>
    <n v="157516425"/>
    <n v="5437758678"/>
    <n v="107.8681568387136"/>
  </r>
  <r>
    <x v="1"/>
    <n v="2020"/>
    <n v="2"/>
    <s v="Merchant payments"/>
    <n v="29976765"/>
    <n v="22625596525.442692"/>
    <n v="157516425"/>
    <n v="5437758678"/>
    <n v="143.63960155547392"/>
  </r>
  <r>
    <x v="1"/>
    <n v="2020"/>
    <n v="2"/>
    <s v="Financial Services"/>
    <n v="140941"/>
    <n v="145274999.15679634"/>
    <n v="157516425"/>
    <n v="5437758678"/>
    <n v="0.92228476590169139"/>
  </r>
  <r>
    <x v="1"/>
    <n v="2020"/>
    <n v="2"/>
    <s v="Others"/>
    <n v="176241"/>
    <n v="90087654.600099787"/>
    <n v="157516425"/>
    <n v="5437758678"/>
    <n v="0.57192546491643514"/>
  </r>
  <r>
    <x v="1"/>
    <n v="2020"/>
    <n v="3"/>
    <s v="Peer-to-peer payments"/>
    <n v="106791894"/>
    <n v="406461788252.32056"/>
    <n v="172616455"/>
    <n v="7659304202"/>
    <n v="2354.710553245463"/>
  </r>
  <r>
    <x v="1"/>
    <n v="2020"/>
    <n v="3"/>
    <s v="Merchant payments"/>
    <n v="54055557"/>
    <n v="40739580213.860519"/>
    <n v="172616455"/>
    <n v="7659304202"/>
    <n v="236.01214735791277"/>
  </r>
  <r>
    <x v="1"/>
    <n v="2020"/>
    <n v="3"/>
    <s v="Recharge &amp; bill payments"/>
    <n v="43500067"/>
    <n v="19475104674.827175"/>
    <n v="172616455"/>
    <n v="7659304202"/>
    <n v="112.82299057078409"/>
  </r>
  <r>
    <x v="1"/>
    <n v="2020"/>
    <n v="3"/>
    <s v="Financial Services"/>
    <n v="243088"/>
    <n v="256074924.71875289"/>
    <n v="172616455"/>
    <n v="7659304202"/>
    <n v="1.4834908104140645"/>
  </r>
  <r>
    <x v="1"/>
    <n v="2020"/>
    <n v="3"/>
    <s v="Others"/>
    <n v="312329"/>
    <n v="151582519.18136686"/>
    <n v="172616455"/>
    <n v="7659304202"/>
    <n v="0.87814640372128405"/>
  </r>
  <r>
    <x v="1"/>
    <n v="2020"/>
    <n v="4"/>
    <s v="Peer-to-peer payments"/>
    <n v="152003791"/>
    <n v="566639138543.77075"/>
    <n v="187842215"/>
    <n v="9559863918"/>
    <n v="3016.569723391362"/>
  </r>
  <r>
    <x v="1"/>
    <n v="2020"/>
    <n v="4"/>
    <s v="Merchant payments"/>
    <n v="86581460"/>
    <n v="66654048149.951683"/>
    <n v="187842215"/>
    <n v="9559863918"/>
    <n v="354.84062062381281"/>
  </r>
  <r>
    <x v="1"/>
    <n v="2020"/>
    <n v="4"/>
    <s v="Recharge &amp; bill payments"/>
    <n v="46810304"/>
    <n v="20936337211.557747"/>
    <n v="187842215"/>
    <n v="9559863918"/>
    <n v="111.45703968385247"/>
  </r>
  <r>
    <x v="1"/>
    <n v="2020"/>
    <n v="4"/>
    <s v="Financial Services"/>
    <n v="265470"/>
    <n v="305168772.45601684"/>
    <n v="187842215"/>
    <n v="9559863918"/>
    <n v="1.6246016501456653"/>
  </r>
  <r>
    <x v="1"/>
    <n v="2020"/>
    <n v="4"/>
    <s v="Others"/>
    <n v="457527"/>
    <n v="306853355.59473807"/>
    <n v="187842215"/>
    <n v="9559863918"/>
    <n v="1.6335697254993402"/>
  </r>
  <r>
    <x v="1"/>
    <n v="2021"/>
    <n v="1"/>
    <s v="Peer-to-peer payments"/>
    <n v="149313738"/>
    <n v="580542193013.00183"/>
    <n v="202001063"/>
    <n v="10534803917"/>
    <n v="2873.9561287011734"/>
  </r>
  <r>
    <x v="1"/>
    <n v="2021"/>
    <n v="1"/>
    <s v="Merchant payments"/>
    <n v="97920281"/>
    <n v="70813192713.434769"/>
    <n v="202001063"/>
    <n v="10534803917"/>
    <n v="350.55851519669858"/>
  </r>
  <r>
    <x v="1"/>
    <n v="2021"/>
    <n v="1"/>
    <s v="Recharge &amp; bill payments"/>
    <n v="41940689"/>
    <n v="20546424964.144821"/>
    <n v="202001063"/>
    <n v="10534803917"/>
    <n v="101.71443981037278"/>
  </r>
  <r>
    <x v="1"/>
    <n v="2021"/>
    <n v="1"/>
    <s v="Financial Services"/>
    <n v="225355"/>
    <n v="270313028.48452014"/>
    <n v="202001063"/>
    <n v="10534803917"/>
    <n v="1.3381762673423165"/>
  </r>
  <r>
    <x v="1"/>
    <n v="2021"/>
    <n v="1"/>
    <s v="Others"/>
    <n v="347907"/>
    <n v="272546457.5502677"/>
    <n v="202001063"/>
    <n v="10534803917"/>
    <n v="1.3492327886921451"/>
  </r>
  <r>
    <x v="1"/>
    <n v="2021"/>
    <n v="2"/>
    <s v="Peer-to-peer payments"/>
    <n v="189614879"/>
    <n v="737004484057.43896"/>
    <n v="215829955"/>
    <n v="11491759796"/>
    <n v="3414.7460395728617"/>
  </r>
  <r>
    <x v="1"/>
    <n v="2021"/>
    <n v="2"/>
    <s v="Merchant payments"/>
    <n v="112875274"/>
    <n v="88512429436.912476"/>
    <n v="215829955"/>
    <n v="11491759796"/>
    <n v="410.10261729847684"/>
  </r>
  <r>
    <x v="1"/>
    <n v="2021"/>
    <n v="2"/>
    <s v="Recharge &amp; bill payments"/>
    <n v="49626902"/>
    <n v="24646800345.106976"/>
    <n v="215829955"/>
    <n v="11491759796"/>
    <n v="114.19545699811212"/>
  </r>
  <r>
    <x v="1"/>
    <n v="2021"/>
    <n v="2"/>
    <s v="Financial Services"/>
    <n v="243237"/>
    <n v="265483044.40124667"/>
    <n v="215829955"/>
    <n v="11491759796"/>
    <n v="1.2300565248287554"/>
  </r>
  <r>
    <x v="1"/>
    <n v="2021"/>
    <n v="2"/>
    <s v="Others"/>
    <n v="406842"/>
    <n v="308302224.38560069"/>
    <n v="215829955"/>
    <n v="11491759796"/>
    <n v="1.4284496532726456"/>
  </r>
  <r>
    <x v="1"/>
    <n v="2021"/>
    <n v="3"/>
    <s v="Peer-to-peer payments"/>
    <n v="221280317"/>
    <n v="837841124664.30701"/>
    <n v="231658878"/>
    <n v="13843905669"/>
    <n v="3616.7019882756535"/>
  </r>
  <r>
    <x v="1"/>
    <n v="2021"/>
    <n v="3"/>
    <s v="Merchant payments"/>
    <n v="158290953"/>
    <n v="118164377968.16754"/>
    <n v="231658878"/>
    <n v="13843905669"/>
    <n v="510.07921210845001"/>
  </r>
  <r>
    <x v="1"/>
    <n v="2021"/>
    <n v="3"/>
    <s v="Recharge &amp; bill payments"/>
    <n v="51702350"/>
    <n v="27511344958.24361"/>
    <n v="231658878"/>
    <n v="13843905669"/>
    <n v="118.75799967503775"/>
  </r>
  <r>
    <x v="1"/>
    <n v="2021"/>
    <n v="3"/>
    <s v="Financial Services"/>
    <n v="211171"/>
    <n v="297239697.83073866"/>
    <n v="231658878"/>
    <n v="13843905669"/>
    <n v="1.2830921931286341"/>
  </r>
  <r>
    <x v="1"/>
    <n v="2021"/>
    <n v="3"/>
    <s v="Others"/>
    <n v="547759"/>
    <n v="403948275.56756073"/>
    <n v="231658878"/>
    <n v="13843905669"/>
    <n v="1.7437202452804796"/>
  </r>
  <r>
    <x v="1"/>
    <n v="2021"/>
    <n v="4"/>
    <s v="Peer-to-peer payments"/>
    <n v="262006450"/>
    <n v="971269765249.12817"/>
    <n v="247379319"/>
    <n v="15924893611"/>
    <n v="3926.2367168580013"/>
  </r>
  <r>
    <x v="1"/>
    <n v="2021"/>
    <n v="4"/>
    <s v="Merchant payments"/>
    <n v="207538904"/>
    <n v="152883933596.5386"/>
    <n v="247379319"/>
    <n v="15924893611"/>
    <n v="618.01420674352573"/>
  </r>
  <r>
    <x v="1"/>
    <n v="2021"/>
    <n v="4"/>
    <s v="Recharge &amp; bill payments"/>
    <n v="51762842"/>
    <n v="31232784713.985794"/>
    <n v="247379319"/>
    <n v="15924893611"/>
    <n v="126.25463130968436"/>
  </r>
  <r>
    <x v="1"/>
    <n v="2021"/>
    <n v="4"/>
    <s v="Financial Services"/>
    <n v="243951"/>
    <n v="332740108.66358811"/>
    <n v="247379319"/>
    <n v="15924893611"/>
    <n v="1.3450603308661713"/>
  </r>
  <r>
    <x v="1"/>
    <n v="2021"/>
    <n v="4"/>
    <s v="Others"/>
    <n v="701856"/>
    <n v="545223415.66388321"/>
    <n v="247379319"/>
    <n v="15924893611"/>
    <n v="2.2039975607818825"/>
  </r>
  <r>
    <x v="2"/>
    <n v="2018"/>
    <n v="1"/>
    <s v="Recharge &amp; bill payments"/>
    <n v="28729"/>
    <n v="5184132.5149343377"/>
    <n v="236445"/>
    <n v="0"/>
    <n v="21.925320962314018"/>
  </r>
  <r>
    <x v="2"/>
    <n v="2018"/>
    <n v="1"/>
    <s v="Peer-to-peer payments"/>
    <n v="13320"/>
    <n v="82889682.724183053"/>
    <n v="236445"/>
    <n v="0"/>
    <n v="350.56644346119839"/>
  </r>
  <r>
    <x v="2"/>
    <n v="2018"/>
    <n v="1"/>
    <s v="Merchant payments"/>
    <n v="1042"/>
    <n v="2420374.1905855755"/>
    <n v="236445"/>
    <n v="0"/>
    <n v="10.236520927004486"/>
  </r>
  <r>
    <x v="2"/>
    <n v="2018"/>
    <n v="1"/>
    <s v="Financial Services"/>
    <n v="416"/>
    <n v="58893.762015330882"/>
    <n v="236445"/>
    <n v="0"/>
    <n v="0.24908017515841266"/>
  </r>
  <r>
    <x v="2"/>
    <n v="2018"/>
    <n v="1"/>
    <s v="Others"/>
    <n v="1990"/>
    <n v="1834252.8176908877"/>
    <n v="236445"/>
    <n v="0"/>
    <n v="7.7576299676072145"/>
  </r>
  <r>
    <x v="2"/>
    <n v="2018"/>
    <n v="2"/>
    <s v="Recharge &amp; bill payments"/>
    <n v="50700"/>
    <n v="10468878.537107183"/>
    <n v="361713"/>
    <n v="0"/>
    <n v="28.942500095675804"/>
  </r>
  <r>
    <x v="2"/>
    <n v="2018"/>
    <n v="2"/>
    <s v="Peer-to-peer payments"/>
    <n v="26477"/>
    <n v="181576281.19464755"/>
    <n v="361713"/>
    <n v="0"/>
    <n v="501.98992348809014"/>
  </r>
  <r>
    <x v="2"/>
    <n v="2018"/>
    <n v="2"/>
    <s v="Merchant payments"/>
    <n v="2378"/>
    <n v="4718953.4395610113"/>
    <n v="361713"/>
    <n v="0"/>
    <n v="13.046126181699334"/>
  </r>
  <r>
    <x v="2"/>
    <n v="2018"/>
    <n v="2"/>
    <s v="Financial Services"/>
    <n v="559"/>
    <n v="363761.80159549194"/>
    <n v="361713"/>
    <n v="0"/>
    <n v="1.0056641635647376"/>
  </r>
  <r>
    <x v="2"/>
    <n v="2018"/>
    <n v="2"/>
    <s v="Others"/>
    <n v="2043"/>
    <n v="1842317.3691352482"/>
    <n v="361713"/>
    <n v="0"/>
    <n v="5.0933125686255352"/>
  </r>
  <r>
    <x v="2"/>
    <n v="2018"/>
    <n v="3"/>
    <s v="Recharge &amp; bill payments"/>
    <n v="74122"/>
    <n v="15997565.906016497"/>
    <n v="505142"/>
    <n v="0"/>
    <n v="31.669443257572123"/>
  </r>
  <r>
    <x v="2"/>
    <n v="2018"/>
    <n v="3"/>
    <s v="Peer-to-peer payments"/>
    <n v="49740"/>
    <n v="308106303.45342577"/>
    <n v="505142"/>
    <n v="0"/>
    <n v="609.93998411026155"/>
  </r>
  <r>
    <x v="2"/>
    <n v="2018"/>
    <n v="3"/>
    <s v="Merchant payments"/>
    <n v="4738"/>
    <n v="5505694.5679134289"/>
    <n v="505142"/>
    <n v="0"/>
    <n v="10.899300727148859"/>
  </r>
  <r>
    <x v="2"/>
    <n v="2018"/>
    <n v="3"/>
    <s v="Financial Services"/>
    <n v="507"/>
    <n v="72133.845254878004"/>
    <n v="505142"/>
    <n v="0"/>
    <n v="0.14279914411171116"/>
  </r>
  <r>
    <x v="2"/>
    <n v="2018"/>
    <n v="3"/>
    <s v="Others"/>
    <n v="2039"/>
    <n v="2044708.9687807972"/>
    <n v="505142"/>
    <n v="0"/>
    <n v="4.0477904604661603"/>
  </r>
  <r>
    <x v="2"/>
    <n v="2018"/>
    <n v="4"/>
    <s v="Recharge &amp; bill payments"/>
    <n v="97751"/>
    <n v="20662691.882313278"/>
    <n v="680372"/>
    <n v="0"/>
    <n v="30.369697580607781"/>
  </r>
  <r>
    <x v="2"/>
    <n v="2018"/>
    <n v="4"/>
    <s v="Peer-to-peer payments"/>
    <n v="68169"/>
    <n v="468831493.23280358"/>
    <n v="680372"/>
    <n v="0"/>
    <n v="689.08111038197274"/>
  </r>
  <r>
    <x v="2"/>
    <n v="2018"/>
    <n v="4"/>
    <s v="Merchant payments"/>
    <n v="7726"/>
    <n v="11998974.1040326"/>
    <n v="680372"/>
    <n v="0"/>
    <n v="17.635902277037562"/>
  </r>
  <r>
    <x v="2"/>
    <n v="2018"/>
    <n v="4"/>
    <s v="Financial Services"/>
    <n v="561"/>
    <n v="100597.90379906222"/>
    <n v="680372"/>
    <n v="0"/>
    <n v="0.14785720723231147"/>
  </r>
  <r>
    <x v="2"/>
    <n v="2018"/>
    <n v="4"/>
    <s v="Others"/>
    <n v="2222"/>
    <n v="2446271.9688117937"/>
    <n v="680372"/>
    <n v="0"/>
    <n v="3.5954918321327063"/>
  </r>
  <r>
    <x v="2"/>
    <n v="2019"/>
    <n v="1"/>
    <s v="Recharge &amp; bill payments"/>
    <n v="121303"/>
    <n v="26796894.998233315"/>
    <n v="846527"/>
    <n v="0"/>
    <n v="31.6550978270431"/>
  </r>
  <r>
    <x v="2"/>
    <n v="2019"/>
    <n v="1"/>
    <s v="Peer-to-peer payments"/>
    <n v="93494"/>
    <n v="568554821.44563174"/>
    <n v="846527"/>
    <n v="0"/>
    <n v="671.6322355289692"/>
  </r>
  <r>
    <x v="2"/>
    <n v="2019"/>
    <n v="1"/>
    <s v="Merchant payments"/>
    <n v="9214"/>
    <n v="11727218.401334248"/>
    <n v="846527"/>
    <n v="0"/>
    <n v="13.853330610050534"/>
  </r>
  <r>
    <x v="2"/>
    <n v="2019"/>
    <n v="1"/>
    <s v="Financial Services"/>
    <n v="256"/>
    <n v="140622.87093631705"/>
    <n v="846527"/>
    <n v="0"/>
    <n v="0.16611740787513812"/>
  </r>
  <r>
    <x v="2"/>
    <n v="2019"/>
    <n v="1"/>
    <s v="Others"/>
    <n v="2239"/>
    <n v="2730548.5978140826"/>
    <n v="846527"/>
    <n v="0"/>
    <n v="3.2255894942678527"/>
  </r>
  <r>
    <x v="2"/>
    <n v="2019"/>
    <n v="2"/>
    <s v="Recharge &amp; bill payments"/>
    <n v="131988"/>
    <n v="30420803.412712339"/>
    <n v="1054735"/>
    <n v="5531603"/>
    <n v="28.842129456889491"/>
  </r>
  <r>
    <x v="2"/>
    <n v="2019"/>
    <n v="2"/>
    <s v="Peer-to-peer payments"/>
    <n v="106527"/>
    <n v="704237943.40544355"/>
    <n v="1054735"/>
    <n v="5531603"/>
    <n v="667.69183103380806"/>
  </r>
  <r>
    <x v="2"/>
    <n v="2019"/>
    <n v="2"/>
    <s v="Merchant payments"/>
    <n v="16828"/>
    <n v="13955724.130712911"/>
    <n v="1054735"/>
    <n v="5531603"/>
    <n v="13.231498083132646"/>
  </r>
  <r>
    <x v="2"/>
    <n v="2019"/>
    <n v="2"/>
    <s v="Financial Services"/>
    <n v="267"/>
    <n v="160660.88213627809"/>
    <n v="1054735"/>
    <n v="5531603"/>
    <n v="0.15232345768015482"/>
  </r>
  <r>
    <x v="2"/>
    <n v="2019"/>
    <n v="2"/>
    <s v="Others"/>
    <n v="3046"/>
    <n v="3880742.5240231371"/>
    <n v="1054735"/>
    <n v="5531603"/>
    <n v="3.6793531304291003"/>
  </r>
  <r>
    <x v="2"/>
    <n v="2019"/>
    <n v="3"/>
    <s v="Recharge &amp; bill payments"/>
    <n v="216228"/>
    <n v="50946104.942898422"/>
    <n v="1233639"/>
    <n v="19928700"/>
    <n v="41.297417593719416"/>
  </r>
  <r>
    <x v="2"/>
    <n v="2019"/>
    <n v="3"/>
    <s v="Peer-to-peer payments"/>
    <n v="133484"/>
    <n v="841037395.2474606"/>
    <n v="1233639"/>
    <n v="19928700"/>
    <n v="681.75324811185487"/>
  </r>
  <r>
    <x v="2"/>
    <n v="2019"/>
    <n v="3"/>
    <s v="Merchant payments"/>
    <n v="16900"/>
    <n v="17178248.074270021"/>
    <n v="1233639"/>
    <n v="19928700"/>
    <n v="13.924858142673846"/>
  </r>
  <r>
    <x v="2"/>
    <n v="2019"/>
    <n v="3"/>
    <s v="Financial Services"/>
    <n v="864"/>
    <n v="64089.113502671949"/>
    <n v="1233639"/>
    <n v="19928700"/>
    <n v="5.1951270592670913E-2"/>
  </r>
  <r>
    <x v="2"/>
    <n v="2019"/>
    <n v="3"/>
    <s v="Others"/>
    <n v="2758"/>
    <n v="3419197.4177385764"/>
    <n v="1233639"/>
    <n v="19928700"/>
    <n v="2.7716353144952262"/>
  </r>
  <r>
    <x v="2"/>
    <n v="2019"/>
    <n v="4"/>
    <s v="Recharge &amp; bill payments"/>
    <n v="259183"/>
    <n v="63516906.090604328"/>
    <n v="1422531"/>
    <n v="23543740"/>
    <n v="44.650630524469648"/>
  </r>
  <r>
    <x v="2"/>
    <n v="2019"/>
    <n v="4"/>
    <s v="Peer-to-peer payments"/>
    <n v="177833"/>
    <n v="1100137447.9340453"/>
    <n v="1422531"/>
    <n v="23543740"/>
    <n v="773.36623801804342"/>
  </r>
  <r>
    <x v="2"/>
    <n v="2019"/>
    <n v="4"/>
    <s v="Merchant payments"/>
    <n v="19769"/>
    <n v="23192271.691576812"/>
    <n v="1422531"/>
    <n v="23543740"/>
    <n v="16.303526384716264"/>
  </r>
  <r>
    <x v="2"/>
    <n v="2019"/>
    <n v="4"/>
    <s v="Financial Services"/>
    <n v="314"/>
    <n v="305379.7987782319"/>
    <n v="1422531"/>
    <n v="23543740"/>
    <n v="0.21467356337277141"/>
  </r>
  <r>
    <x v="2"/>
    <n v="2019"/>
    <n v="4"/>
    <s v="Others"/>
    <n v="2376"/>
    <n v="3421174.0122779701"/>
    <n v="1422531"/>
    <n v="23543740"/>
    <n v="2.4049908313266775"/>
  </r>
  <r>
    <x v="2"/>
    <n v="2020"/>
    <n v="1"/>
    <s v="Recharge &amp; bill payments"/>
    <n v="329834"/>
    <n v="86011654.774745822"/>
    <n v="1639726"/>
    <n v="28581531"/>
    <n v="52.454894765799786"/>
  </r>
  <r>
    <x v="2"/>
    <n v="2020"/>
    <n v="1"/>
    <s v="Peer-to-peer payments"/>
    <n v="203429"/>
    <n v="1263912288.4066367"/>
    <n v="1639726"/>
    <n v="28581531"/>
    <n v="770.80700580867574"/>
  </r>
  <r>
    <x v="2"/>
    <n v="2020"/>
    <n v="1"/>
    <s v="Merchant payments"/>
    <n v="31181"/>
    <n v="28553052.133918796"/>
    <n v="1639726"/>
    <n v="28581531"/>
    <n v="17.413306939036641"/>
  </r>
  <r>
    <x v="2"/>
    <n v="2020"/>
    <n v="1"/>
    <s v="Financial Services"/>
    <n v="470"/>
    <n v="337812.94816169393"/>
    <n v="1639726"/>
    <n v="28581531"/>
    <n v="0.20601792504460742"/>
  </r>
  <r>
    <x v="2"/>
    <n v="2020"/>
    <n v="1"/>
    <s v="Others"/>
    <n v="2261"/>
    <n v="2943873.0666838237"/>
    <n v="1639726"/>
    <n v="28581531"/>
    <n v="1.7953445067552893"/>
  </r>
  <r>
    <x v="2"/>
    <n v="2020"/>
    <n v="2"/>
    <s v="Recharge &amp; bill payments"/>
    <n v="522495"/>
    <n v="145198528.22961134"/>
    <n v="1952874"/>
    <n v="37257066"/>
    <n v="74.351201475164984"/>
  </r>
  <r>
    <x v="2"/>
    <n v="2020"/>
    <n v="2"/>
    <s v="Peer-to-peer payments"/>
    <n v="247861"/>
    <n v="1630654426.0441835"/>
    <n v="1952874"/>
    <n v="37257066"/>
    <n v="835.0023739597043"/>
  </r>
  <r>
    <x v="2"/>
    <n v="2020"/>
    <n v="2"/>
    <s v="Merchant payments"/>
    <n v="35169"/>
    <n v="46446966.612447515"/>
    <n v="1952874"/>
    <n v="37257066"/>
    <n v="23.783903422569768"/>
  </r>
  <r>
    <x v="2"/>
    <n v="2020"/>
    <n v="2"/>
    <s v="Financial Services"/>
    <n v="1310"/>
    <n v="2655507.6964110374"/>
    <n v="1952874"/>
    <n v="37257066"/>
    <n v="1.3597946904977163"/>
  </r>
  <r>
    <x v="2"/>
    <n v="2020"/>
    <n v="2"/>
    <s v="Others"/>
    <n v="1939"/>
    <n v="1761404.4023099935"/>
    <n v="1952874"/>
    <n v="37257066"/>
    <n v="0.9019549660193098"/>
  </r>
  <r>
    <x v="2"/>
    <n v="2020"/>
    <n v="3"/>
    <s v="Recharge &amp; bill payments"/>
    <n v="514907"/>
    <n v="153463816.21184397"/>
    <n v="2266506"/>
    <n v="44037631"/>
    <n v="67.709424202646701"/>
  </r>
  <r>
    <x v="2"/>
    <n v="2020"/>
    <n v="3"/>
    <s v="Peer-to-peer payments"/>
    <n v="370418"/>
    <n v="2361603431.3757801"/>
    <n v="2266506"/>
    <n v="44037631"/>
    <n v="1041.9577231985179"/>
  </r>
  <r>
    <x v="2"/>
    <n v="2020"/>
    <n v="3"/>
    <s v="Merchant payments"/>
    <n v="72736"/>
    <n v="88145178.692727134"/>
    <n v="2266506"/>
    <n v="44037631"/>
    <n v="38.890335473511712"/>
  </r>
  <r>
    <x v="2"/>
    <n v="2020"/>
    <n v="3"/>
    <s v="Financial Services"/>
    <n v="1761"/>
    <n v="4030599.9171272423"/>
    <n v="2266506"/>
    <n v="44037631"/>
    <n v="1.778331898140681"/>
  </r>
  <r>
    <x v="2"/>
    <n v="2020"/>
    <n v="3"/>
    <s v="Others"/>
    <n v="3005"/>
    <n v="2695539.3607389224"/>
    <n v="2266506"/>
    <n v="44037631"/>
    <n v="1.1892928413773987"/>
  </r>
  <r>
    <x v="2"/>
    <n v="2020"/>
    <n v="4"/>
    <s v="Peer-to-peer payments"/>
    <n v="522019"/>
    <n v="3254744938.4105625"/>
    <n v="2544212"/>
    <n v="49199337"/>
    <n v="1279.2742658279114"/>
  </r>
  <r>
    <x v="2"/>
    <n v="2020"/>
    <n v="4"/>
    <s v="Recharge &amp; bill payments"/>
    <n v="513895"/>
    <n v="152389181.21743062"/>
    <n v="2544212"/>
    <n v="49199337"/>
    <n v="59.896416343225575"/>
  </r>
  <r>
    <x v="2"/>
    <n v="2020"/>
    <n v="4"/>
    <s v="Merchant payments"/>
    <n v="167387"/>
    <n v="156682926.02384603"/>
    <n v="2544212"/>
    <n v="49199337"/>
    <n v="61.584068475365271"/>
  </r>
  <r>
    <x v="2"/>
    <n v="2020"/>
    <n v="4"/>
    <s v="Financial Services"/>
    <n v="1749"/>
    <n v="2391651.8783250954"/>
    <n v="2544212"/>
    <n v="49199337"/>
    <n v="0.94003639567972141"/>
  </r>
  <r>
    <x v="2"/>
    <n v="2020"/>
    <n v="4"/>
    <s v="Others"/>
    <n v="4079"/>
    <n v="4055324.315454754"/>
    <n v="2544212"/>
    <n v="49199337"/>
    <n v="1.5939411949376678"/>
  </r>
  <r>
    <x v="2"/>
    <n v="2021"/>
    <n v="1"/>
    <s v="Peer-to-peer payments"/>
    <n v="566209"/>
    <n v="3460488558.9436507"/>
    <n v="2763640"/>
    <n v="52763788"/>
    <n v="1252.1488178430081"/>
  </r>
  <r>
    <x v="2"/>
    <n v="2021"/>
    <n v="1"/>
    <s v="Recharge &amp; bill payments"/>
    <n v="450649"/>
    <n v="142358376.90038359"/>
    <n v="2763640"/>
    <n v="52763788"/>
    <n v="51.511187021603241"/>
  </r>
  <r>
    <x v="2"/>
    <n v="2021"/>
    <n v="1"/>
    <s v="Merchant payments"/>
    <n v="155966"/>
    <n v="204958020.0891498"/>
    <n v="2763640"/>
    <n v="52763788"/>
    <n v="74.162343897595136"/>
  </r>
  <r>
    <x v="2"/>
    <n v="2021"/>
    <n v="1"/>
    <s v="Financial Services"/>
    <n v="1558"/>
    <n v="2672460.4740365944"/>
    <n v="2763640"/>
    <n v="52763788"/>
    <n v="0.96700745177975223"/>
  </r>
  <r>
    <x v="2"/>
    <n v="2021"/>
    <n v="1"/>
    <s v="Others"/>
    <n v="3074"/>
    <n v="3301662.6094231335"/>
    <n v="2763640"/>
    <n v="52763788"/>
    <n v="1.1946789775162949"/>
  </r>
  <r>
    <x v="2"/>
    <n v="2021"/>
    <n v="2"/>
    <s v="Peer-to-peer payments"/>
    <n v="762946"/>
    <n v="4000960152.0755496"/>
    <n v="2976292"/>
    <n v="143284339"/>
    <n v="1344.2767551287136"/>
  </r>
  <r>
    <x v="2"/>
    <n v="2021"/>
    <n v="2"/>
    <s v="Recharge &amp; bill payments"/>
    <n v="556680"/>
    <n v="165579844.25105897"/>
    <n v="2976292"/>
    <n v="143284339"/>
    <n v="55.632929917850454"/>
  </r>
  <r>
    <x v="2"/>
    <n v="2021"/>
    <n v="2"/>
    <s v="Merchant payments"/>
    <n v="243375"/>
    <n v="283709438.53631419"/>
    <n v="2976292"/>
    <n v="143284339"/>
    <n v="95.323119685942842"/>
  </r>
  <r>
    <x v="2"/>
    <n v="2021"/>
    <n v="2"/>
    <s v="Financial Services"/>
    <n v="1582"/>
    <n v="2761076.7934988844"/>
    <n v="2976292"/>
    <n v="143284339"/>
    <n v="0.92769015724898107"/>
  </r>
  <r>
    <x v="2"/>
    <n v="2021"/>
    <n v="2"/>
    <s v="Others"/>
    <n v="3755"/>
    <n v="3415105.3379601175"/>
    <n v="2976292"/>
    <n v="143284339"/>
    <n v="1.1474362522091641"/>
  </r>
  <r>
    <x v="2"/>
    <n v="2021"/>
    <n v="3"/>
    <s v="Peer-to-peer payments"/>
    <n v="986088"/>
    <n v="5033603845.0328846"/>
    <n v="3223803"/>
    <n v="189306194"/>
    <n v="1561.3869225361739"/>
  </r>
  <r>
    <x v="2"/>
    <n v="2021"/>
    <n v="3"/>
    <s v="Recharge &amp; bill payments"/>
    <n v="600102"/>
    <n v="187390578.30403775"/>
    <n v="3223803"/>
    <n v="189306194"/>
    <n v="58.127180322134372"/>
  </r>
  <r>
    <x v="2"/>
    <n v="2021"/>
    <n v="3"/>
    <s v="Merchant payments"/>
    <n v="314658"/>
    <n v="449869060.78426212"/>
    <n v="3223803"/>
    <n v="189306194"/>
    <n v="139.54607672499284"/>
  </r>
  <r>
    <x v="2"/>
    <n v="2021"/>
    <n v="3"/>
    <s v="Financial Services"/>
    <n v="1934"/>
    <n v="3348547.8272713376"/>
    <n v="3223803"/>
    <n v="189306194"/>
    <n v="1.0386949287134908"/>
  </r>
  <r>
    <x v="2"/>
    <n v="2021"/>
    <n v="3"/>
    <s v="Others"/>
    <n v="4185"/>
    <n v="3912143.3503634185"/>
    <n v="3223803"/>
    <n v="189306194"/>
    <n v="1.2135181183103987"/>
  </r>
  <r>
    <x v="2"/>
    <n v="2021"/>
    <n v="4"/>
    <s v="Peer-to-peer payments"/>
    <n v="1227616"/>
    <n v="6022733378.1200819"/>
    <n v="3464384"/>
    <n v="123533245"/>
    <n v="1738.4716527151961"/>
  </r>
  <r>
    <x v="2"/>
    <n v="2021"/>
    <n v="4"/>
    <s v="Recharge &amp; bill payments"/>
    <n v="633248"/>
    <n v="207784816.33218512"/>
    <n v="3464384"/>
    <n v="123533245"/>
    <n v="59.977420612779966"/>
  </r>
  <r>
    <x v="2"/>
    <n v="2021"/>
    <n v="4"/>
    <s v="Merchant payments"/>
    <n v="521447"/>
    <n v="704195694.99391866"/>
    <n v="3464384"/>
    <n v="123533245"/>
    <n v="203.26721720049471"/>
  </r>
  <r>
    <x v="2"/>
    <n v="2021"/>
    <n v="4"/>
    <s v="Financial Services"/>
    <n v="2386"/>
    <n v="3933557.2795471298"/>
    <n v="3464384"/>
    <n v="123533245"/>
    <n v="1.1354276199021616"/>
  </r>
  <r>
    <x v="2"/>
    <n v="2021"/>
    <n v="4"/>
    <s v="Others"/>
    <n v="5901"/>
    <n v="4862905.8856150554"/>
    <n v="3464384"/>
    <n v="123533245"/>
    <n v="1.4036855861287476"/>
  </r>
  <r>
    <x v="3"/>
    <n v="2018"/>
    <n v="1"/>
    <s v="Recharge &amp; bill payments"/>
    <n v="632092"/>
    <n v="93491181.140563786"/>
    <n v="4237607"/>
    <n v="0"/>
    <n v="22.0622585200949"/>
  </r>
  <r>
    <x v="3"/>
    <n v="2018"/>
    <n v="1"/>
    <s v="Peer-to-peer payments"/>
    <n v="318025"/>
    <n v="993525195.98186553"/>
    <n v="4237607"/>
    <n v="0"/>
    <n v="234.45430309650365"/>
  </r>
  <r>
    <x v="3"/>
    <n v="2018"/>
    <n v="1"/>
    <s v="Merchant payments"/>
    <n v="40482"/>
    <n v="34501622.892667547"/>
    <n v="4237607"/>
    <n v="0"/>
    <n v="8.1417703181695575"/>
  </r>
  <r>
    <x v="3"/>
    <n v="2018"/>
    <n v="1"/>
    <s v="Financial Services"/>
    <n v="18172"/>
    <n v="4936862.2006885624"/>
    <n v="4237607"/>
    <n v="0"/>
    <n v="1.1650118098937825"/>
  </r>
  <r>
    <x v="3"/>
    <n v="2018"/>
    <n v="1"/>
    <s v="Others"/>
    <n v="48110"/>
    <n v="31349593.99668264"/>
    <n v="4237607"/>
    <n v="0"/>
    <n v="7.3979474728738746"/>
  </r>
  <r>
    <x v="3"/>
    <n v="2018"/>
    <n v="2"/>
    <s v="Recharge &amp; bill payments"/>
    <n v="984160"/>
    <n v="174427478.21340805"/>
    <n v="6281506"/>
    <n v="0"/>
    <n v="27.768417034610497"/>
  </r>
  <r>
    <x v="3"/>
    <n v="2018"/>
    <n v="2"/>
    <s v="Peer-to-peer payments"/>
    <n v="530781"/>
    <n v="2064314053.1339972"/>
    <n v="6281506"/>
    <n v="0"/>
    <n v="328.63361957052928"/>
  </r>
  <r>
    <x v="3"/>
    <n v="2018"/>
    <n v="2"/>
    <s v="Merchant payments"/>
    <n v="79307"/>
    <n v="73366344.807392254"/>
    <n v="6281506"/>
    <n v="0"/>
    <n v="11.679738076727501"/>
  </r>
  <r>
    <x v="3"/>
    <n v="2018"/>
    <n v="2"/>
    <s v="Financial Services"/>
    <n v="22773"/>
    <n v="7051504.6576111019"/>
    <n v="6281506"/>
    <n v="0"/>
    <n v="1.1225818549900457"/>
  </r>
  <r>
    <x v="3"/>
    <n v="2018"/>
    <n v="2"/>
    <s v="Others"/>
    <n v="46852"/>
    <n v="31425754.725386057"/>
    <n v="6281506"/>
    <n v="0"/>
    <n v="5.0029013305704169"/>
  </r>
  <r>
    <x v="3"/>
    <n v="2018"/>
    <n v="3"/>
    <s v="Recharge &amp; bill payments"/>
    <n v="1275136"/>
    <n v="254569069.32411742"/>
    <n v="8632822"/>
    <n v="0"/>
    <n v="29.488511326205664"/>
  </r>
  <r>
    <x v="3"/>
    <n v="2018"/>
    <n v="3"/>
    <s v="Peer-to-peer payments"/>
    <n v="843571"/>
    <n v="3424136709.5088205"/>
    <n v="8632822"/>
    <n v="0"/>
    <n v="396.64164389220821"/>
  </r>
  <r>
    <x v="3"/>
    <n v="2018"/>
    <n v="3"/>
    <s v="Merchant payments"/>
    <n v="159532"/>
    <n v="96783839.374669418"/>
    <n v="8632822"/>
    <n v="0"/>
    <n v="11.211147336834863"/>
  </r>
  <r>
    <x v="3"/>
    <n v="2018"/>
    <n v="3"/>
    <s v="Financial Services"/>
    <n v="22677"/>
    <n v="4741123.8218801152"/>
    <n v="8632822"/>
    <n v="0"/>
    <n v="0.54919744920955338"/>
  </r>
  <r>
    <x v="3"/>
    <n v="2018"/>
    <n v="3"/>
    <s v="Others"/>
    <n v="50935"/>
    <n v="30904247.884785894"/>
    <n v="8632822"/>
    <n v="0"/>
    <n v="3.5798546390491888"/>
  </r>
  <r>
    <x v="3"/>
    <n v="2018"/>
    <n v="4"/>
    <s v="Recharge &amp; bill payments"/>
    <n v="1703488"/>
    <n v="317661277.34709972"/>
    <n v="11431431"/>
    <n v="0"/>
    <n v="27.788408760644202"/>
  </r>
  <r>
    <x v="3"/>
    <n v="2018"/>
    <n v="4"/>
    <s v="Peer-to-peer payments"/>
    <n v="1279089"/>
    <n v="5284776455.0707836"/>
    <n v="11431431"/>
    <n v="0"/>
    <n v="462.3022660129588"/>
  </r>
  <r>
    <x v="3"/>
    <n v="2018"/>
    <n v="4"/>
    <s v="Merchant payments"/>
    <n v="667293"/>
    <n v="240563395.27779391"/>
    <n v="11431431"/>
    <n v="0"/>
    <n v="21.044031607048488"/>
  </r>
  <r>
    <x v="3"/>
    <n v="2018"/>
    <n v="4"/>
    <s v="Financial Services"/>
    <n v="28035"/>
    <n v="6331912.5265525198"/>
    <n v="11431431"/>
    <n v="0"/>
    <n v="0.55390375243069045"/>
  </r>
  <r>
    <x v="3"/>
    <n v="2018"/>
    <n v="4"/>
    <s v="Others"/>
    <n v="56267"/>
    <n v="38689818.790878206"/>
    <n v="11431431"/>
    <n v="0"/>
    <n v="3.3845122969187504"/>
  </r>
  <r>
    <x v="3"/>
    <n v="2019"/>
    <n v="1"/>
    <s v="Recharge &amp; bill payments"/>
    <n v="1993220"/>
    <n v="400281677.94382846"/>
    <n v="13849935"/>
    <n v="0"/>
    <n v="28.90133982172685"/>
  </r>
  <r>
    <x v="3"/>
    <n v="2019"/>
    <n v="1"/>
    <s v="Peer-to-peer payments"/>
    <n v="1976310"/>
    <n v="7291433300.7002468"/>
    <n v="13849935"/>
    <n v="0"/>
    <n v="526.45974877862216"/>
  </r>
  <r>
    <x v="3"/>
    <n v="2019"/>
    <n v="1"/>
    <s v="Merchant payments"/>
    <n v="494871"/>
    <n v="266644645.74929428"/>
    <n v="13849935"/>
    <n v="0"/>
    <n v="19.252411347005907"/>
  </r>
  <r>
    <x v="3"/>
    <n v="2019"/>
    <n v="1"/>
    <s v="Financial Services"/>
    <n v="20162"/>
    <n v="4612454.1127945455"/>
    <n v="13849935"/>
    <n v="0"/>
    <n v="0.33303074077925604"/>
  </r>
  <r>
    <x v="3"/>
    <n v="2019"/>
    <n v="1"/>
    <s v="Others"/>
    <n v="48442"/>
    <n v="39127457.944687635"/>
    <n v="13849935"/>
    <n v="0"/>
    <n v="2.8251004748172202"/>
  </r>
  <r>
    <x v="3"/>
    <n v="2019"/>
    <n v="2"/>
    <s v="Recharge &amp; bill payments"/>
    <n v="2512932"/>
    <n v="539315772.86065733"/>
    <n v="16501408"/>
    <n v="80853586"/>
    <n v="32.683015465144386"/>
  </r>
  <r>
    <x v="3"/>
    <n v="2019"/>
    <n v="2"/>
    <s v="Peer-to-peer payments"/>
    <n v="2293770"/>
    <n v="10035232820.852964"/>
    <n v="16501408"/>
    <n v="80853586"/>
    <n v="608.14403357901119"/>
  </r>
  <r>
    <x v="3"/>
    <n v="2019"/>
    <n v="2"/>
    <s v="Merchant payments"/>
    <n v="573646"/>
    <n v="326844709.5879724"/>
    <n v="16501408"/>
    <n v="80853586"/>
    <n v="19.807080073892628"/>
  </r>
  <r>
    <x v="3"/>
    <n v="2019"/>
    <n v="2"/>
    <s v="Financial Services"/>
    <n v="13654"/>
    <n v="4037222.4142405642"/>
    <n v="16501408"/>
    <n v="80853586"/>
    <n v="0.24465926872667862"/>
  </r>
  <r>
    <x v="3"/>
    <n v="2019"/>
    <n v="2"/>
    <s v="Others"/>
    <n v="60927"/>
    <n v="49538663.410375819"/>
    <n v="16501408"/>
    <n v="80853586"/>
    <n v="3.0020870588967812"/>
  </r>
  <r>
    <x v="3"/>
    <n v="2019"/>
    <n v="3"/>
    <s v="Peer-to-peer payments"/>
    <n v="2713539"/>
    <n v="11835800855.176552"/>
    <n v="19046753"/>
    <n v="279330403"/>
    <n v="621.40779875585895"/>
  </r>
  <r>
    <x v="3"/>
    <n v="2019"/>
    <n v="3"/>
    <s v="Recharge &amp; bill payments"/>
    <n v="2645302"/>
    <n v="639885372.74809051"/>
    <n v="19046753"/>
    <n v="279330403"/>
    <n v="33.59550957310627"/>
  </r>
  <r>
    <x v="3"/>
    <n v="2019"/>
    <n v="3"/>
    <s v="Merchant payments"/>
    <n v="513728"/>
    <n v="421380275.42074293"/>
    <n v="19046753"/>
    <n v="279330403"/>
    <n v="22.123470358477526"/>
  </r>
  <r>
    <x v="3"/>
    <n v="2019"/>
    <n v="3"/>
    <s v="Financial Services"/>
    <n v="8606"/>
    <n v="6403456.3447687859"/>
    <n v="19046753"/>
    <n v="279330403"/>
    <n v="0.33619674412582479"/>
  </r>
  <r>
    <x v="3"/>
    <n v="2019"/>
    <n v="3"/>
    <s v="Others"/>
    <n v="61396"/>
    <n v="46973660.736343533"/>
    <n v="19046753"/>
    <n v="279330403"/>
    <n v="2.4662293219397307"/>
  </r>
  <r>
    <x v="3"/>
    <n v="2019"/>
    <n v="4"/>
    <s v="Peer-to-peer payments"/>
    <n v="3222143"/>
    <n v="14083346879.361855"/>
    <n v="21353420"/>
    <n v="292593939"/>
    <n v="659.53589070799217"/>
  </r>
  <r>
    <x v="3"/>
    <n v="2019"/>
    <n v="4"/>
    <s v="Recharge &amp; bill payments"/>
    <n v="2937800"/>
    <n v="704118873.97209406"/>
    <n v="21353420"/>
    <n v="292593939"/>
    <n v="32.974524641584068"/>
  </r>
  <r>
    <x v="3"/>
    <n v="2019"/>
    <n v="4"/>
    <s v="Merchant payments"/>
    <n v="544053"/>
    <n v="456318130.082201"/>
    <n v="21353420"/>
    <n v="292593939"/>
    <n v="21.369791353431957"/>
  </r>
  <r>
    <x v="3"/>
    <n v="2019"/>
    <n v="4"/>
    <s v="Financial Services"/>
    <n v="9621"/>
    <n v="3492255.0860687294"/>
    <n v="21353420"/>
    <n v="292593939"/>
    <n v="0.16354546887893037"/>
  </r>
  <r>
    <x v="3"/>
    <n v="2019"/>
    <n v="4"/>
    <s v="Others"/>
    <n v="46893"/>
    <n v="34707757.009855896"/>
    <n v="21353420"/>
    <n v="292593939"/>
    <n v="1.6253956981999087"/>
  </r>
  <r>
    <x v="3"/>
    <n v="2020"/>
    <n v="1"/>
    <s v="Peer-to-peer payments"/>
    <n v="4058740"/>
    <n v="18977446151.768826"/>
    <n v="24045318"/>
    <n v="364076812"/>
    <n v="789.2366468918741"/>
  </r>
  <r>
    <x v="3"/>
    <n v="2020"/>
    <n v="1"/>
    <s v="Recharge &amp; bill payments"/>
    <n v="3897975"/>
    <n v="971722606.15794683"/>
    <n v="24045318"/>
    <n v="364076812"/>
    <n v="40.412133711766543"/>
  </r>
  <r>
    <x v="3"/>
    <n v="2020"/>
    <n v="1"/>
    <s v="Merchant payments"/>
    <n v="792646"/>
    <n v="675423852.95127487"/>
    <n v="24045318"/>
    <n v="364076812"/>
    <n v="28.089620314078395"/>
  </r>
  <r>
    <x v="3"/>
    <n v="2020"/>
    <n v="1"/>
    <s v="Financial Services"/>
    <n v="10173"/>
    <n v="7054325.5075156558"/>
    <n v="24045318"/>
    <n v="364076812"/>
    <n v="0.29337626175356285"/>
  </r>
  <r>
    <x v="3"/>
    <n v="2020"/>
    <n v="1"/>
    <s v="Others"/>
    <n v="49326"/>
    <n v="36781411.343680352"/>
    <n v="24045318"/>
    <n v="364076812"/>
    <n v="1.5296704058428485"/>
  </r>
  <r>
    <x v="3"/>
    <n v="2020"/>
    <n v="2"/>
    <s v="Recharge &amp; bill payments"/>
    <n v="6045321"/>
    <n v="1612522828.7163475"/>
    <n v="28059713"/>
    <n v="432354164"/>
    <n v="57.467545327935014"/>
  </r>
  <r>
    <x v="3"/>
    <n v="2020"/>
    <n v="2"/>
    <s v="Peer-to-peer payments"/>
    <n v="3648386"/>
    <n v="17358374071.266159"/>
    <n v="28059713"/>
    <n v="432354164"/>
    <n v="618.6226520301957"/>
  </r>
  <r>
    <x v="3"/>
    <n v="2020"/>
    <n v="2"/>
    <s v="Merchant payments"/>
    <n v="742400"/>
    <n v="749018053.24005842"/>
    <n v="28059713"/>
    <n v="432354164"/>
    <n v="26.693717545865791"/>
  </r>
  <r>
    <x v="3"/>
    <n v="2020"/>
    <n v="2"/>
    <s v="Financial Services"/>
    <n v="19814"/>
    <n v="18130004.687672265"/>
    <n v="28059713"/>
    <n v="432354164"/>
    <n v="0.64612224250733663"/>
  </r>
  <r>
    <x v="3"/>
    <n v="2020"/>
    <n v="2"/>
    <s v="Others"/>
    <n v="49278"/>
    <n v="28255168.009208795"/>
    <n v="28059713"/>
    <n v="432354164"/>
    <n v="1.0069656809821539"/>
  </r>
  <r>
    <x v="3"/>
    <n v="2020"/>
    <n v="3"/>
    <s v="Peer-to-peer payments"/>
    <n v="5637893"/>
    <n v="26646565777.43919"/>
    <n v="31130121"/>
    <n v="460628058"/>
    <n v="855.97372966970443"/>
  </r>
  <r>
    <x v="3"/>
    <n v="2020"/>
    <n v="3"/>
    <s v="Recharge &amp; bill payments"/>
    <n v="5292154"/>
    <n v="1627282415.9451878"/>
    <n v="31130121"/>
    <n v="460628058"/>
    <n v="52.273565398129605"/>
  </r>
  <r>
    <x v="3"/>
    <n v="2020"/>
    <n v="3"/>
    <s v="Merchant payments"/>
    <n v="1383230"/>
    <n v="1492484153.3873158"/>
    <n v="31130121"/>
    <n v="460628058"/>
    <n v="47.94340996577931"/>
  </r>
  <r>
    <x v="3"/>
    <n v="2020"/>
    <n v="3"/>
    <s v="Financial Services"/>
    <n v="24954"/>
    <n v="28452966.026372254"/>
    <n v="31130121"/>
    <n v="460628058"/>
    <n v="0.91400113820220141"/>
  </r>
  <r>
    <x v="3"/>
    <n v="2020"/>
    <n v="3"/>
    <s v="Others"/>
    <n v="59480"/>
    <n v="36605946.746002689"/>
    <n v="31130121"/>
    <n v="460628058"/>
    <n v="1.1759012034036966"/>
  </r>
  <r>
    <x v="3"/>
    <n v="2020"/>
    <n v="4"/>
    <s v="Peer-to-peer payments"/>
    <n v="7538478"/>
    <n v="36013292450.814384"/>
    <n v="34167683"/>
    <n v="542539954"/>
    <n v="1054.0162307995654"/>
  </r>
  <r>
    <x v="3"/>
    <n v="2020"/>
    <n v="4"/>
    <s v="Recharge &amp; bill payments"/>
    <n v="5383505"/>
    <n v="1662189124.4177454"/>
    <n v="34167683"/>
    <n v="542539954"/>
    <n v="48.647990688093934"/>
  </r>
  <r>
    <x v="3"/>
    <n v="2020"/>
    <n v="4"/>
    <s v="Merchant payments"/>
    <n v="2392184"/>
    <n v="2466913305.5903902"/>
    <n v="34167683"/>
    <n v="542539954"/>
    <n v="72.200192959832549"/>
  </r>
  <r>
    <x v="3"/>
    <n v="2020"/>
    <n v="4"/>
    <s v="Financial Services"/>
    <n v="29764"/>
    <n v="32314809.975261033"/>
    <n v="34167683"/>
    <n v="542539954"/>
    <n v="0.94577118311654418"/>
  </r>
  <r>
    <x v="3"/>
    <n v="2020"/>
    <n v="4"/>
    <s v="Others"/>
    <n v="79523"/>
    <n v="51901628.466430493"/>
    <n v="34167683"/>
    <n v="542539954"/>
    <n v="1.5190268671841312"/>
  </r>
  <r>
    <x v="3"/>
    <n v="2021"/>
    <n v="1"/>
    <s v="Peer-to-peer payments"/>
    <n v="9449096"/>
    <n v="45476079487.104637"/>
    <n v="36942928"/>
    <n v="624276004"/>
    <n v="1230.9820024851479"/>
  </r>
  <r>
    <x v="3"/>
    <n v="2021"/>
    <n v="1"/>
    <s v="Recharge &amp; bill payments"/>
    <n v="6494111"/>
    <n v="2103017761.5465331"/>
    <n v="36942928"/>
    <n v="624276004"/>
    <n v="56.926125659193367"/>
  </r>
  <r>
    <x v="3"/>
    <n v="2021"/>
    <n v="1"/>
    <s v="Merchant payments"/>
    <n v="3459132"/>
    <n v="3657261586.2001615"/>
    <n v="36942928"/>
    <n v="624276004"/>
    <n v="98.997610211084549"/>
  </r>
  <r>
    <x v="3"/>
    <n v="2021"/>
    <n v="1"/>
    <s v="Financial Services"/>
    <n v="34049"/>
    <n v="41291047.383212402"/>
    <n v="36942928"/>
    <n v="624276004"/>
    <n v="1.1176982881057074"/>
  </r>
  <r>
    <x v="3"/>
    <n v="2021"/>
    <n v="1"/>
    <s v="Others"/>
    <n v="75672"/>
    <n v="48814663.887828268"/>
    <n v="36942928"/>
    <n v="624276004"/>
    <n v="1.3213534099903579"/>
  </r>
  <r>
    <x v="3"/>
    <n v="2021"/>
    <n v="2"/>
    <s v="Peer-to-peer payments"/>
    <n v="11668399"/>
    <n v="51521387890.612534"/>
    <n v="39787616"/>
    <n v="1122042790"/>
    <n v="1294.9101522094847"/>
  </r>
  <r>
    <x v="3"/>
    <n v="2021"/>
    <n v="2"/>
    <s v="Recharge &amp; bill payments"/>
    <n v="9058005"/>
    <n v="2657676415.2458973"/>
    <n v="39787616"/>
    <n v="1122042790"/>
    <n v="66.796573467631163"/>
  </r>
  <r>
    <x v="3"/>
    <n v="2021"/>
    <n v="2"/>
    <s v="Merchant payments"/>
    <n v="4562669"/>
    <n v="4914753140.0401011"/>
    <n v="39787616"/>
    <n v="1122042790"/>
    <n v="123.52469522275727"/>
  </r>
  <r>
    <x v="3"/>
    <n v="2021"/>
    <n v="2"/>
    <s v="Financial Services"/>
    <n v="49671"/>
    <n v="46106001.498141706"/>
    <n v="39787616"/>
    <n v="1122042790"/>
    <n v="1.1588028168901023"/>
  </r>
  <r>
    <x v="3"/>
    <n v="2021"/>
    <n v="2"/>
    <s v="Others"/>
    <n v="94161"/>
    <n v="52549929.267157935"/>
    <n v="39787616"/>
    <n v="1122042790"/>
    <n v="1.3207609439871424"/>
  </r>
  <r>
    <x v="3"/>
    <n v="2021"/>
    <n v="3"/>
    <s v="Peer-to-peer payments"/>
    <n v="15617592"/>
    <n v="64131823895.235466"/>
    <n v="43103280"/>
    <n v="1488174941"/>
    <n v="1487.864122990999"/>
  </r>
  <r>
    <x v="3"/>
    <n v="2021"/>
    <n v="3"/>
    <s v="Recharge &amp; bill payments"/>
    <n v="10284267"/>
    <n v="3248364164.1984267"/>
    <n v="43103280"/>
    <n v="1488174941"/>
    <n v="75.362342823989891"/>
  </r>
  <r>
    <x v="3"/>
    <n v="2021"/>
    <n v="3"/>
    <s v="Merchant payments"/>
    <n v="7431371"/>
    <n v="8208706348.034584"/>
    <n v="43103280"/>
    <n v="1488174941"/>
    <n v="190.44273076282326"/>
  </r>
  <r>
    <x v="3"/>
    <n v="2021"/>
    <n v="3"/>
    <s v="Financial Services"/>
    <n v="39479"/>
    <n v="43889820.495989755"/>
    <n v="43103280"/>
    <n v="1488174941"/>
    <n v="1.0182478107464155"/>
  </r>
  <r>
    <x v="3"/>
    <n v="2021"/>
    <n v="3"/>
    <s v="Others"/>
    <n v="131732"/>
    <n v="67715045.343172163"/>
    <n v="43103280"/>
    <n v="1488174941"/>
    <n v="1.5709951851267969"/>
  </r>
  <r>
    <x v="3"/>
    <n v="2021"/>
    <n v="4"/>
    <s v="Peer-to-peer payments"/>
    <n v="21393962"/>
    <n v="86801625126.534988"/>
    <n v="46305501"/>
    <n v="1436604785"/>
    <n v="1874.542403213281"/>
  </r>
  <r>
    <x v="3"/>
    <n v="2021"/>
    <n v="4"/>
    <s v="Merchant payments"/>
    <n v="12895755"/>
    <n v="13378765005.905182"/>
    <n v="46305501"/>
    <n v="1436604785"/>
    <n v="288.92387981948804"/>
  </r>
  <r>
    <x v="3"/>
    <n v="2021"/>
    <n v="4"/>
    <s v="Recharge &amp; bill payments"/>
    <n v="11484376"/>
    <n v="3842004488.3733196"/>
    <n v="46305501"/>
    <n v="1436604785"/>
    <n v="82.970800561542774"/>
  </r>
  <r>
    <x v="3"/>
    <n v="2021"/>
    <n v="4"/>
    <s v="Financial Services"/>
    <n v="60724"/>
    <n v="65456475.826191336"/>
    <n v="46305501"/>
    <n v="1436604785"/>
    <n v="1.4135788278414554"/>
  </r>
  <r>
    <x v="3"/>
    <n v="2021"/>
    <n v="4"/>
    <s v="Others"/>
    <n v="185544"/>
    <n v="97116796.57575196"/>
    <n v="46305501"/>
    <n v="1436604785"/>
    <n v="2.0973058163381486"/>
  </r>
  <r>
    <x v="4"/>
    <n v="2018"/>
    <n v="1"/>
    <s v="Recharge &amp; bill payments"/>
    <n v="3159922"/>
    <n v="375559206.77275932"/>
    <n v="23471844"/>
    <n v="0"/>
    <n v="16.000413379228291"/>
  </r>
  <r>
    <x v="4"/>
    <n v="2018"/>
    <n v="1"/>
    <s v="Peer-to-peer payments"/>
    <n v="2052089"/>
    <n v="5295346761.4508305"/>
    <n v="23471844"/>
    <n v="0"/>
    <n v="225.60420738357115"/>
  </r>
  <r>
    <x v="4"/>
    <n v="2018"/>
    <n v="1"/>
    <s v="Financial Services"/>
    <n v="194295"/>
    <n v="33999413.877399519"/>
    <n v="23471844"/>
    <n v="0"/>
    <n v="1.4485190800262442"/>
  </r>
  <r>
    <x v="4"/>
    <n v="2018"/>
    <n v="1"/>
    <s v="Merchant payments"/>
    <n v="138885"/>
    <n v="139827755.73655012"/>
    <n v="23471844"/>
    <n v="0"/>
    <n v="5.9572548171566799"/>
  </r>
  <r>
    <x v="4"/>
    <n v="2018"/>
    <n v="1"/>
    <s v="Others"/>
    <n v="279111"/>
    <n v="201025034.17960182"/>
    <n v="23471844"/>
    <n v="0"/>
    <n v="8.5645181596981388"/>
  </r>
  <r>
    <x v="4"/>
    <n v="2018"/>
    <n v="2"/>
    <s v="Recharge &amp; bill payments"/>
    <n v="4346849"/>
    <n v="700649777.06029689"/>
    <n v="33064592"/>
    <n v="0"/>
    <n v="21.190334877269827"/>
  </r>
  <r>
    <x v="4"/>
    <n v="2018"/>
    <n v="2"/>
    <s v="Peer-to-peer payments"/>
    <n v="3447898"/>
    <n v="12141448845.077621"/>
    <n v="33064592"/>
    <n v="0"/>
    <n v="367.20395174020661"/>
  </r>
  <r>
    <x v="4"/>
    <n v="2018"/>
    <n v="2"/>
    <s v="Merchant payments"/>
    <n v="311487"/>
    <n v="318571872.82165271"/>
    <n v="33064592"/>
    <n v="0"/>
    <n v="9.6348345330150362"/>
  </r>
  <r>
    <x v="4"/>
    <n v="2018"/>
    <n v="2"/>
    <s v="Financial Services"/>
    <n v="267433"/>
    <n v="45332532.096432865"/>
    <n v="33064592"/>
    <n v="0"/>
    <n v="1.3710295320272776"/>
  </r>
  <r>
    <x v="4"/>
    <n v="2018"/>
    <n v="2"/>
    <s v="Others"/>
    <n v="258711"/>
    <n v="300128082.61604577"/>
    <n v="33064592"/>
    <n v="0"/>
    <n v="9.0770236214027911"/>
  </r>
  <r>
    <x v="4"/>
    <n v="2018"/>
    <n v="3"/>
    <s v="Peer-to-peer payments"/>
    <n v="8893764"/>
    <n v="18695889187.894321"/>
    <n v="41629885"/>
    <n v="0"/>
    <n v="449.09778607109581"/>
  </r>
  <r>
    <x v="4"/>
    <n v="2018"/>
    <n v="3"/>
    <s v="Recharge &amp; bill payments"/>
    <n v="4401439"/>
    <n v="804061398.5166465"/>
    <n v="41629885"/>
    <n v="0"/>
    <n v="19.314523653299702"/>
  </r>
  <r>
    <x v="4"/>
    <n v="2018"/>
    <n v="3"/>
    <s v="Merchant payments"/>
    <n v="586862"/>
    <n v="367608510.72617811"/>
    <n v="41629885"/>
    <n v="0"/>
    <n v="8.8303993807856571"/>
  </r>
  <r>
    <x v="4"/>
    <n v="2018"/>
    <n v="3"/>
    <s v="Financial Services"/>
    <n v="274510"/>
    <n v="33276460.452133462"/>
    <n v="41629885"/>
    <n v="0"/>
    <n v="0.79934067682707899"/>
  </r>
  <r>
    <x v="4"/>
    <n v="2018"/>
    <n v="3"/>
    <s v="Others"/>
    <n v="211229"/>
    <n v="234968821.31206354"/>
    <n v="41629885"/>
    <n v="0"/>
    <n v="5.6442342156857634"/>
  </r>
  <r>
    <x v="4"/>
    <n v="2018"/>
    <n v="4"/>
    <s v="Peer-to-peer payments"/>
    <n v="8094296"/>
    <n v="26224303882.803989"/>
    <n v="52543315"/>
    <n v="0"/>
    <n v="499.09876989687439"/>
  </r>
  <r>
    <x v="4"/>
    <n v="2018"/>
    <n v="4"/>
    <s v="Recharge &amp; bill payments"/>
    <n v="5469096"/>
    <n v="986310785.00937021"/>
    <n v="52543315"/>
    <n v="0"/>
    <n v="18.771384809073624"/>
  </r>
  <r>
    <x v="4"/>
    <n v="2018"/>
    <n v="4"/>
    <s v="Merchant payments"/>
    <n v="1680664"/>
    <n v="848968693.06656241"/>
    <n v="52543315"/>
    <n v="0"/>
    <n v="16.157501540710982"/>
  </r>
  <r>
    <x v="4"/>
    <n v="2018"/>
    <n v="4"/>
    <s v="Financial Services"/>
    <n v="237247"/>
    <n v="36199427.513187692"/>
    <n v="52543315"/>
    <n v="0"/>
    <n v="0.68894449299949367"/>
  </r>
  <r>
    <x v="4"/>
    <n v="2018"/>
    <n v="4"/>
    <s v="Others"/>
    <n v="251098"/>
    <n v="302214380.18458414"/>
    <n v="52543315"/>
    <n v="0"/>
    <n v="5.7517189424493704"/>
  </r>
  <r>
    <x v="4"/>
    <n v="2019"/>
    <n v="1"/>
    <s v="Peer-to-peer payments"/>
    <n v="16807040"/>
    <n v="38824078062.32093"/>
    <n v="63196287"/>
    <n v="0"/>
    <n v="614.34112517276424"/>
  </r>
  <r>
    <x v="4"/>
    <n v="2019"/>
    <n v="1"/>
    <s v="Recharge &amp; bill payments"/>
    <n v="7036367"/>
    <n v="1333688182.5386746"/>
    <n v="63196287"/>
    <n v="0"/>
    <n v="21.103900970300273"/>
  </r>
  <r>
    <x v="4"/>
    <n v="2019"/>
    <n v="1"/>
    <s v="Merchant payments"/>
    <n v="2055267"/>
    <n v="1024996999.5279309"/>
    <n v="63196287"/>
    <n v="0"/>
    <n v="16.219259836071238"/>
  </r>
  <r>
    <x v="4"/>
    <n v="2019"/>
    <n v="1"/>
    <s v="Financial Services"/>
    <n v="204689"/>
    <n v="28599535.734409343"/>
    <n v="63196287"/>
    <n v="0"/>
    <n v="0.45255088695969342"/>
  </r>
  <r>
    <x v="4"/>
    <n v="2019"/>
    <n v="1"/>
    <s v="Others"/>
    <n v="252871"/>
    <n v="291464734.40431058"/>
    <n v="63196287"/>
    <n v="0"/>
    <n v="4.6120547304355171"/>
  </r>
  <r>
    <x v="4"/>
    <n v="2019"/>
    <n v="2"/>
    <s v="Peer-to-peer payments"/>
    <n v="15837449"/>
    <n v="58381285240.80835"/>
    <n v="72487349"/>
    <n v="435677242"/>
    <n v="805.39964623079743"/>
  </r>
  <r>
    <x v="4"/>
    <n v="2019"/>
    <n v="2"/>
    <s v="Recharge &amp; bill payments"/>
    <n v="9279442"/>
    <n v="1996804238.2749753"/>
    <n v="72487349"/>
    <n v="435677242"/>
    <n v="27.546934269523021"/>
  </r>
  <r>
    <x v="4"/>
    <n v="2019"/>
    <n v="2"/>
    <s v="Merchant payments"/>
    <n v="4365465"/>
    <n v="2308145849.8442569"/>
    <n v="72487349"/>
    <n v="435677242"/>
    <n v="31.84205080867638"/>
  </r>
  <r>
    <x v="4"/>
    <n v="2019"/>
    <n v="2"/>
    <s v="Financial Services"/>
    <n v="129603"/>
    <n v="63338108.537554339"/>
    <n v="72487349"/>
    <n v="435677242"/>
    <n v="0.87378155514494449"/>
  </r>
  <r>
    <x v="4"/>
    <n v="2019"/>
    <n v="2"/>
    <s v="Others"/>
    <n v="348520"/>
    <n v="382864846.07675749"/>
    <n v="72487349"/>
    <n v="435677242"/>
    <n v="5.2818160873390125"/>
  </r>
  <r>
    <x v="4"/>
    <n v="2019"/>
    <n v="3"/>
    <s v="Peer-to-peer payments"/>
    <n v="15446119"/>
    <n v="61831776093.09613"/>
    <n v="81182915"/>
    <n v="1391734278"/>
    <n v="761.63532798860615"/>
  </r>
  <r>
    <x v="4"/>
    <n v="2019"/>
    <n v="3"/>
    <s v="Recharge &amp; bill payments"/>
    <n v="9115040"/>
    <n v="2140566974.705637"/>
    <n v="81182915"/>
    <n v="1391734278"/>
    <n v="26.367210079924291"/>
  </r>
  <r>
    <x v="4"/>
    <n v="2019"/>
    <n v="3"/>
    <s v="Merchant payments"/>
    <n v="7206001"/>
    <n v="3413490288.3137074"/>
    <n v="81182915"/>
    <n v="1391734278"/>
    <n v="42.046904675863232"/>
  </r>
  <r>
    <x v="4"/>
    <n v="2019"/>
    <n v="3"/>
    <s v="Financial Services"/>
    <n v="89997"/>
    <n v="20145460.42764103"/>
    <n v="81182915"/>
    <n v="1391734278"/>
    <n v="0.2481490154380516"/>
  </r>
  <r>
    <x v="4"/>
    <n v="2019"/>
    <n v="3"/>
    <s v="Others"/>
    <n v="282743"/>
    <n v="286804437.73580331"/>
    <n v="81182915"/>
    <n v="1391734278"/>
    <n v="3.5328176838168881"/>
  </r>
  <r>
    <x v="4"/>
    <n v="2019"/>
    <n v="4"/>
    <s v="Peer-to-peer payments"/>
    <n v="26337842"/>
    <n v="86340631422.246063"/>
    <n v="91765014"/>
    <n v="1803979067"/>
    <n v="940.8883370545343"/>
  </r>
  <r>
    <x v="4"/>
    <n v="2019"/>
    <n v="4"/>
    <s v="Recharge &amp; bill payments"/>
    <n v="11358597"/>
    <n v="2649616529.8301458"/>
    <n v="91765014"/>
    <n v="1803979067"/>
    <n v="28.873929336840135"/>
  </r>
  <r>
    <x v="4"/>
    <n v="2019"/>
    <n v="4"/>
    <s v="Merchant payments"/>
    <n v="5519582"/>
    <n v="4177574379.0405855"/>
    <n v="91765014"/>
    <n v="1803979067"/>
    <n v="45.524696144443304"/>
  </r>
  <r>
    <x v="4"/>
    <n v="2019"/>
    <n v="4"/>
    <s v="Financial Services"/>
    <n v="100192"/>
    <n v="18815964.761792127"/>
    <n v="91765014"/>
    <n v="1803979067"/>
    <n v="0.20504508136174998"/>
  </r>
  <r>
    <x v="4"/>
    <n v="2019"/>
    <n v="4"/>
    <s v="Others"/>
    <n v="214101"/>
    <n v="126788281.9306988"/>
    <n v="91765014"/>
    <n v="1803979067"/>
    <n v="1.3816625356881522"/>
  </r>
  <r>
    <x v="4"/>
    <n v="2020"/>
    <n v="1"/>
    <s v="Peer-to-peer payments"/>
    <n v="23163922"/>
    <n v="99873688132.903107"/>
    <n v="102863574"/>
    <n v="2022553555"/>
    <n v="970.93348256500508"/>
  </r>
  <r>
    <x v="4"/>
    <n v="2020"/>
    <n v="1"/>
    <s v="Recharge &amp; bill payments"/>
    <n v="13837430"/>
    <n v="3680590624.9006104"/>
    <n v="102863574"/>
    <n v="2022553555"/>
    <n v="35.781282739608194"/>
  </r>
  <r>
    <x v="4"/>
    <n v="2020"/>
    <n v="1"/>
    <s v="Merchant payments"/>
    <n v="7822567"/>
    <n v="5562692116.5708065"/>
    <n v="102863574"/>
    <n v="2022553555"/>
    <n v="54.078347662417471"/>
  </r>
  <r>
    <x v="4"/>
    <n v="2020"/>
    <n v="1"/>
    <s v="Financial Services"/>
    <n v="57233"/>
    <n v="23954789.407903705"/>
    <n v="102863574"/>
    <n v="2022553555"/>
    <n v="0.23287922513662324"/>
  </r>
  <r>
    <x v="4"/>
    <n v="2020"/>
    <n v="1"/>
    <s v="Others"/>
    <n v="200663"/>
    <n v="115927863.46366584"/>
    <n v="102863574"/>
    <n v="2022553555"/>
    <n v="1.1270059842920279"/>
  </r>
  <r>
    <x v="4"/>
    <n v="2020"/>
    <n v="2"/>
    <s v="Peer-to-peer payments"/>
    <n v="26572651"/>
    <n v="116244368941.33606"/>
    <n v="116641437"/>
    <n v="2402785385"/>
    <n v="996.59582332937191"/>
  </r>
  <r>
    <x v="4"/>
    <n v="2020"/>
    <n v="2"/>
    <s v="Recharge &amp; bill payments"/>
    <n v="19522564"/>
    <n v="5642294772.4535513"/>
    <n v="116641437"/>
    <n v="2402785385"/>
    <n v="48.372987486887283"/>
  </r>
  <r>
    <x v="4"/>
    <n v="2020"/>
    <n v="2"/>
    <s v="Merchant payments"/>
    <n v="7011681"/>
    <n v="6760404421.6229601"/>
    <n v="116641437"/>
    <n v="2402785385"/>
    <n v="57.958857465233045"/>
  </r>
  <r>
    <x v="4"/>
    <n v="2020"/>
    <n v="2"/>
    <s v="Financial Services"/>
    <n v="73119"/>
    <n v="54077813.260680601"/>
    <n v="116641437"/>
    <n v="2402785385"/>
    <n v="0.4636243744209067"/>
  </r>
  <r>
    <x v="4"/>
    <n v="2020"/>
    <n v="2"/>
    <s v="Others"/>
    <n v="206727"/>
    <n v="105377680.17075577"/>
    <n v="116641437"/>
    <n v="2402785385"/>
    <n v="0.9034326297845231"/>
  </r>
  <r>
    <x v="4"/>
    <n v="2020"/>
    <n v="3"/>
    <s v="Peer-to-peer payments"/>
    <n v="37294332"/>
    <n v="153664683751.53278"/>
    <n v="129395343"/>
    <n v="2933179084"/>
    <n v="1187.5596152755882"/>
  </r>
  <r>
    <x v="4"/>
    <n v="2020"/>
    <n v="3"/>
    <s v="Recharge &amp; bill payments"/>
    <n v="19027978"/>
    <n v="6313780616.6018286"/>
    <n v="129395343"/>
    <n v="2933179084"/>
    <n v="48.794496542289224"/>
  </r>
  <r>
    <x v="4"/>
    <n v="2020"/>
    <n v="3"/>
    <s v="Merchant payments"/>
    <n v="14777337"/>
    <n v="13111735855.027691"/>
    <n v="129395343"/>
    <n v="2933179084"/>
    <n v="101.33081725381486"/>
  </r>
  <r>
    <x v="4"/>
    <n v="2020"/>
    <n v="3"/>
    <s v="Financial Services"/>
    <n v="104135"/>
    <n v="81355476.163670227"/>
    <n v="129395343"/>
    <n v="2933179084"/>
    <n v="0.62873573559498375"/>
  </r>
  <r>
    <x v="4"/>
    <n v="2020"/>
    <n v="3"/>
    <s v="Others"/>
    <n v="299966"/>
    <n v="157309412.49242482"/>
    <n v="129395343"/>
    <n v="2933179084"/>
    <n v="1.2157270025740015"/>
  </r>
  <r>
    <x v="4"/>
    <n v="2020"/>
    <n v="4"/>
    <s v="Peer-to-peer payments"/>
    <n v="49432098"/>
    <n v="208484557891.42865"/>
    <n v="141788163"/>
    <n v="3487622600"/>
    <n v="1470.3946611638423"/>
  </r>
  <r>
    <x v="4"/>
    <n v="2020"/>
    <n v="4"/>
    <s v="Merchant payments"/>
    <n v="26750991"/>
    <n v="23185594534.305222"/>
    <n v="141788163"/>
    <n v="3487622600"/>
    <n v="163.5227796434969"/>
  </r>
  <r>
    <x v="4"/>
    <n v="2020"/>
    <n v="4"/>
    <s v="Recharge &amp; bill payments"/>
    <n v="19908687"/>
    <n v="6926960996.688756"/>
    <n v="141788163"/>
    <n v="3487622600"/>
    <n v="48.854296791254399"/>
  </r>
  <r>
    <x v="4"/>
    <n v="2020"/>
    <n v="4"/>
    <s v="Financial Services"/>
    <n v="119416"/>
    <n v="100785736.00790763"/>
    <n v="141788163"/>
    <n v="3487622600"/>
    <n v="0.71081911123926211"/>
  </r>
  <r>
    <x v="4"/>
    <n v="2020"/>
    <n v="4"/>
    <s v="Others"/>
    <n v="380481"/>
    <n v="207713978.04223877"/>
    <n v="141788163"/>
    <n v="3487622600"/>
    <n v="1.4649599349293974"/>
  </r>
  <r>
    <x v="4"/>
    <n v="2021"/>
    <n v="1"/>
    <s v="Peer-to-peer payments"/>
    <n v="58566582"/>
    <n v="242013312361.31104"/>
    <n v="153409168"/>
    <n v="3913718688"/>
    <n v="1577.5674655983471"/>
  </r>
  <r>
    <x v="4"/>
    <n v="2021"/>
    <n v="1"/>
    <s v="Merchant payments"/>
    <n v="33959313"/>
    <n v="30171144593.369873"/>
    <n v="153409168"/>
    <n v="3913718688"/>
    <n v="196.6710659259287"/>
  </r>
  <r>
    <x v="4"/>
    <n v="2021"/>
    <n v="1"/>
    <s v="Recharge &amp; bill payments"/>
    <n v="21974086"/>
    <n v="8505455545.4487638"/>
    <n v="153409168"/>
    <n v="3913718688"/>
    <n v="55.442941620338907"/>
  </r>
  <r>
    <x v="4"/>
    <n v="2021"/>
    <n v="1"/>
    <s v="Financial Services"/>
    <n v="124277"/>
    <n v="112949858.25028673"/>
    <n v="153409168"/>
    <n v="3913718688"/>
    <n v="0.73626537268155134"/>
  </r>
  <r>
    <x v="4"/>
    <n v="2021"/>
    <n v="1"/>
    <s v="Others"/>
    <n v="308219"/>
    <n v="170787342.84811789"/>
    <n v="153409168"/>
    <n v="3913718688"/>
    <n v="1.1132798976402629"/>
  </r>
  <r>
    <x v="4"/>
    <n v="2021"/>
    <n v="2"/>
    <s v="Peer-to-peer payments"/>
    <n v="78694099"/>
    <n v="319758683264.15344"/>
    <n v="164693474"/>
    <n v="4083185260"/>
    <n v="1941.5382740918651"/>
  </r>
  <r>
    <x v="4"/>
    <n v="2021"/>
    <n v="2"/>
    <s v="Merchant payments"/>
    <n v="44686786"/>
    <n v="43458914639.771378"/>
    <n v="164693474"/>
    <n v="4083185260"/>
    <n v="263.87757562131077"/>
  </r>
  <r>
    <x v="4"/>
    <n v="2021"/>
    <n v="2"/>
    <s v="Recharge &amp; bill payments"/>
    <n v="31646149"/>
    <n v="11030849713.502428"/>
    <n v="164693474"/>
    <n v="4083185260"/>
    <n v="66.978062005677458"/>
  </r>
  <r>
    <x v="4"/>
    <n v="2021"/>
    <n v="2"/>
    <s v="Financial Services"/>
    <n v="149791"/>
    <n v="116086345.91301711"/>
    <n v="164693474"/>
    <n v="4083185260"/>
    <n v="0.70486305919454406"/>
  </r>
  <r>
    <x v="4"/>
    <n v="2021"/>
    <n v="2"/>
    <s v="Others"/>
    <n v="426797"/>
    <n v="215721223.23864049"/>
    <n v="164693474"/>
    <n v="4083185260"/>
    <n v="1.3098346765011495"/>
  </r>
  <r>
    <x v="4"/>
    <n v="2021"/>
    <n v="3"/>
    <s v="Peer-to-peer payments"/>
    <n v="92785704"/>
    <n v="331514102784.26312"/>
    <n v="177768481"/>
    <n v="4639815169"/>
    <n v="1864.864350077127"/>
  </r>
  <r>
    <x v="4"/>
    <n v="2021"/>
    <n v="3"/>
    <s v="Merchant payments"/>
    <n v="64094961"/>
    <n v="53849745604.964302"/>
    <n v="177768481"/>
    <n v="4639815169"/>
    <n v="302.9206600745174"/>
  </r>
  <r>
    <x v="4"/>
    <n v="2021"/>
    <n v="3"/>
    <s v="Recharge &amp; bill payments"/>
    <n v="30081746"/>
    <n v="11327303470.019915"/>
    <n v="177768481"/>
    <n v="4639815169"/>
    <n v="63.719414185802229"/>
  </r>
  <r>
    <x v="4"/>
    <n v="2021"/>
    <n v="3"/>
    <s v="Financial Services"/>
    <n v="135748"/>
    <n v="130349071.61901987"/>
    <n v="177768481"/>
    <n v="4639815169"/>
    <n v="0.73325187280539272"/>
  </r>
  <r>
    <x v="4"/>
    <n v="2021"/>
    <n v="3"/>
    <s v="Others"/>
    <n v="572954"/>
    <n v="241260025.54569885"/>
    <n v="177768481"/>
    <n v="4639815169"/>
    <n v="1.3571586154561273"/>
  </r>
  <r>
    <x v="4"/>
    <n v="2021"/>
    <n v="4"/>
    <s v="Peer-to-peer payments"/>
    <n v="117340712"/>
    <n v="423665098014.27917"/>
    <n v="190695791"/>
    <n v="7121409218"/>
    <n v="2221.680383151609"/>
  </r>
  <r>
    <x v="4"/>
    <n v="2021"/>
    <n v="4"/>
    <s v="Merchant payments"/>
    <n v="95992559"/>
    <n v="81729122295.53772"/>
    <n v="190695791"/>
    <n v="7121409218"/>
    <n v="428.58377663688299"/>
  </r>
  <r>
    <x v="4"/>
    <n v="2021"/>
    <n v="4"/>
    <s v="Recharge &amp; bill payments"/>
    <n v="30824177"/>
    <n v="13438634948.212643"/>
    <n v="190695791"/>
    <n v="7121409218"/>
    <n v="70.471586592137442"/>
  </r>
  <r>
    <x v="4"/>
    <n v="2021"/>
    <n v="4"/>
    <s v="Financial Services"/>
    <n v="186298"/>
    <n v="173358268.82083318"/>
    <n v="190695791"/>
    <n v="7121409218"/>
    <n v="0.9090828272178969"/>
  </r>
  <r>
    <x v="4"/>
    <n v="2021"/>
    <n v="4"/>
    <s v="Others"/>
    <n v="783199"/>
    <n v="365400541.9114517"/>
    <n v="190695791"/>
    <n v="7121409218"/>
    <n v="1.9161437176736202"/>
  </r>
  <r>
    <x v="5"/>
    <n v="2018"/>
    <n v="1"/>
    <s v="Recharge &amp; bill payments"/>
    <n v="201262"/>
    <n v="47479581.162644163"/>
    <n v="948948"/>
    <n v="0"/>
    <n v="50.03391246163558"/>
  </r>
  <r>
    <x v="5"/>
    <n v="2018"/>
    <n v="1"/>
    <s v="Peer-to-peer payments"/>
    <n v="135136"/>
    <n v="527998849.34055936"/>
    <n v="948948"/>
    <n v="0"/>
    <n v="556.40440713354087"/>
  </r>
  <r>
    <x v="5"/>
    <n v="2018"/>
    <n v="1"/>
    <s v="Merchant payments"/>
    <n v="21431"/>
    <n v="19477066.533276718"/>
    <n v="948948"/>
    <n v="0"/>
    <n v="20.524903928641734"/>
  </r>
  <r>
    <x v="5"/>
    <n v="2018"/>
    <n v="1"/>
    <s v="Financial Services"/>
    <n v="8473"/>
    <n v="1865618.249949839"/>
    <n v="948948"/>
    <n v="0"/>
    <n v="1.9659857546987178"/>
  </r>
  <r>
    <x v="5"/>
    <n v="2018"/>
    <n v="1"/>
    <s v="Others"/>
    <n v="15593"/>
    <n v="16614305.581193211"/>
    <n v="948948"/>
    <n v="0"/>
    <n v="17.508130668058957"/>
  </r>
  <r>
    <x v="5"/>
    <n v="2018"/>
    <n v="2"/>
    <s v="Recharge &amp; bill payments"/>
    <n v="224548"/>
    <n v="76722906.678719521"/>
    <n v="1267409"/>
    <n v="0"/>
    <n v="60.535238962891633"/>
  </r>
  <r>
    <x v="5"/>
    <n v="2018"/>
    <n v="2"/>
    <s v="Peer-to-peer payments"/>
    <n v="194627"/>
    <n v="835296156.42202044"/>
    <n v="1267409"/>
    <n v="0"/>
    <n v="659.05809128862143"/>
  </r>
  <r>
    <x v="5"/>
    <n v="2018"/>
    <n v="2"/>
    <s v="Merchant payments"/>
    <n v="34606"/>
    <n v="29408471.506333277"/>
    <n v="1267409"/>
    <n v="0"/>
    <n v="23.20361580699938"/>
  </r>
  <r>
    <x v="5"/>
    <n v="2018"/>
    <n v="2"/>
    <s v="Financial Services"/>
    <n v="11927"/>
    <n v="3679451.8635118967"/>
    <n v="1267409"/>
    <n v="0"/>
    <n v="2.9031290321529171"/>
  </r>
  <r>
    <x v="5"/>
    <n v="2018"/>
    <n v="2"/>
    <s v="Others"/>
    <n v="13376"/>
    <n v="16116275.274144217"/>
    <n v="1267409"/>
    <n v="0"/>
    <n v="12.715923016282998"/>
  </r>
  <r>
    <x v="5"/>
    <n v="2018"/>
    <n v="3"/>
    <s v="Peer-to-peer payments"/>
    <n v="295358"/>
    <n v="1217617705.9681761"/>
    <n v="1582823"/>
    <n v="0"/>
    <n v="769.26965678927843"/>
  </r>
  <r>
    <x v="5"/>
    <n v="2018"/>
    <n v="3"/>
    <s v="Recharge &amp; bill payments"/>
    <n v="236445"/>
    <n v="100639674.6708905"/>
    <n v="1582823"/>
    <n v="0"/>
    <n v="63.582393401467186"/>
  </r>
  <r>
    <x v="5"/>
    <n v="2018"/>
    <n v="3"/>
    <s v="Merchant payments"/>
    <n v="64998"/>
    <n v="37560565.97386869"/>
    <n v="1582823"/>
    <n v="0"/>
    <n v="23.730111309899268"/>
  </r>
  <r>
    <x v="5"/>
    <n v="2018"/>
    <n v="3"/>
    <s v="Financial Services"/>
    <n v="7642"/>
    <n v="1302311.5967954171"/>
    <n v="1582823"/>
    <n v="0"/>
    <n v="0.82277778172001359"/>
  </r>
  <r>
    <x v="5"/>
    <n v="2018"/>
    <n v="3"/>
    <s v="Others"/>
    <n v="12493"/>
    <n v="12234189.324580798"/>
    <n v="1582823"/>
    <n v="0"/>
    <n v="7.7293477063327973"/>
  </r>
  <r>
    <x v="5"/>
    <n v="2018"/>
    <n v="4"/>
    <s v="Peer-to-peer payments"/>
    <n v="431461"/>
    <n v="1793871702.3196409"/>
    <n v="1955217"/>
    <n v="0"/>
    <n v="917.47959552297311"/>
  </r>
  <r>
    <x v="5"/>
    <n v="2018"/>
    <n v="4"/>
    <s v="Recharge &amp; bill payments"/>
    <n v="310527"/>
    <n v="128130475.99274208"/>
    <n v="1955217"/>
    <n v="0"/>
    <n v="65.532611466012256"/>
  </r>
  <r>
    <x v="5"/>
    <n v="2018"/>
    <n v="4"/>
    <s v="Merchant payments"/>
    <n v="135266"/>
    <n v="94010713.606160268"/>
    <n v="1955217"/>
    <n v="0"/>
    <n v="48.081984560363516"/>
  </r>
  <r>
    <x v="5"/>
    <n v="2018"/>
    <n v="4"/>
    <s v="Financial Services"/>
    <n v="10008"/>
    <n v="2039811.3372037038"/>
    <n v="1955217"/>
    <n v="0"/>
    <n v="1.0432659583072896"/>
  </r>
  <r>
    <x v="5"/>
    <n v="2018"/>
    <n v="4"/>
    <s v="Others"/>
    <n v="17854"/>
    <n v="14538888.524227699"/>
    <n v="1955217"/>
    <n v="0"/>
    <n v="7.4359462526296056"/>
  </r>
  <r>
    <x v="5"/>
    <n v="2019"/>
    <n v="1"/>
    <s v="Peer-to-peer payments"/>
    <n v="689400"/>
    <n v="2123866601.6513758"/>
    <n v="2300925"/>
    <n v="0"/>
    <n v="923.04903534507889"/>
  </r>
  <r>
    <x v="5"/>
    <n v="2019"/>
    <n v="1"/>
    <s v="Recharge &amp; bill payments"/>
    <n v="390610"/>
    <n v="161414934.10238376"/>
    <n v="2300925"/>
    <n v="0"/>
    <n v="70.152192749604509"/>
  </r>
  <r>
    <x v="5"/>
    <n v="2019"/>
    <n v="1"/>
    <s v="Merchant payments"/>
    <n v="169984"/>
    <n v="97230471.44089967"/>
    <n v="2300925"/>
    <n v="0"/>
    <n v="42.257123305148873"/>
  </r>
  <r>
    <x v="5"/>
    <n v="2019"/>
    <n v="1"/>
    <s v="Financial Services"/>
    <n v="7412"/>
    <n v="917030.90667607856"/>
    <n v="2300925"/>
    <n v="0"/>
    <n v="0.39854880392715042"/>
  </r>
  <r>
    <x v="5"/>
    <n v="2019"/>
    <n v="1"/>
    <s v="Others"/>
    <n v="17070"/>
    <n v="12603012.342693318"/>
    <n v="2300925"/>
    <n v="0"/>
    <n v="5.4773677293668062"/>
  </r>
  <r>
    <x v="5"/>
    <n v="2019"/>
    <n v="2"/>
    <s v="Peer-to-peer payments"/>
    <n v="604849"/>
    <n v="2339922407.5233479"/>
    <n v="2644829"/>
    <n v="13421936"/>
    <n v="884.71595234449853"/>
  </r>
  <r>
    <x v="5"/>
    <n v="2019"/>
    <n v="2"/>
    <s v="Recharge &amp; bill payments"/>
    <n v="342294"/>
    <n v="185659011.54417655"/>
    <n v="2644829"/>
    <n v="13421936"/>
    <n v="70.196981182593106"/>
  </r>
  <r>
    <x v="5"/>
    <n v="2019"/>
    <n v="2"/>
    <s v="Merchant payments"/>
    <n v="277811"/>
    <n v="152766864.66190332"/>
    <n v="2644829"/>
    <n v="13421936"/>
    <n v="57.760582881503232"/>
  </r>
  <r>
    <x v="5"/>
    <n v="2019"/>
    <n v="2"/>
    <s v="Financial Services"/>
    <n v="5590"/>
    <n v="839765.16135158204"/>
    <n v="2644829"/>
    <n v="13421936"/>
    <n v="0.31751208163234068"/>
  </r>
  <r>
    <x v="5"/>
    <n v="2019"/>
    <n v="2"/>
    <s v="Others"/>
    <n v="21926"/>
    <n v="13928050.053676538"/>
    <n v="2644829"/>
    <n v="13421936"/>
    <n v="5.2661438806352088"/>
  </r>
  <r>
    <x v="5"/>
    <n v="2019"/>
    <n v="3"/>
    <s v="Peer-to-peer payments"/>
    <n v="722233"/>
    <n v="2815184152.8041325"/>
    <n v="2940707"/>
    <n v="50877156"/>
    <n v="957.31541864052849"/>
  </r>
  <r>
    <x v="5"/>
    <n v="2019"/>
    <n v="3"/>
    <s v="Merchant payments"/>
    <n v="447069"/>
    <n v="226535908.83557189"/>
    <n v="2940707"/>
    <n v="50877156"/>
    <n v="77.034505251822736"/>
  </r>
  <r>
    <x v="5"/>
    <n v="2019"/>
    <n v="3"/>
    <s v="Recharge &amp; bill payments"/>
    <n v="308219"/>
    <n v="213884900.47217816"/>
    <n v="2940707"/>
    <n v="50877156"/>
    <n v="72.732475718314731"/>
  </r>
  <r>
    <x v="5"/>
    <n v="2019"/>
    <n v="3"/>
    <s v="Financial Services"/>
    <n v="2447"/>
    <n v="794918.67498147802"/>
    <n v="2940707"/>
    <n v="50877156"/>
    <n v="0.27031549725337412"/>
  </r>
  <r>
    <x v="5"/>
    <n v="2019"/>
    <n v="3"/>
    <s v="Others"/>
    <n v="26575"/>
    <n v="13282206.873976795"/>
    <n v="2940707"/>
    <n v="50877156"/>
    <n v="4.5166712882231366"/>
  </r>
  <r>
    <x v="5"/>
    <n v="2019"/>
    <n v="4"/>
    <s v="Peer-to-peer payments"/>
    <n v="927850"/>
    <n v="3586763928.6423693"/>
    <n v="3185490"/>
    <n v="54564851"/>
    <n v="1125.9692947214933"/>
  </r>
  <r>
    <x v="5"/>
    <n v="2019"/>
    <n v="4"/>
    <s v="Merchant payments"/>
    <n v="561630"/>
    <n v="318692521.79224944"/>
    <n v="3185490"/>
    <n v="54564851"/>
    <n v="100.04505485568922"/>
  </r>
  <r>
    <x v="5"/>
    <n v="2019"/>
    <n v="4"/>
    <s v="Recharge &amp; bill payments"/>
    <n v="338203"/>
    <n v="237695594.96329552"/>
    <n v="3185490"/>
    <n v="54564851"/>
    <n v="74.618220419243357"/>
  </r>
  <r>
    <x v="5"/>
    <n v="2019"/>
    <n v="4"/>
    <s v="Financial Services"/>
    <n v="1911"/>
    <n v="654298.67850044649"/>
    <n v="3185490"/>
    <n v="54564851"/>
    <n v="0.20539969627920554"/>
  </r>
  <r>
    <x v="5"/>
    <n v="2019"/>
    <n v="4"/>
    <s v="Others"/>
    <n v="21321"/>
    <n v="8707473.8629362695"/>
    <n v="3185490"/>
    <n v="54564851"/>
    <n v="2.7334802064788368"/>
  </r>
  <r>
    <x v="5"/>
    <n v="2020"/>
    <n v="1"/>
    <s v="Peer-to-peer payments"/>
    <n v="1087401"/>
    <n v="4421372542.4680328"/>
    <n v="3441757"/>
    <n v="57213321"/>
    <n v="1284.6265853365107"/>
  </r>
  <r>
    <x v="5"/>
    <n v="2020"/>
    <n v="1"/>
    <s v="Merchant payments"/>
    <n v="764832"/>
    <n v="438193845.45277047"/>
    <n v="3441757"/>
    <n v="57213321"/>
    <n v="127.31690396874924"/>
  </r>
  <r>
    <x v="5"/>
    <n v="2020"/>
    <n v="1"/>
    <s v="Recharge &amp; bill payments"/>
    <n v="389851"/>
    <n v="257250007.24455771"/>
    <n v="3441757"/>
    <n v="57213321"/>
    <n v="74.743803018213583"/>
  </r>
  <r>
    <x v="5"/>
    <n v="2020"/>
    <n v="1"/>
    <s v="Financial Services"/>
    <n v="1574"/>
    <n v="1406138.1883251297"/>
    <n v="3441757"/>
    <n v="57213321"/>
    <n v="0.40855243072800596"/>
  </r>
  <r>
    <x v="5"/>
    <n v="2020"/>
    <n v="1"/>
    <s v="Others"/>
    <n v="18853"/>
    <n v="8230536.662513691"/>
    <n v="3441757"/>
    <n v="57213321"/>
    <n v="2.391376457580733"/>
  </r>
  <r>
    <x v="5"/>
    <n v="2020"/>
    <n v="2"/>
    <s v="Peer-to-peer payments"/>
    <n v="766698"/>
    <n v="3293060119.5471582"/>
    <n v="3699861"/>
    <n v="37963750"/>
    <n v="890.04968552795856"/>
  </r>
  <r>
    <x v="5"/>
    <n v="2020"/>
    <n v="2"/>
    <s v="Merchant payments"/>
    <n v="390906"/>
    <n v="331423259.00037187"/>
    <n v="3699861"/>
    <n v="37963750"/>
    <n v="89.577218982110921"/>
  </r>
  <r>
    <x v="5"/>
    <n v="2020"/>
    <n v="2"/>
    <s v="Recharge &amp; bill payments"/>
    <n v="361577"/>
    <n v="214425229.3354035"/>
    <n v="3699861"/>
    <n v="37963750"/>
    <n v="57.954941911440322"/>
  </r>
  <r>
    <x v="5"/>
    <n v="2020"/>
    <n v="2"/>
    <s v="Financial Services"/>
    <n v="1797"/>
    <n v="3982005.1176844486"/>
    <n v="3699861"/>
    <n v="37963750"/>
    <n v="1.0762580317705039"/>
  </r>
  <r>
    <x v="5"/>
    <n v="2020"/>
    <n v="2"/>
    <s v="Others"/>
    <n v="7032"/>
    <n v="4125116.6894572242"/>
    <n v="3699861"/>
    <n v="37963750"/>
    <n v="1.1149382880754775"/>
  </r>
  <r>
    <x v="5"/>
    <n v="2020"/>
    <n v="3"/>
    <s v="Peer-to-peer payments"/>
    <n v="981986"/>
    <n v="4178346395.4124918"/>
    <n v="3988468"/>
    <n v="53776129"/>
    <n v="1047.606849399943"/>
  </r>
  <r>
    <x v="5"/>
    <n v="2020"/>
    <n v="3"/>
    <s v="Merchant payments"/>
    <n v="796634"/>
    <n v="604271248.9262259"/>
    <n v="3988468"/>
    <n v="53776129"/>
    <n v="151.50459999333728"/>
  </r>
  <r>
    <x v="5"/>
    <n v="2020"/>
    <n v="3"/>
    <s v="Recharge &amp; bill payments"/>
    <n v="366353"/>
    <n v="296964794.9657042"/>
    <n v="3988468"/>
    <n v="53776129"/>
    <n v="74.455854971308327"/>
  </r>
  <r>
    <x v="5"/>
    <n v="2020"/>
    <n v="3"/>
    <s v="Financial Services"/>
    <n v="2643"/>
    <n v="5254415.4572638767"/>
    <n v="3988468"/>
    <n v="53776129"/>
    <n v="1.3174019340919563"/>
  </r>
  <r>
    <x v="5"/>
    <n v="2020"/>
    <n v="3"/>
    <s v="Others"/>
    <n v="10470"/>
    <n v="4972498.6033853283"/>
    <n v="3988468"/>
    <n v="53776129"/>
    <n v="1.2467189415548348"/>
  </r>
  <r>
    <x v="5"/>
    <n v="2020"/>
    <n v="4"/>
    <s v="Merchant payments"/>
    <n v="1322026"/>
    <n v="939307675.85102057"/>
    <n v="4305422"/>
    <n v="71257714"/>
    <n v="218.16855022597565"/>
  </r>
  <r>
    <x v="5"/>
    <n v="2020"/>
    <n v="4"/>
    <s v="Peer-to-peer payments"/>
    <n v="1159377"/>
    <n v="4872318731.3398428"/>
    <n v="4305422"/>
    <n v="71257714"/>
    <n v="1131.6704219330516"/>
  </r>
  <r>
    <x v="5"/>
    <n v="2020"/>
    <n v="4"/>
    <s v="Recharge &amp; bill payments"/>
    <n v="409997"/>
    <n v="320731281.94750684"/>
    <n v="4305422"/>
    <n v="71257714"/>
    <n v="74.494737553602604"/>
  </r>
  <r>
    <x v="5"/>
    <n v="2020"/>
    <n v="4"/>
    <s v="Financial Services"/>
    <n v="3346"/>
    <n v="4400109.7487523258"/>
    <n v="4305422"/>
    <n v="71257714"/>
    <n v="1.0219926754572086"/>
  </r>
  <r>
    <x v="5"/>
    <n v="2020"/>
    <n v="4"/>
    <s v="Others"/>
    <n v="17970"/>
    <n v="10005102.462219946"/>
    <n v="4305422"/>
    <n v="71257714"/>
    <n v="2.3238378171105984"/>
  </r>
  <r>
    <x v="5"/>
    <n v="2021"/>
    <n v="1"/>
    <s v="Merchant payments"/>
    <n v="1799072"/>
    <n v="1210594490.0981498"/>
    <n v="4619978"/>
    <n v="87114863"/>
    <n v="262.03468719940867"/>
  </r>
  <r>
    <x v="5"/>
    <n v="2021"/>
    <n v="1"/>
    <s v="Peer-to-peer payments"/>
    <n v="1472084"/>
    <n v="5916467167.3032932"/>
    <n v="4619978"/>
    <n v="87114863"/>
    <n v="1280.6266972057645"/>
  </r>
  <r>
    <x v="5"/>
    <n v="2021"/>
    <n v="1"/>
    <s v="Recharge &amp; bill payments"/>
    <n v="678396"/>
    <n v="451109555.33889335"/>
    <n v="4619978"/>
    <n v="87114863"/>
    <n v="97.643225863606574"/>
  </r>
  <r>
    <x v="5"/>
    <n v="2021"/>
    <n v="1"/>
    <s v="Financial Services"/>
    <n v="5111"/>
    <n v="7700394.7615059018"/>
    <n v="4619978"/>
    <n v="87114863"/>
    <n v="1.6667600498326836"/>
  </r>
  <r>
    <x v="5"/>
    <n v="2021"/>
    <n v="1"/>
    <s v="Others"/>
    <n v="15574"/>
    <n v="10549252.044153867"/>
    <n v="4619978"/>
    <n v="87114863"/>
    <n v="2.2833987616724296"/>
  </r>
  <r>
    <x v="5"/>
    <n v="2021"/>
    <n v="2"/>
    <s v="Merchant payments"/>
    <n v="1926913"/>
    <n v="1390989390.7789688"/>
    <n v="4934292"/>
    <n v="52073164"/>
    <n v="281.90252842332171"/>
  </r>
  <r>
    <x v="5"/>
    <n v="2021"/>
    <n v="2"/>
    <s v="Peer-to-peer payments"/>
    <n v="1663559"/>
    <n v="6541132352.9223328"/>
    <n v="4934292"/>
    <n v="52073164"/>
    <n v="1325.64760109907"/>
  </r>
  <r>
    <x v="5"/>
    <n v="2021"/>
    <n v="2"/>
    <s v="Recharge &amp; bill payments"/>
    <n v="806710"/>
    <n v="467698864.66720557"/>
    <n v="4934292"/>
    <n v="52073164"/>
    <n v="94.785404809282781"/>
  </r>
  <r>
    <x v="5"/>
    <n v="2021"/>
    <n v="2"/>
    <s v="Financial Services"/>
    <n v="5502"/>
    <n v="7394941.0328421909"/>
    <n v="4934292"/>
    <n v="52073164"/>
    <n v="1.4986833030639839"/>
  </r>
  <r>
    <x v="5"/>
    <n v="2021"/>
    <n v="2"/>
    <s v="Others"/>
    <n v="14863"/>
    <n v="10458390.534755521"/>
    <n v="4934292"/>
    <n v="52073164"/>
    <n v="2.1195321506622471"/>
  </r>
  <r>
    <x v="5"/>
    <n v="2021"/>
    <n v="3"/>
    <s v="Merchant payments"/>
    <n v="3179506"/>
    <n v="2245390329.2047896"/>
    <n v="5285093"/>
    <n v="70166877"/>
    <n v="424.8535133071054"/>
  </r>
  <r>
    <x v="5"/>
    <n v="2021"/>
    <n v="3"/>
    <s v="Peer-to-peer payments"/>
    <n v="2434417"/>
    <n v="8927868098.3407459"/>
    <n v="5285093"/>
    <n v="70166877"/>
    <n v="1689.2546826216201"/>
  </r>
  <r>
    <x v="5"/>
    <n v="2021"/>
    <n v="3"/>
    <s v="Recharge &amp; bill payments"/>
    <n v="1008585"/>
    <n v="620437997.38996029"/>
    <n v="5285093"/>
    <n v="70166877"/>
    <n v="117.39396021791107"/>
  </r>
  <r>
    <x v="5"/>
    <n v="2021"/>
    <n v="3"/>
    <s v="Financial Services"/>
    <n v="5700"/>
    <n v="7960844.9039718322"/>
    <n v="5285093"/>
    <n v="70166877"/>
    <n v="1.5062828419427685"/>
  </r>
  <r>
    <x v="5"/>
    <n v="2021"/>
    <n v="3"/>
    <s v="Others"/>
    <n v="21170"/>
    <n v="14225734.853836158"/>
    <n v="5285093"/>
    <n v="70166877"/>
    <n v="2.6916716231551949"/>
  </r>
  <r>
    <x v="5"/>
    <n v="2021"/>
    <n v="4"/>
    <s v="Merchant payments"/>
    <n v="4056249"/>
    <n v="3041038519.8233976"/>
    <n v="5633012"/>
    <n v="127643494"/>
    <n v="539.86011743333722"/>
  </r>
  <r>
    <x v="5"/>
    <n v="2021"/>
    <n v="4"/>
    <s v="Peer-to-peer payments"/>
    <n v="2797561"/>
    <n v="10610461952.107159"/>
    <n v="5633012"/>
    <n v="127643494"/>
    <n v="1883.6214004349997"/>
  </r>
  <r>
    <x v="5"/>
    <n v="2021"/>
    <n v="4"/>
    <s v="Recharge &amp; bill payments"/>
    <n v="1013153"/>
    <n v="693790747.24298549"/>
    <n v="5633012"/>
    <n v="127643494"/>
    <n v="123.16514632721987"/>
  </r>
  <r>
    <x v="5"/>
    <n v="2021"/>
    <n v="4"/>
    <s v="Financial Services"/>
    <n v="7038"/>
    <n v="10459431.863661807"/>
    <n v="5633012"/>
    <n v="127643494"/>
    <n v="1.8568097961910621"/>
  </r>
  <r>
    <x v="5"/>
    <n v="2021"/>
    <n v="4"/>
    <s v="Others"/>
    <n v="24902"/>
    <n v="17832859.581251591"/>
    <n v="5633012"/>
    <n v="127643494"/>
    <n v="3.165776955783441"/>
  </r>
  <r>
    <x v="6"/>
    <n v="2018"/>
    <n v="1"/>
    <s v="Recharge &amp; bill payments"/>
    <n v="1177618"/>
    <n v="206518662.81014803"/>
    <n v="7471893"/>
    <n v="0"/>
    <n v="27.639403135209246"/>
  </r>
  <r>
    <x v="6"/>
    <n v="2018"/>
    <n v="1"/>
    <s v="Peer-to-peer payments"/>
    <n v="550697"/>
    <n v="1838238336.1663632"/>
    <n v="7471893"/>
    <n v="0"/>
    <n v="246.02043098935749"/>
  </r>
  <r>
    <x v="6"/>
    <n v="2018"/>
    <n v="1"/>
    <s v="Merchant payments"/>
    <n v="42411"/>
    <n v="39708474.158690549"/>
    <n v="7471893"/>
    <n v="0"/>
    <n v="5.3143793893582991"/>
  </r>
  <r>
    <x v="6"/>
    <n v="2018"/>
    <n v="1"/>
    <s v="Financial Services"/>
    <n v="33002"/>
    <n v="7350624.2744615152"/>
    <n v="7471893"/>
    <n v="0"/>
    <n v="0.98377001309594703"/>
  </r>
  <r>
    <x v="6"/>
    <n v="2018"/>
    <n v="1"/>
    <s v="Others"/>
    <n v="87786"/>
    <n v="57339459.827102087"/>
    <n v="7471893"/>
    <n v="0"/>
    <n v="7.6740204693913698"/>
  </r>
  <r>
    <x v="6"/>
    <n v="2018"/>
    <n v="2"/>
    <s v="Recharge &amp; bill payments"/>
    <n v="1643461"/>
    <n v="351709628.09011692"/>
    <n v="10457425"/>
    <n v="0"/>
    <n v="33.632526945219965"/>
  </r>
  <r>
    <x v="6"/>
    <n v="2018"/>
    <n v="2"/>
    <s v="Peer-to-peer payments"/>
    <n v="933066"/>
    <n v="3703114547.6583509"/>
    <n v="10457425"/>
    <n v="0"/>
    <n v="354.11342157924639"/>
  </r>
  <r>
    <x v="6"/>
    <n v="2018"/>
    <n v="2"/>
    <s v="Merchant payments"/>
    <n v="118438"/>
    <n v="129967815.18510856"/>
    <n v="10457425"/>
    <n v="0"/>
    <n v="12.42828088034182"/>
  </r>
  <r>
    <x v="6"/>
    <n v="2018"/>
    <n v="2"/>
    <s v="Financial Services"/>
    <n v="40299"/>
    <n v="9405941.6270769592"/>
    <n v="10457425"/>
    <n v="0"/>
    <n v="0.89945102423177403"/>
  </r>
  <r>
    <x v="6"/>
    <n v="2018"/>
    <n v="2"/>
    <s v="Others"/>
    <n v="80892"/>
    <n v="69972510.600996211"/>
    <n v="10457425"/>
    <n v="0"/>
    <n v="6.6911797694935622"/>
  </r>
  <r>
    <x v="6"/>
    <n v="2018"/>
    <n v="3"/>
    <s v="Recharge &amp; bill payments"/>
    <n v="1911374"/>
    <n v="443460556.77590346"/>
    <n v="13395712"/>
    <n v="0"/>
    <n v="33.104664893952894"/>
  </r>
  <r>
    <x v="6"/>
    <n v="2018"/>
    <n v="3"/>
    <s v="Peer-to-peer payments"/>
    <n v="1619886"/>
    <n v="5647949187.7479477"/>
    <n v="13395712"/>
    <n v="0"/>
    <n v="421.62366492710112"/>
  </r>
  <r>
    <x v="6"/>
    <n v="2018"/>
    <n v="3"/>
    <s v="Merchant payments"/>
    <n v="220572"/>
    <n v="145342066.01377475"/>
    <n v="13395712"/>
    <n v="0"/>
    <n v="10.849894803185881"/>
  </r>
  <r>
    <x v="6"/>
    <n v="2018"/>
    <n v="3"/>
    <s v="Financial Services"/>
    <n v="31927"/>
    <n v="6195179.1569994465"/>
    <n v="13395712"/>
    <n v="0"/>
    <n v="0.46247479469545527"/>
  </r>
  <r>
    <x v="6"/>
    <n v="2018"/>
    <n v="3"/>
    <s v="Others"/>
    <n v="75845"/>
    <n v="59360083.751690038"/>
    <n v="13395712"/>
    <n v="0"/>
    <n v="4.4312750043961859"/>
  </r>
  <r>
    <x v="6"/>
    <n v="2018"/>
    <n v="4"/>
    <s v="Recharge &amp; bill payments"/>
    <n v="2438959"/>
    <n v="554514488.41219842"/>
    <n v="17379978"/>
    <n v="0"/>
    <n v="31.905361929238254"/>
  </r>
  <r>
    <x v="6"/>
    <n v="2018"/>
    <n v="4"/>
    <s v="Peer-to-peer payments"/>
    <n v="2342713"/>
    <n v="8450105299.4808016"/>
    <n v="17379978"/>
    <n v="0"/>
    <n v="486.19769826410607"/>
  </r>
  <r>
    <x v="6"/>
    <n v="2018"/>
    <n v="4"/>
    <s v="Merchant payments"/>
    <n v="458091"/>
    <n v="331842964.57864183"/>
    <n v="17379978"/>
    <n v="0"/>
    <n v="19.093405329894079"/>
  </r>
  <r>
    <x v="6"/>
    <n v="2018"/>
    <n v="4"/>
    <s v="Financial Services"/>
    <n v="42199"/>
    <n v="9709810.4363437071"/>
    <n v="17379978"/>
    <n v="0"/>
    <n v="0.55867794748323085"/>
  </r>
  <r>
    <x v="6"/>
    <n v="2018"/>
    <n v="4"/>
    <s v="Others"/>
    <n v="83882"/>
    <n v="70240102.063499525"/>
    <n v="17379978"/>
    <n v="0"/>
    <n v="4.0414379157154015"/>
  </r>
  <r>
    <x v="6"/>
    <n v="2019"/>
    <n v="1"/>
    <s v="Peer-to-peer payments"/>
    <n v="4068056"/>
    <n v="11417366152.388483"/>
    <n v="20997878"/>
    <n v="0"/>
    <n v="543.73904603067433"/>
  </r>
  <r>
    <x v="6"/>
    <n v="2019"/>
    <n v="1"/>
    <s v="Recharge &amp; bill payments"/>
    <n v="2997095"/>
    <n v="679458794.54427791"/>
    <n v="20997878"/>
    <n v="0"/>
    <n v="32.358450436957391"/>
  </r>
  <r>
    <x v="6"/>
    <n v="2019"/>
    <n v="1"/>
    <s v="Merchant payments"/>
    <n v="710047"/>
    <n v="374735986.85082686"/>
    <n v="20997878"/>
    <n v="0"/>
    <n v="17.846374136035408"/>
  </r>
  <r>
    <x v="6"/>
    <n v="2019"/>
    <n v="1"/>
    <s v="Financial Services"/>
    <n v="33835"/>
    <n v="5075418.7430071877"/>
    <n v="20997878"/>
    <n v="0"/>
    <n v="0.24171103113405973"/>
  </r>
  <r>
    <x v="6"/>
    <n v="2019"/>
    <n v="1"/>
    <s v="Others"/>
    <n v="78636"/>
    <n v="67920032.801846623"/>
    <n v="20997878"/>
    <n v="0"/>
    <n v="3.2346141263344146"/>
  </r>
  <r>
    <x v="6"/>
    <n v="2019"/>
    <n v="2"/>
    <s v="Peer-to-peer payments"/>
    <n v="4350167"/>
    <n v="15410038389.818308"/>
    <n v="24101726"/>
    <n v="145270103"/>
    <n v="639.37488916015013"/>
  </r>
  <r>
    <x v="6"/>
    <n v="2019"/>
    <n v="2"/>
    <s v="Recharge &amp; bill payments"/>
    <n v="3435305"/>
    <n v="855753107.51046801"/>
    <n v="24101726"/>
    <n v="145270103"/>
    <n v="35.505884827935894"/>
  </r>
  <r>
    <x v="6"/>
    <n v="2019"/>
    <n v="2"/>
    <s v="Merchant payments"/>
    <n v="1483870"/>
    <n v="654411637.01681149"/>
    <n v="24101726"/>
    <n v="145270103"/>
    <n v="27.152065251128136"/>
  </r>
  <r>
    <x v="6"/>
    <n v="2019"/>
    <n v="2"/>
    <s v="Financial Services"/>
    <n v="22563"/>
    <n v="4237631.5544289704"/>
    <n v="24101726"/>
    <n v="145270103"/>
    <n v="0.17582274209029555"/>
  </r>
  <r>
    <x v="6"/>
    <n v="2019"/>
    <n v="2"/>
    <s v="Others"/>
    <n v="98040"/>
    <n v="77914922.922278821"/>
    <n v="24101726"/>
    <n v="145270103"/>
    <n v="3.2327528294977221"/>
  </r>
  <r>
    <x v="6"/>
    <n v="2019"/>
    <n v="3"/>
    <s v="Peer-to-peer payments"/>
    <n v="5021844"/>
    <n v="17584630267.779922"/>
    <n v="26785638"/>
    <n v="509985751"/>
    <n v="656.49473302745014"/>
  </r>
  <r>
    <x v="6"/>
    <n v="2019"/>
    <n v="3"/>
    <s v="Recharge &amp; bill payments"/>
    <n v="4335851"/>
    <n v="1069468753.7262831"/>
    <n v="26785638"/>
    <n v="509985751"/>
    <n v="39.926947184393484"/>
  </r>
  <r>
    <x v="6"/>
    <n v="2019"/>
    <n v="3"/>
    <s v="Merchant payments"/>
    <n v="2772084"/>
    <n v="1074255588.7227576"/>
    <n v="26785638"/>
    <n v="509985751"/>
    <n v="40.105656199891804"/>
  </r>
  <r>
    <x v="6"/>
    <n v="2019"/>
    <n v="3"/>
    <s v="Financial Services"/>
    <n v="16452"/>
    <n v="4542997.9391803248"/>
    <n v="26785638"/>
    <n v="509985751"/>
    <n v="0.16960573943321136"/>
  </r>
  <r>
    <x v="6"/>
    <n v="2019"/>
    <n v="3"/>
    <s v="Others"/>
    <n v="96880"/>
    <n v="70361559.285384387"/>
    <n v="26785638"/>
    <n v="509985751"/>
    <n v="2.626839027891902"/>
  </r>
  <r>
    <x v="6"/>
    <n v="2019"/>
    <n v="4"/>
    <s v="Peer-to-peer payments"/>
    <n v="7241974"/>
    <n v="24112075521.017845"/>
    <n v="29984900"/>
    <n v="630068747"/>
    <n v="804.14060147000146"/>
  </r>
  <r>
    <x v="6"/>
    <n v="2019"/>
    <n v="4"/>
    <s v="Recharge &amp; bill payments"/>
    <n v="5112337"/>
    <n v="1257371454.8604"/>
    <n v="29984900"/>
    <n v="630068747"/>
    <n v="41.933488351150075"/>
  </r>
  <r>
    <x v="6"/>
    <n v="2019"/>
    <n v="4"/>
    <s v="Merchant payments"/>
    <n v="3852716"/>
    <n v="1720930747.6285615"/>
    <n v="29984900"/>
    <n v="630068747"/>
    <n v="57.393246188200109"/>
  </r>
  <r>
    <x v="6"/>
    <n v="2019"/>
    <n v="4"/>
    <s v="Financial Services"/>
    <n v="14974"/>
    <n v="4665759.8042404763"/>
    <n v="29984900"/>
    <n v="630068747"/>
    <n v="0.1556036473104955"/>
  </r>
  <r>
    <x v="6"/>
    <n v="2019"/>
    <n v="4"/>
    <s v="Others"/>
    <n v="83757"/>
    <n v="48745253.90234077"/>
    <n v="29984900"/>
    <n v="630068747"/>
    <n v="1.6256600456343282"/>
  </r>
  <r>
    <x v="6"/>
    <n v="2020"/>
    <n v="1"/>
    <s v="Peer-to-peer payments"/>
    <n v="8109789"/>
    <n v="28723854868.846924"/>
    <n v="33181357"/>
    <n v="706465111"/>
    <n v="865.66245222722273"/>
  </r>
  <r>
    <x v="6"/>
    <n v="2020"/>
    <n v="1"/>
    <s v="Recharge &amp; bill payments"/>
    <n v="6400067"/>
    <n v="1688995018.2209015"/>
    <n v="33181357"/>
    <n v="706465111"/>
    <n v="50.90192719426458"/>
  </r>
  <r>
    <x v="6"/>
    <n v="2020"/>
    <n v="1"/>
    <s v="Merchant payments"/>
    <n v="4923214"/>
    <n v="2393811867.3887434"/>
    <n v="33181357"/>
    <n v="706465111"/>
    <n v="72.143278148291017"/>
  </r>
  <r>
    <x v="6"/>
    <n v="2020"/>
    <n v="1"/>
    <s v="Financial Services"/>
    <n v="12424"/>
    <n v="7378557.2230602857"/>
    <n v="33181357"/>
    <n v="706465111"/>
    <n v="0.22237056860152782"/>
  </r>
  <r>
    <x v="6"/>
    <n v="2020"/>
    <n v="1"/>
    <s v="Others"/>
    <n v="78497"/>
    <n v="46557359.676601201"/>
    <n v="33181357"/>
    <n v="706465111"/>
    <n v="1.4031180122199705"/>
  </r>
  <r>
    <x v="6"/>
    <n v="2020"/>
    <n v="2"/>
    <s v="Recharge &amp; bill payments"/>
    <n v="8366200"/>
    <n v="2504355746.828547"/>
    <n v="37418238"/>
    <n v="753427224"/>
    <n v="66.928745998904247"/>
  </r>
  <r>
    <x v="6"/>
    <n v="2020"/>
    <n v="2"/>
    <s v="Peer-to-peer payments"/>
    <n v="7216219"/>
    <n v="27351810047.608715"/>
    <n v="37418238"/>
    <n v="753427224"/>
    <n v="730.97536146968537"/>
  </r>
  <r>
    <x v="6"/>
    <n v="2020"/>
    <n v="2"/>
    <s v="Merchant payments"/>
    <n v="3158417"/>
    <n v="2361252112.4196329"/>
    <n v="37418238"/>
    <n v="753427224"/>
    <n v="63.104310588318803"/>
  </r>
  <r>
    <x v="6"/>
    <n v="2020"/>
    <n v="2"/>
    <s v="Financial Services"/>
    <n v="19986"/>
    <n v="17814454.605634861"/>
    <n v="37418238"/>
    <n v="753427224"/>
    <n v="0.4760901516964765"/>
  </r>
  <r>
    <x v="6"/>
    <n v="2020"/>
    <n v="2"/>
    <s v="Others"/>
    <n v="60103"/>
    <n v="33149845.438824516"/>
    <n v="37418238"/>
    <n v="753427224"/>
    <n v="0.88592748378008912"/>
  </r>
  <r>
    <x v="6"/>
    <n v="2020"/>
    <n v="3"/>
    <s v="Peer-to-peer payments"/>
    <n v="9734445"/>
    <n v="34661165923.130371"/>
    <n v="41793246"/>
    <n v="956104666"/>
    <n v="829.34850102646658"/>
  </r>
  <r>
    <x v="6"/>
    <n v="2020"/>
    <n v="3"/>
    <s v="Recharge &amp; bill payments"/>
    <n v="8705513"/>
    <n v="2790720003.1373434"/>
    <n v="41793246"/>
    <n v="956104666"/>
    <n v="66.774425780121106"/>
  </r>
  <r>
    <x v="6"/>
    <n v="2020"/>
    <n v="3"/>
    <s v="Merchant payments"/>
    <n v="5591916"/>
    <n v="3990179454.1880045"/>
    <n v="41793246"/>
    <n v="956104666"/>
    <n v="95.474265248217492"/>
  </r>
  <r>
    <x v="6"/>
    <n v="2020"/>
    <n v="3"/>
    <s v="Financial Services"/>
    <n v="34893"/>
    <n v="39141096.450702377"/>
    <n v="41793246"/>
    <n v="956104666"/>
    <n v="0.93654119258174817"/>
  </r>
  <r>
    <x v="6"/>
    <n v="2020"/>
    <n v="3"/>
    <s v="Others"/>
    <n v="81772"/>
    <n v="45538330.627661861"/>
    <n v="41793246"/>
    <n v="956104666"/>
    <n v="1.0896098050785972"/>
  </r>
  <r>
    <x v="6"/>
    <n v="2020"/>
    <n v="4"/>
    <s v="Peer-to-peer payments"/>
    <n v="14257312"/>
    <n v="50812302052.952705"/>
    <n v="46096611"/>
    <n v="1208905137"/>
    <n v="1102.3001680742366"/>
  </r>
  <r>
    <x v="6"/>
    <n v="2020"/>
    <n v="4"/>
    <s v="Merchant payments"/>
    <n v="11677743"/>
    <n v="8238390462.2029839"/>
    <n v="46096611"/>
    <n v="1208905137"/>
    <n v="178.72008990428785"/>
  </r>
  <r>
    <x v="6"/>
    <n v="2020"/>
    <n v="4"/>
    <s v="Recharge &amp; bill payments"/>
    <n v="9423324"/>
    <n v="3033918783.2089992"/>
    <n v="46096611"/>
    <n v="1208905137"/>
    <n v="65.816525713983594"/>
  </r>
  <r>
    <x v="6"/>
    <n v="2020"/>
    <n v="4"/>
    <s v="Financial Services"/>
    <n v="41308"/>
    <n v="48082346.061246961"/>
    <n v="46096611"/>
    <n v="1208905137"/>
    <n v="1.0430776800760246"/>
  </r>
  <r>
    <x v="6"/>
    <n v="2020"/>
    <n v="4"/>
    <s v="Others"/>
    <n v="129949"/>
    <n v="82280639.522628665"/>
    <n v="46096611"/>
    <n v="1208905137"/>
    <n v="1.7849607105092533"/>
  </r>
  <r>
    <x v="6"/>
    <n v="2021"/>
    <n v="1"/>
    <s v="Peer-to-peer payments"/>
    <n v="15621154"/>
    <n v="55638916992.138962"/>
    <n v="49660061"/>
    <n v="1371135744"/>
    <n v="1120.3956634716772"/>
  </r>
  <r>
    <x v="6"/>
    <n v="2021"/>
    <n v="1"/>
    <s v="Merchant payments"/>
    <n v="15222763"/>
    <n v="10661449529.109669"/>
    <n v="49660061"/>
    <n v="1371135744"/>
    <n v="214.68861121837261"/>
  </r>
  <r>
    <x v="6"/>
    <n v="2021"/>
    <n v="1"/>
    <s v="Recharge &amp; bill payments"/>
    <n v="8456094"/>
    <n v="3000977538.8405628"/>
    <n v="49660061"/>
    <n v="1371135744"/>
    <n v="60.430403797541906"/>
  </r>
  <r>
    <x v="6"/>
    <n v="2021"/>
    <n v="1"/>
    <s v="Financial Services"/>
    <n v="37395"/>
    <n v="40387648.84021996"/>
    <n v="49660061"/>
    <n v="1371135744"/>
    <n v="0.81328230426901726"/>
  </r>
  <r>
    <x v="6"/>
    <n v="2021"/>
    <n v="1"/>
    <s v="Others"/>
    <n v="99031"/>
    <n v="68111552.622150168"/>
    <n v="49660061"/>
    <n v="1371135744"/>
    <n v="1.3715559596704918"/>
  </r>
  <r>
    <x v="6"/>
    <n v="2021"/>
    <n v="2"/>
    <s v="Peer-to-peer payments"/>
    <n v="18387345"/>
    <n v="62134058797.435898"/>
    <n v="53207605"/>
    <n v="2263631887"/>
    <n v="1167.7665025034653"/>
  </r>
  <r>
    <x v="6"/>
    <n v="2021"/>
    <n v="2"/>
    <s v="Merchant payments"/>
    <n v="15369311"/>
    <n v="12828590761.713423"/>
    <n v="53207605"/>
    <n v="2263631887"/>
    <n v="241.104457938173"/>
  </r>
  <r>
    <x v="6"/>
    <n v="2021"/>
    <n v="2"/>
    <s v="Recharge &amp; bill payments"/>
    <n v="10764784"/>
    <n v="3640692364.1650519"/>
    <n v="53207605"/>
    <n v="2263631887"/>
    <n v="68.424285666777365"/>
  </r>
  <r>
    <x v="6"/>
    <n v="2021"/>
    <n v="2"/>
    <s v="Financial Services"/>
    <n v="40213"/>
    <n v="39620256.36433959"/>
    <n v="53207605"/>
    <n v="2263631887"/>
    <n v="0.74463521454009418"/>
  </r>
  <r>
    <x v="6"/>
    <n v="2021"/>
    <n v="2"/>
    <s v="Others"/>
    <n v="127767"/>
    <n v="85809079.547311842"/>
    <n v="53207605"/>
    <n v="2263631887"/>
    <n v="1.6127220826292001"/>
  </r>
  <r>
    <x v="6"/>
    <n v="2021"/>
    <n v="3"/>
    <s v="Merchant payments"/>
    <n v="27552743"/>
    <n v="19905616746.805294"/>
    <n v="57266924"/>
    <n v="3041346836"/>
    <n v="347.59360825465836"/>
  </r>
  <r>
    <x v="6"/>
    <n v="2021"/>
    <n v="3"/>
    <s v="Peer-to-peer payments"/>
    <n v="25447410"/>
    <n v="80506858751.328827"/>
    <n v="57266924"/>
    <n v="3041346836"/>
    <n v="1405.8177588048702"/>
  </r>
  <r>
    <x v="6"/>
    <n v="2021"/>
    <n v="3"/>
    <s v="Recharge &amp; bill payments"/>
    <n v="11039088"/>
    <n v="4045490947.2382197"/>
    <n v="57266924"/>
    <n v="3041346836"/>
    <n v="70.642714234803663"/>
  </r>
  <r>
    <x v="6"/>
    <n v="2021"/>
    <n v="3"/>
    <s v="Financial Services"/>
    <n v="38817"/>
    <n v="48855662.401426382"/>
    <n v="57266924"/>
    <n v="3041346836"/>
    <n v="0.85312181952406563"/>
  </r>
  <r>
    <x v="6"/>
    <n v="2021"/>
    <n v="3"/>
    <s v="Others"/>
    <n v="159880"/>
    <n v="99286155.002958775"/>
    <n v="57266924"/>
    <n v="3041346836"/>
    <n v="1.7337434607620759"/>
  </r>
  <r>
    <x v="6"/>
    <n v="2021"/>
    <n v="4"/>
    <s v="Merchant payments"/>
    <n v="40526025"/>
    <n v="29283695601.229546"/>
    <n v="61220291"/>
    <n v="2769278413"/>
    <n v="478.33316573469972"/>
  </r>
  <r>
    <x v="6"/>
    <n v="2021"/>
    <n v="4"/>
    <s v="Peer-to-peer payments"/>
    <n v="32799167"/>
    <n v="102177997315.68285"/>
    <n v="61220291"/>
    <n v="2769278413"/>
    <n v="1669.0217515575489"/>
  </r>
  <r>
    <x v="6"/>
    <n v="2021"/>
    <n v="4"/>
    <s v="Recharge &amp; bill payments"/>
    <n v="11115444"/>
    <n v="4724827139.9519415"/>
    <n v="61220291"/>
    <n v="2769278413"/>
    <n v="77.177469475797523"/>
  </r>
  <r>
    <x v="6"/>
    <n v="2021"/>
    <n v="4"/>
    <s v="Financial Services"/>
    <n v="55237"/>
    <n v="66445873.296120845"/>
    <n v="61220291"/>
    <n v="2769278413"/>
    <n v="1.0853570313169671"/>
  </r>
  <r>
    <x v="6"/>
    <n v="2021"/>
    <n v="4"/>
    <s v="Others"/>
    <n v="221621"/>
    <n v="146144588.65236923"/>
    <n v="61220291"/>
    <n v="2769278413"/>
    <n v="2.3871919957448298"/>
  </r>
  <r>
    <x v="7"/>
    <n v="2018"/>
    <n v="1"/>
    <s v="Recharge &amp; bill payments"/>
    <n v="95544"/>
    <n v="17526369.5804541"/>
    <n v="585838"/>
    <n v="0"/>
    <n v="29.91675101385383"/>
  </r>
  <r>
    <x v="7"/>
    <n v="2018"/>
    <n v="1"/>
    <s v="Peer-to-peer payments"/>
    <n v="44599"/>
    <n v="151966933.24607396"/>
    <n v="585838"/>
    <n v="0"/>
    <n v="259.40094914647727"/>
  </r>
  <r>
    <x v="7"/>
    <n v="2018"/>
    <n v="1"/>
    <s v="Merchant payments"/>
    <n v="1531"/>
    <n v="1580762.7797390721"/>
    <n v="585838"/>
    <n v="0"/>
    <n v="2.6982933502761379"/>
  </r>
  <r>
    <x v="7"/>
    <n v="2018"/>
    <n v="1"/>
    <s v="Financial Services"/>
    <n v="1364"/>
    <n v="353171.55238149129"/>
    <n v="585838"/>
    <n v="0"/>
    <n v="0.60284848777561595"/>
  </r>
  <r>
    <x v="7"/>
    <n v="2018"/>
    <n v="1"/>
    <s v="Others"/>
    <n v="5511"/>
    <n v="4231146.9505682504"/>
    <n v="585838"/>
    <n v="0"/>
    <n v="7.2223839193911124"/>
  </r>
  <r>
    <x v="7"/>
    <n v="2018"/>
    <n v="2"/>
    <s v="Recharge &amp; bill payments"/>
    <n v="122834"/>
    <n v="30595592.007682398"/>
    <n v="786038"/>
    <n v="0"/>
    <n v="38.923807764614942"/>
  </r>
  <r>
    <x v="7"/>
    <n v="2018"/>
    <n v="2"/>
    <s v="Peer-to-peer payments"/>
    <n v="69215"/>
    <n v="261995613.05482048"/>
    <n v="786038"/>
    <n v="0"/>
    <n v="333.31163767504938"/>
  </r>
  <r>
    <x v="7"/>
    <n v="2018"/>
    <n v="2"/>
    <s v="Merchant payments"/>
    <n v="3544"/>
    <n v="4685536.0364335552"/>
    <n v="786038"/>
    <n v="0"/>
    <n v="5.9609535880371629"/>
  </r>
  <r>
    <x v="7"/>
    <n v="2018"/>
    <n v="2"/>
    <s v="Financial Services"/>
    <n v="2996"/>
    <n v="383806.08546730166"/>
    <n v="786038"/>
    <n v="0"/>
    <n v="0.48827930134077696"/>
  </r>
  <r>
    <x v="7"/>
    <n v="2018"/>
    <n v="2"/>
    <s v="Others"/>
    <n v="4037"/>
    <n v="4410224.4717478808"/>
    <n v="786038"/>
    <n v="0"/>
    <n v="5.6107013550844629"/>
  </r>
  <r>
    <x v="7"/>
    <n v="2018"/>
    <n v="3"/>
    <s v="Recharge &amp; bill payments"/>
    <n v="157113"/>
    <n v="39790820.293594562"/>
    <n v="1013177"/>
    <n v="0"/>
    <n v="39.273315811151022"/>
  </r>
  <r>
    <x v="7"/>
    <n v="2018"/>
    <n v="3"/>
    <s v="Peer-to-peer payments"/>
    <n v="119346"/>
    <n v="396698085.41045523"/>
    <n v="1013177"/>
    <n v="0"/>
    <n v="391.53877892061826"/>
  </r>
  <r>
    <x v="7"/>
    <n v="2018"/>
    <n v="3"/>
    <s v="Merchant payments"/>
    <n v="7465"/>
    <n v="5693604.7441260815"/>
    <n v="1013177"/>
    <n v="0"/>
    <n v="5.6195558566036157"/>
  </r>
  <r>
    <x v="7"/>
    <n v="2018"/>
    <n v="3"/>
    <s v="Financial Services"/>
    <n v="1477"/>
    <n v="297647.89589848556"/>
    <n v="1013177"/>
    <n v="0"/>
    <n v="0.29377679901782766"/>
  </r>
  <r>
    <x v="7"/>
    <n v="2018"/>
    <n v="3"/>
    <s v="Others"/>
    <n v="4174"/>
    <n v="5159437.3341009589"/>
    <n v="1013177"/>
    <n v="0"/>
    <n v="5.0923356275369054"/>
  </r>
  <r>
    <x v="7"/>
    <n v="2018"/>
    <n v="4"/>
    <s v="Peer-to-peer payments"/>
    <n v="194214"/>
    <n v="582082154.41151333"/>
    <n v="1281621"/>
    <n v="0"/>
    <n v="454.17651116165649"/>
  </r>
  <r>
    <x v="7"/>
    <n v="2018"/>
    <n v="4"/>
    <s v="Recharge &amp; bill payments"/>
    <n v="185793"/>
    <n v="49972030.112854838"/>
    <n v="1281621"/>
    <n v="0"/>
    <n v="38.991269737976232"/>
  </r>
  <r>
    <x v="7"/>
    <n v="2018"/>
    <n v="4"/>
    <s v="Merchant payments"/>
    <n v="15739"/>
    <n v="19577328.03937304"/>
    <n v="1281621"/>
    <n v="0"/>
    <n v="15.275442614761337"/>
  </r>
  <r>
    <x v="7"/>
    <n v="2018"/>
    <n v="4"/>
    <s v="Financial Services"/>
    <n v="2996"/>
    <n v="371674.69913357432"/>
    <n v="1281621"/>
    <n v="0"/>
    <n v="0.29000359633118866"/>
  </r>
  <r>
    <x v="7"/>
    <n v="2018"/>
    <n v="4"/>
    <s v="Others"/>
    <n v="5340"/>
    <n v="6747429.5380119532"/>
    <n v="1281621"/>
    <n v="0"/>
    <n v="5.2647619990714523"/>
  </r>
  <r>
    <x v="7"/>
    <n v="2019"/>
    <n v="1"/>
    <s v="Peer-to-peer payments"/>
    <n v="408465"/>
    <n v="757657638.31739521"/>
    <n v="1545852"/>
    <n v="0"/>
    <n v="490.12301198135088"/>
  </r>
  <r>
    <x v="7"/>
    <n v="2019"/>
    <n v="1"/>
    <s v="Recharge &amp; bill payments"/>
    <n v="225998"/>
    <n v="62660761.888069317"/>
    <n v="1545852"/>
    <n v="0"/>
    <n v="40.534774278565685"/>
  </r>
  <r>
    <x v="7"/>
    <n v="2019"/>
    <n v="1"/>
    <s v="Merchant payments"/>
    <n v="20694"/>
    <n v="17043867.886081461"/>
    <n v="1545852"/>
    <n v="0"/>
    <n v="11.025549590828527"/>
  </r>
  <r>
    <x v="7"/>
    <n v="2019"/>
    <n v="1"/>
    <s v="Financial Services"/>
    <n v="1645"/>
    <n v="221064.6189234741"/>
    <n v="1545852"/>
    <n v="0"/>
    <n v="0.14300503471449666"/>
  </r>
  <r>
    <x v="7"/>
    <n v="2019"/>
    <n v="1"/>
    <s v="Others"/>
    <n v="5012"/>
    <n v="5786443.3394310949"/>
    <n v="1545852"/>
    <n v="0"/>
    <n v="3.7432065549813922"/>
  </r>
  <r>
    <x v="7"/>
    <n v="2019"/>
    <n v="2"/>
    <s v="Peer-to-peer payments"/>
    <n v="244134"/>
    <n v="734034142.80873871"/>
    <n v="1744380"/>
    <n v="9467546"/>
    <n v="420.79944897828381"/>
  </r>
  <r>
    <x v="7"/>
    <n v="2019"/>
    <n v="2"/>
    <s v="Recharge &amp; bill payments"/>
    <n v="198184"/>
    <n v="63874445.552418791"/>
    <n v="1744380"/>
    <n v="9467546"/>
    <n v="36.617276942190799"/>
  </r>
  <r>
    <x v="7"/>
    <n v="2019"/>
    <n v="2"/>
    <s v="Merchant payments"/>
    <n v="40781"/>
    <n v="20816136.241969176"/>
    <n v="1744380"/>
    <n v="9467546"/>
    <n v="11.933257800461583"/>
  </r>
  <r>
    <x v="7"/>
    <n v="2019"/>
    <n v="2"/>
    <s v="Financial Services"/>
    <n v="748"/>
    <n v="155149.75618074698"/>
    <n v="1744380"/>
    <n v="9467546"/>
    <n v="8.8942636455787719E-2"/>
  </r>
  <r>
    <x v="7"/>
    <n v="2019"/>
    <n v="2"/>
    <s v="Others"/>
    <n v="5809"/>
    <n v="5561402.2057634462"/>
    <n v="1744380"/>
    <n v="9467546"/>
    <n v="3.1881827387171637"/>
  </r>
  <r>
    <x v="7"/>
    <n v="2019"/>
    <n v="3"/>
    <s v="Recharge &amp; bill payments"/>
    <n v="319142"/>
    <n v="104597035.07984878"/>
    <n v="1946219"/>
    <n v="34388079"/>
    <n v="53.743712850326084"/>
  </r>
  <r>
    <x v="7"/>
    <n v="2019"/>
    <n v="3"/>
    <s v="Peer-to-peer payments"/>
    <n v="249944"/>
    <n v="821178569.05932534"/>
    <n v="1946219"/>
    <n v="34388079"/>
    <n v="421.93533670122702"/>
  </r>
  <r>
    <x v="7"/>
    <n v="2019"/>
    <n v="3"/>
    <s v="Merchant payments"/>
    <n v="63616"/>
    <n v="30634658.237494454"/>
    <n v="1946219"/>
    <n v="34388079"/>
    <n v="15.740601770661192"/>
  </r>
  <r>
    <x v="7"/>
    <n v="2019"/>
    <n v="3"/>
    <s v="Financial Services"/>
    <n v="533"/>
    <n v="425044.05141368794"/>
    <n v="1946219"/>
    <n v="34388079"/>
    <n v="0.21839477027697701"/>
  </r>
  <r>
    <x v="7"/>
    <n v="2019"/>
    <n v="3"/>
    <s v="Others"/>
    <n v="5516"/>
    <n v="4636167.4202897688"/>
    <n v="1946219"/>
    <n v="34388079"/>
    <n v="2.3821406636610623"/>
  </r>
  <r>
    <x v="7"/>
    <n v="2019"/>
    <n v="4"/>
    <s v="Recharge &amp; bill payments"/>
    <n v="351819"/>
    <n v="125809568.35055912"/>
    <n v="2173578"/>
    <n v="41475973"/>
    <n v="57.881322110620879"/>
  </r>
  <r>
    <x v="7"/>
    <n v="2019"/>
    <n v="4"/>
    <s v="Peer-to-peer payments"/>
    <n v="324464"/>
    <n v="1051976410.5472054"/>
    <n v="2173578"/>
    <n v="41475973"/>
    <n v="483.98374042578894"/>
  </r>
  <r>
    <x v="7"/>
    <n v="2019"/>
    <n v="4"/>
    <s v="Merchant payments"/>
    <n v="86758"/>
    <n v="45361559.238248833"/>
    <n v="2173578"/>
    <n v="41475973"/>
    <n v="20.869533662122468"/>
  </r>
  <r>
    <x v="7"/>
    <n v="2019"/>
    <n v="4"/>
    <s v="Financial Services"/>
    <n v="1019"/>
    <n v="267762.49056630814"/>
    <n v="2173578"/>
    <n v="41475973"/>
    <n v="0.12318973166194548"/>
  </r>
  <r>
    <x v="7"/>
    <n v="2019"/>
    <n v="4"/>
    <s v="Others"/>
    <n v="4911"/>
    <n v="3225961.3844606429"/>
    <n v="2173578"/>
    <n v="41475973"/>
    <n v="1.4841709772829146"/>
  </r>
  <r>
    <x v="7"/>
    <n v="2020"/>
    <n v="1"/>
    <s v="Recharge &amp; bill payments"/>
    <n v="407577"/>
    <n v="153340696.30393675"/>
    <n v="2403456"/>
    <n v="46146342"/>
    <n v="63.800084671380191"/>
  </r>
  <r>
    <x v="7"/>
    <n v="2020"/>
    <n v="1"/>
    <s v="Peer-to-peer payments"/>
    <n v="329005"/>
    <n v="1119439489.5005136"/>
    <n v="2403456"/>
    <n v="46146342"/>
    <n v="465.76242273647347"/>
  </r>
  <r>
    <x v="7"/>
    <n v="2020"/>
    <n v="1"/>
    <s v="Merchant payments"/>
    <n v="137040"/>
    <n v="66713356.798143014"/>
    <n v="2403456"/>
    <n v="46146342"/>
    <n v="27.757261542604905"/>
  </r>
  <r>
    <x v="7"/>
    <n v="2020"/>
    <n v="1"/>
    <s v="Financial Services"/>
    <n v="668"/>
    <n v="418783.12609041733"/>
    <n v="2403456"/>
    <n v="46146342"/>
    <n v="0.17424206063702324"/>
  </r>
  <r>
    <x v="7"/>
    <n v="2020"/>
    <n v="1"/>
    <s v="Others"/>
    <n v="4289"/>
    <n v="2851043.5638340712"/>
    <n v="2403456"/>
    <n v="46146342"/>
    <n v="1.1862266518854812"/>
  </r>
  <r>
    <x v="7"/>
    <n v="2020"/>
    <n v="2"/>
    <s v="Recharge &amp; bill payments"/>
    <n v="525974"/>
    <n v="178877986.72486579"/>
    <n v="2692954"/>
    <n v="49556397"/>
    <n v="66.424449405695682"/>
  </r>
  <r>
    <x v="7"/>
    <n v="2020"/>
    <n v="2"/>
    <s v="Peer-to-peer payments"/>
    <n v="323909"/>
    <n v="1052118443.3664523"/>
    <n v="2692954"/>
    <n v="49556397"/>
    <n v="390.69306173311998"/>
  </r>
  <r>
    <x v="7"/>
    <n v="2020"/>
    <n v="2"/>
    <s v="Merchant payments"/>
    <n v="118801"/>
    <n v="68938500.712280512"/>
    <n v="2692954"/>
    <n v="49556397"/>
    <n v="25.599583473123012"/>
  </r>
  <r>
    <x v="7"/>
    <n v="2020"/>
    <n v="2"/>
    <s v="Financial Services"/>
    <n v="1826"/>
    <n v="993268.29718406056"/>
    <n v="2692954"/>
    <n v="49556397"/>
    <n v="0.36883968206811574"/>
  </r>
  <r>
    <x v="7"/>
    <n v="2020"/>
    <n v="2"/>
    <s v="Others"/>
    <n v="2642"/>
    <n v="1448254.787275234"/>
    <n v="2692954"/>
    <n v="49556397"/>
    <n v="0.53779410538584549"/>
  </r>
  <r>
    <x v="7"/>
    <n v="2020"/>
    <n v="3"/>
    <s v="Recharge &amp; bill payments"/>
    <n v="455603"/>
    <n v="201223380.1868608"/>
    <n v="2947406"/>
    <n v="48636489"/>
    <n v="68.271347818000237"/>
  </r>
  <r>
    <x v="7"/>
    <n v="2020"/>
    <n v="3"/>
    <s v="Peer-to-peer payments"/>
    <n v="419524"/>
    <n v="1401020928.2319155"/>
    <n v="2947406"/>
    <n v="48636489"/>
    <n v="475.34032577524624"/>
  </r>
  <r>
    <x v="7"/>
    <n v="2020"/>
    <n v="3"/>
    <s v="Merchant payments"/>
    <n v="257572"/>
    <n v="143497844.49072367"/>
    <n v="2947406"/>
    <n v="48636489"/>
    <n v="48.686147918109576"/>
  </r>
  <r>
    <x v="7"/>
    <n v="2020"/>
    <n v="3"/>
    <s v="Financial Services"/>
    <n v="1635"/>
    <n v="1778864.0123306382"/>
    <n v="2947406"/>
    <n v="48636489"/>
    <n v="0.6035354519637397"/>
  </r>
  <r>
    <x v="7"/>
    <n v="2020"/>
    <n v="3"/>
    <s v="Others"/>
    <n v="3978"/>
    <n v="2268098.0775317708"/>
    <n v="2947406"/>
    <n v="48636489"/>
    <n v="0.76952346488124501"/>
  </r>
  <r>
    <x v="7"/>
    <n v="2020"/>
    <n v="4"/>
    <s v="Peer-to-peer payments"/>
    <n v="666995"/>
    <n v="2153786522.547576"/>
    <n v="3261423"/>
    <n v="68160796"/>
    <n v="660.38245347125348"/>
  </r>
  <r>
    <x v="7"/>
    <n v="2020"/>
    <n v="4"/>
    <s v="Merchant payments"/>
    <n v="631443"/>
    <n v="316510115.80515665"/>
    <n v="3261423"/>
    <n v="68160796"/>
    <n v="97.046631425962431"/>
  </r>
  <r>
    <x v="7"/>
    <n v="2020"/>
    <n v="4"/>
    <s v="Recharge &amp; bill payments"/>
    <n v="509971"/>
    <n v="224246669.77833471"/>
    <n v="3261423"/>
    <n v="68160796"/>
    <n v="68.757309241498177"/>
  </r>
  <r>
    <x v="7"/>
    <n v="2020"/>
    <n v="4"/>
    <s v="Financial Services"/>
    <n v="2453"/>
    <n v="1683959.5099964456"/>
    <n v="3261423"/>
    <n v="68160796"/>
    <n v="0.51632661877850428"/>
  </r>
  <r>
    <x v="7"/>
    <n v="2020"/>
    <n v="4"/>
    <s v="Others"/>
    <n v="6929"/>
    <n v="4283833.1874416023"/>
    <n v="3261423"/>
    <n v="68160796"/>
    <n v="1.3134859193185313"/>
  </r>
  <r>
    <x v="7"/>
    <n v="2021"/>
    <n v="1"/>
    <s v="Peer-to-peer payments"/>
    <n v="768921"/>
    <n v="2379220756.2230163"/>
    <n v="3535356"/>
    <n v="80327082"/>
    <n v="672.97911616906936"/>
  </r>
  <r>
    <x v="7"/>
    <n v="2021"/>
    <n v="1"/>
    <s v="Merchant payments"/>
    <n v="705821"/>
    <n v="367522132.38063604"/>
    <n v="3535356"/>
    <n v="80327082"/>
    <n v="103.95618782963753"/>
  </r>
  <r>
    <x v="7"/>
    <n v="2021"/>
    <n v="1"/>
    <s v="Recharge &amp; bill payments"/>
    <n v="442926"/>
    <n v="213177144.73200977"/>
    <n v="3535356"/>
    <n v="80327082"/>
    <n v="60.29863604457649"/>
  </r>
  <r>
    <x v="7"/>
    <n v="2021"/>
    <n v="1"/>
    <s v="Financial Services"/>
    <n v="2243"/>
    <n v="1930008.9716834244"/>
    <n v="3535356"/>
    <n v="80327082"/>
    <n v="0.54591644283727703"/>
  </r>
  <r>
    <x v="7"/>
    <n v="2021"/>
    <n v="1"/>
    <s v="Others"/>
    <n v="5333"/>
    <n v="3782868.8861592514"/>
    <n v="3535356"/>
    <n v="80327082"/>
    <n v="1.0700107389918445"/>
  </r>
  <r>
    <x v="7"/>
    <n v="2021"/>
    <n v="2"/>
    <s v="Peer-to-peer payments"/>
    <n v="843550"/>
    <n v="2512913026.4279447"/>
    <n v="3794934"/>
    <n v="55692813"/>
    <n v="662.1756864356388"/>
  </r>
  <r>
    <x v="7"/>
    <n v="2021"/>
    <n v="2"/>
    <s v="Merchant payments"/>
    <n v="802899"/>
    <n v="430487473.93056202"/>
    <n v="3794934"/>
    <n v="55692813"/>
    <n v="113.43740732528208"/>
  </r>
  <r>
    <x v="7"/>
    <n v="2021"/>
    <n v="2"/>
    <s v="Recharge &amp; bill payments"/>
    <n v="471136"/>
    <n v="208762964.01200241"/>
    <n v="3794934"/>
    <n v="55692813"/>
    <n v="55.010960404582114"/>
  </r>
  <r>
    <x v="7"/>
    <n v="2021"/>
    <n v="2"/>
    <s v="Financial Services"/>
    <n v="1826"/>
    <n v="1763792.6506419359"/>
    <n v="3794934"/>
    <n v="55692813"/>
    <n v="0.46477557992890939"/>
  </r>
  <r>
    <x v="7"/>
    <n v="2021"/>
    <n v="2"/>
    <s v="Others"/>
    <n v="5672"/>
    <n v="3741204.3977531465"/>
    <n v="3794934"/>
    <n v="55692813"/>
    <n v="0.98584175581265621"/>
  </r>
  <r>
    <x v="7"/>
    <n v="2021"/>
    <n v="3"/>
    <s v="Merchant payments"/>
    <n v="1312241"/>
    <n v="706774071.93816876"/>
    <n v="4090614"/>
    <n v="78790074"/>
    <n v="172.77945852093811"/>
  </r>
  <r>
    <x v="7"/>
    <n v="2021"/>
    <n v="3"/>
    <s v="Peer-to-peer payments"/>
    <n v="1262732"/>
    <n v="3339347400.0643554"/>
    <n v="4090614"/>
    <n v="78790074"/>
    <n v="816.34380561557634"/>
  </r>
  <r>
    <x v="7"/>
    <n v="2021"/>
    <n v="3"/>
    <s v="Recharge &amp; bill payments"/>
    <n v="544322"/>
    <n v="253199754.87452751"/>
    <n v="4090614"/>
    <n v="78790074"/>
    <n v="61.897738303963052"/>
  </r>
  <r>
    <x v="7"/>
    <n v="2021"/>
    <n v="3"/>
    <s v="Financial Services"/>
    <n v="2065"/>
    <n v="2252116.6364592309"/>
    <n v="4090614"/>
    <n v="78790074"/>
    <n v="0.55055711354315784"/>
  </r>
  <r>
    <x v="7"/>
    <n v="2021"/>
    <n v="3"/>
    <s v="Others"/>
    <n v="8110"/>
    <n v="4365759.2779960167"/>
    <n v="4090614"/>
    <n v="78790074"/>
    <n v="1.0672625864958212"/>
  </r>
  <r>
    <x v="7"/>
    <n v="2021"/>
    <n v="4"/>
    <s v="Merchant payments"/>
    <n v="2013673"/>
    <n v="1058989463.1650428"/>
    <n v="4388593"/>
    <n v="165104005"/>
    <n v="241.30500667640922"/>
  </r>
  <r>
    <x v="7"/>
    <n v="2021"/>
    <n v="4"/>
    <s v="Peer-to-peer payments"/>
    <n v="1577168"/>
    <n v="4202291071.7106133"/>
    <n v="4388593"/>
    <n v="165104005"/>
    <n v="957.54859740026325"/>
  </r>
  <r>
    <x v="7"/>
    <n v="2021"/>
    <n v="4"/>
    <s v="Recharge &amp; bill payments"/>
    <n v="551618"/>
    <n v="294991582.16815025"/>
    <n v="4388593"/>
    <n v="165104005"/>
    <n v="67.217803557575337"/>
  </r>
  <r>
    <x v="7"/>
    <n v="2021"/>
    <n v="4"/>
    <s v="Financial Services"/>
    <n v="2909"/>
    <n v="3159306.4175118254"/>
    <n v="4388593"/>
    <n v="165104005"/>
    <n v="0.71989050192438109"/>
  </r>
  <r>
    <x v="7"/>
    <n v="2021"/>
    <n v="4"/>
    <s v="Others"/>
    <n v="11717"/>
    <n v="6407962.869342193"/>
    <n v="4388593"/>
    <n v="165104005"/>
    <n v="1.4601406121146785"/>
  </r>
  <r>
    <x v="8"/>
    <n v="2018"/>
    <n v="1"/>
    <s v="Recharge &amp; bill payments"/>
    <n v="3947297"/>
    <n v="1320559612.770412"/>
    <n v="22957242"/>
    <n v="0"/>
    <n v="57.522572300732463"/>
  </r>
  <r>
    <x v="8"/>
    <n v="2018"/>
    <n v="1"/>
    <s v="Peer-to-peer payments"/>
    <n v="2380820"/>
    <n v="9125685134.8943577"/>
    <n v="22957242"/>
    <n v="0"/>
    <n v="397.50790338379312"/>
  </r>
  <r>
    <x v="8"/>
    <n v="2018"/>
    <n v="1"/>
    <s v="Merchant payments"/>
    <n v="339809"/>
    <n v="375393115.19131327"/>
    <n v="22957242"/>
    <n v="0"/>
    <n v="16.351838569777382"/>
  </r>
  <r>
    <x v="8"/>
    <n v="2018"/>
    <n v="1"/>
    <s v="Financial Services"/>
    <n v="136240"/>
    <n v="45588429.271575734"/>
    <n v="22957242"/>
    <n v="0"/>
    <n v="1.9857973040304986"/>
  </r>
  <r>
    <x v="8"/>
    <n v="2018"/>
    <n v="1"/>
    <s v="Others"/>
    <n v="318588"/>
    <n v="344277514.79230261"/>
    <n v="22957242"/>
    <n v="0"/>
    <n v="14.996466683249782"/>
  </r>
  <r>
    <x v="8"/>
    <n v="2018"/>
    <n v="2"/>
    <s v="Recharge &amp; bill payments"/>
    <n v="4511737"/>
    <n v="2078183615.8006349"/>
    <n v="30317551"/>
    <n v="0"/>
    <n v="68.547212662415731"/>
  </r>
  <r>
    <x v="8"/>
    <n v="2018"/>
    <n v="2"/>
    <s v="Peer-to-peer payments"/>
    <n v="3542716"/>
    <n v="14348179103.109837"/>
    <n v="30317551"/>
    <n v="0"/>
    <n v="473.26313075583965"/>
  </r>
  <r>
    <x v="8"/>
    <n v="2018"/>
    <n v="2"/>
    <s v="Merchant payments"/>
    <n v="837001"/>
    <n v="631597790.60025883"/>
    <n v="30317551"/>
    <n v="0"/>
    <n v="20.832744392852142"/>
  </r>
  <r>
    <x v="8"/>
    <n v="2018"/>
    <n v="2"/>
    <s v="Financial Services"/>
    <n v="205991"/>
    <n v="66584728.195946947"/>
    <n v="30317551"/>
    <n v="0"/>
    <n v="2.1962436278559223"/>
  </r>
  <r>
    <x v="8"/>
    <n v="2018"/>
    <n v="2"/>
    <s v="Others"/>
    <n v="276278"/>
    <n v="321754664.49846911"/>
    <n v="30317551"/>
    <n v="0"/>
    <n v="10.612818446267942"/>
  </r>
  <r>
    <x v="8"/>
    <n v="2018"/>
    <n v="3"/>
    <s v="Peer-to-peer payments"/>
    <n v="8557153"/>
    <n v="22670122888.868217"/>
    <n v="38554021"/>
    <n v="0"/>
    <n v="588.00929970101481"/>
  </r>
  <r>
    <x v="8"/>
    <n v="2018"/>
    <n v="3"/>
    <s v="Recharge &amp; bill payments"/>
    <n v="5305635"/>
    <n v="3261844270.537241"/>
    <n v="38554021"/>
    <n v="0"/>
    <n v="84.604515584437763"/>
  </r>
  <r>
    <x v="8"/>
    <n v="2018"/>
    <n v="3"/>
    <s v="Merchant payments"/>
    <n v="3808395"/>
    <n v="1048422633.7093576"/>
    <n v="38554021"/>
    <n v="0"/>
    <n v="27.193600213823551"/>
  </r>
  <r>
    <x v="8"/>
    <n v="2018"/>
    <n v="3"/>
    <s v="Financial Services"/>
    <n v="274526"/>
    <n v="45051151.351430357"/>
    <n v="38554021"/>
    <n v="0"/>
    <n v="1.1685201746253746"/>
  </r>
  <r>
    <x v="8"/>
    <n v="2018"/>
    <n v="3"/>
    <s v="Others"/>
    <n v="601339"/>
    <n v="350405916.1523186"/>
    <n v="38554021"/>
    <n v="0"/>
    <n v="9.0886996236350708"/>
  </r>
  <r>
    <x v="8"/>
    <n v="2018"/>
    <n v="4"/>
    <s v="Peer-to-peer payments"/>
    <n v="9973249"/>
    <n v="32389252494.757721"/>
    <n v="50933443"/>
    <n v="0"/>
    <n v="635.91327401051058"/>
  </r>
  <r>
    <x v="8"/>
    <n v="2018"/>
    <n v="4"/>
    <s v="Merchant payments"/>
    <n v="9958967"/>
    <n v="2738429838.9392729"/>
    <n v="50933443"/>
    <n v="0"/>
    <n v="53.764867985446671"/>
  </r>
  <r>
    <x v="8"/>
    <n v="2018"/>
    <n v="4"/>
    <s v="Recharge &amp; bill payments"/>
    <n v="7483633"/>
    <n v="3961160542.570066"/>
    <n v="50933443"/>
    <n v="0"/>
    <n v="77.771309168517547"/>
  </r>
  <r>
    <x v="8"/>
    <n v="2018"/>
    <n v="4"/>
    <s v="Financial Services"/>
    <n v="265004"/>
    <n v="58162003.436144918"/>
    <n v="50933443"/>
    <n v="0"/>
    <n v="1.1419216925143842"/>
  </r>
  <r>
    <x v="8"/>
    <n v="2018"/>
    <n v="4"/>
    <s v="Others"/>
    <n v="1506866"/>
    <n v="575852739.00319433"/>
    <n v="50933443"/>
    <n v="0"/>
    <n v="11.305984930239143"/>
  </r>
  <r>
    <x v="8"/>
    <n v="2019"/>
    <n v="1"/>
    <s v="Peer-to-peer payments"/>
    <n v="20216287"/>
    <n v="48250023720.99173"/>
    <n v="60491893"/>
    <n v="0"/>
    <n v="797.62793538287406"/>
  </r>
  <r>
    <x v="8"/>
    <n v="2019"/>
    <n v="1"/>
    <s v="Merchant payments"/>
    <n v="13875931"/>
    <n v="3996618719.7994804"/>
    <n v="60491893"/>
    <n v="0"/>
    <n v="66.068666751749376"/>
  </r>
  <r>
    <x v="8"/>
    <n v="2019"/>
    <n v="1"/>
    <s v="Recharge &amp; bill payments"/>
    <n v="10744978"/>
    <n v="5521320539.3562117"/>
    <n v="60491893"/>
    <n v="0"/>
    <n v="91.273727197728988"/>
  </r>
  <r>
    <x v="8"/>
    <n v="2019"/>
    <n v="1"/>
    <s v="Financial Services"/>
    <n v="223095"/>
    <n v="30997039.697555833"/>
    <n v="60491893"/>
    <n v="0"/>
    <n v="0.51241642739723536"/>
  </r>
  <r>
    <x v="8"/>
    <n v="2019"/>
    <n v="1"/>
    <s v="Others"/>
    <n v="1947036"/>
    <n v="670171769.65229642"/>
    <n v="60491893"/>
    <n v="0"/>
    <n v="11.07870387941565"/>
  </r>
  <r>
    <x v="8"/>
    <n v="2019"/>
    <n v="2"/>
    <s v="Merchant payments"/>
    <n v="20891431"/>
    <n v="6816878922.8443995"/>
    <n v="67819928"/>
    <n v="481047270"/>
    <n v="100.51439339252026"/>
  </r>
  <r>
    <x v="8"/>
    <n v="2019"/>
    <n v="2"/>
    <s v="Peer-to-peer payments"/>
    <n v="20570311"/>
    <n v="65953571241.264351"/>
    <n v="67819928"/>
    <n v="481047270"/>
    <n v="972.48070274070994"/>
  </r>
  <r>
    <x v="8"/>
    <n v="2019"/>
    <n v="2"/>
    <s v="Recharge &amp; bill payments"/>
    <n v="12869453"/>
    <n v="8035701902.3917646"/>
    <n v="67819928"/>
    <n v="481047270"/>
    <n v="118.4858512735632"/>
  </r>
  <r>
    <x v="8"/>
    <n v="2019"/>
    <n v="2"/>
    <s v="Financial Services"/>
    <n v="137774"/>
    <n v="33985068.683786109"/>
    <n v="67819928"/>
    <n v="481047270"/>
    <n v="0.50110741320436247"/>
  </r>
  <r>
    <x v="8"/>
    <n v="2019"/>
    <n v="2"/>
    <s v="Others"/>
    <n v="2702543"/>
    <n v="866678928.44399858"/>
    <n v="67819928"/>
    <n v="481047270"/>
    <n v="12.7791189699287"/>
  </r>
  <r>
    <x v="8"/>
    <n v="2019"/>
    <n v="3"/>
    <s v="Merchant payments"/>
    <n v="29453368"/>
    <n v="9857221391.940361"/>
    <n v="74605146"/>
    <n v="1797191297"/>
    <n v="132.12522085192839"/>
  </r>
  <r>
    <x v="8"/>
    <n v="2019"/>
    <n v="3"/>
    <s v="Peer-to-peer payments"/>
    <n v="25201978"/>
    <n v="81904443496.297775"/>
    <n v="74605146"/>
    <n v="1797191297"/>
    <n v="1097.8390618831813"/>
  </r>
  <r>
    <x v="8"/>
    <n v="2019"/>
    <n v="3"/>
    <s v="Recharge &amp; bill payments"/>
    <n v="11133404"/>
    <n v="10406524192.884487"/>
    <n v="74605146"/>
    <n v="1797191297"/>
    <n v="139.48802128052247"/>
  </r>
  <r>
    <x v="8"/>
    <n v="2019"/>
    <n v="3"/>
    <s v="Financial Services"/>
    <n v="92061"/>
    <n v="27952186.986432005"/>
    <n v="74605146"/>
    <n v="1797191297"/>
    <n v="0.37466835044370805"/>
  </r>
  <r>
    <x v="8"/>
    <n v="2019"/>
    <n v="3"/>
    <s v="Others"/>
    <n v="3657065"/>
    <n v="1000670778.3478061"/>
    <n v="74605146"/>
    <n v="1797191297"/>
    <n v="13.412892166283088"/>
  </r>
  <r>
    <x v="8"/>
    <n v="2019"/>
    <n v="4"/>
    <s v="Peer-to-peer payments"/>
    <n v="33040093"/>
    <n v="105858524152.38443"/>
    <n v="80188713"/>
    <n v="1899509381"/>
    <n v="1320.1175102085056"/>
  </r>
  <r>
    <x v="8"/>
    <n v="2019"/>
    <n v="4"/>
    <s v="Merchant payments"/>
    <n v="32537378"/>
    <n v="12864577363.070576"/>
    <n v="80188713"/>
    <n v="1899509381"/>
    <n v="160.42877958485974"/>
  </r>
  <r>
    <x v="8"/>
    <n v="2019"/>
    <n v="4"/>
    <s v="Recharge &amp; bill payments"/>
    <n v="11609898"/>
    <n v="9500486080.9884491"/>
    <n v="80188713"/>
    <n v="1899509381"/>
    <n v="118.47660007947064"/>
  </r>
  <r>
    <x v="8"/>
    <n v="2019"/>
    <n v="4"/>
    <s v="Financial Services"/>
    <n v="57063"/>
    <n v="21512527.973989226"/>
    <n v="80188713"/>
    <n v="1899509381"/>
    <n v="0.26827376533639125"/>
  </r>
  <r>
    <x v="8"/>
    <n v="2019"/>
    <n v="4"/>
    <s v="Others"/>
    <n v="3500565"/>
    <n v="779367300.47325706"/>
    <n v="80188713"/>
    <n v="1899509381"/>
    <n v="9.7191645970581551"/>
  </r>
  <r>
    <x v="8"/>
    <n v="2020"/>
    <n v="1"/>
    <s v="Merchant payments"/>
    <n v="33951545"/>
    <n v="14470782771.054684"/>
    <n v="86088167"/>
    <n v="1960903846"/>
    <n v="168.09258781238407"/>
  </r>
  <r>
    <x v="8"/>
    <n v="2020"/>
    <n v="1"/>
    <s v="Peer-to-peer payments"/>
    <n v="32410795"/>
    <n v="108987600006.3667"/>
    <n v="86088167"/>
    <n v="1960903846"/>
    <n v="1265.999774468037"/>
  </r>
  <r>
    <x v="8"/>
    <n v="2020"/>
    <n v="1"/>
    <s v="Recharge &amp; bill payments"/>
    <n v="12822919"/>
    <n v="9498791147.9291935"/>
    <n v="86088167"/>
    <n v="1960903846"/>
    <n v="110.3379416584534"/>
  </r>
  <r>
    <x v="8"/>
    <n v="2020"/>
    <n v="1"/>
    <s v="Financial Services"/>
    <n v="46529"/>
    <n v="39908838.248528868"/>
    <n v="86088167"/>
    <n v="1960903846"/>
    <n v="0.46358099654426221"/>
  </r>
  <r>
    <x v="8"/>
    <n v="2020"/>
    <n v="1"/>
    <s v="Others"/>
    <n v="2515816"/>
    <n v="619460878.99096727"/>
    <n v="86088167"/>
    <n v="1960903846"/>
    <n v="7.1956565063229574"/>
  </r>
  <r>
    <x v="8"/>
    <n v="2020"/>
    <n v="2"/>
    <s v="Peer-to-peer payments"/>
    <n v="27155938"/>
    <n v="86227124454.101746"/>
    <n v="92302529"/>
    <n v="1571374783"/>
    <n v="934.17943569132046"/>
  </r>
  <r>
    <x v="8"/>
    <n v="2020"/>
    <n v="2"/>
    <s v="Merchant payments"/>
    <n v="24963931"/>
    <n v="12708327043.868336"/>
    <n v="92302529"/>
    <n v="1571374783"/>
    <n v="137.68124429037405"/>
  </r>
  <r>
    <x v="8"/>
    <n v="2020"/>
    <n v="2"/>
    <s v="Recharge &amp; bill payments"/>
    <n v="13568505"/>
    <n v="8699886044.040596"/>
    <n v="92302529"/>
    <n v="1571374783"/>
    <n v="94.254037655247728"/>
  </r>
  <r>
    <x v="8"/>
    <n v="2020"/>
    <n v="2"/>
    <s v="Financial Services"/>
    <n v="64790"/>
    <n v="75405868.16164647"/>
    <n v="92302529"/>
    <n v="1571374783"/>
    <n v="0.81694260144970099"/>
  </r>
  <r>
    <x v="8"/>
    <n v="2020"/>
    <n v="2"/>
    <s v="Others"/>
    <n v="288854"/>
    <n v="162694793.15869594"/>
    <n v="92302529"/>
    <n v="1571374783"/>
    <n v="1.7626255198131779"/>
  </r>
  <r>
    <x v="8"/>
    <n v="2020"/>
    <n v="3"/>
    <s v="Peer-to-peer payments"/>
    <n v="41498638"/>
    <n v="140074023548.15637"/>
    <n v="99485914"/>
    <n v="2090275319"/>
    <n v="1407.9784556048444"/>
  </r>
  <r>
    <x v="8"/>
    <n v="2020"/>
    <n v="3"/>
    <s v="Merchant payments"/>
    <n v="40973792"/>
    <n v="21858176583.058899"/>
    <n v="99485914"/>
    <n v="2090275319"/>
    <n v="219.71127071375048"/>
  </r>
  <r>
    <x v="8"/>
    <n v="2020"/>
    <n v="3"/>
    <s v="Recharge &amp; bill payments"/>
    <n v="13448341"/>
    <n v="12883226305.336546"/>
    <n v="99485914"/>
    <n v="2090275319"/>
    <n v="129.49799411137286"/>
  </r>
  <r>
    <x v="8"/>
    <n v="2020"/>
    <n v="3"/>
    <s v="Financial Services"/>
    <n v="85689"/>
    <n v="114341865.2645722"/>
    <n v="99485914"/>
    <n v="2090275319"/>
    <n v="1.1493271827866225"/>
  </r>
  <r>
    <x v="8"/>
    <n v="2020"/>
    <n v="3"/>
    <s v="Others"/>
    <n v="485401"/>
    <n v="234194502.84422821"/>
    <n v="99485914"/>
    <n v="2090275319"/>
    <n v="2.3540468537508557"/>
  </r>
  <r>
    <x v="8"/>
    <n v="2020"/>
    <n v="4"/>
    <s v="Merchant payments"/>
    <n v="54581166"/>
    <n v="31106554562.795101"/>
    <n v="107227648"/>
    <n v="2677771272"/>
    <n v="290.09826423493968"/>
  </r>
  <r>
    <x v="8"/>
    <n v="2020"/>
    <n v="4"/>
    <s v="Peer-to-peer payments"/>
    <n v="49631928"/>
    <n v="171546055992.1488"/>
    <n v="107227648"/>
    <n v="2677771272"/>
    <n v="1599.8304466414186"/>
  </r>
  <r>
    <x v="8"/>
    <n v="2020"/>
    <n v="4"/>
    <s v="Recharge &amp; bill payments"/>
    <n v="14862946"/>
    <n v="12921793576.576857"/>
    <n v="107227648"/>
    <n v="2677771272"/>
    <n v="120.50803890221351"/>
  </r>
  <r>
    <x v="8"/>
    <n v="2020"/>
    <n v="4"/>
    <s v="Financial Services"/>
    <n v="114862"/>
    <n v="160007919.76894268"/>
    <n v="107227648"/>
    <n v="2677771272"/>
    <n v="1.4922263311132469"/>
  </r>
  <r>
    <x v="8"/>
    <n v="2020"/>
    <n v="4"/>
    <s v="Others"/>
    <n v="1349515"/>
    <n v="530676173.2537967"/>
    <n v="107227648"/>
    <n v="2677771272"/>
    <n v="4.9490610225246821"/>
  </r>
  <r>
    <x v="8"/>
    <n v="2021"/>
    <n v="1"/>
    <s v="Merchant payments"/>
    <n v="72615587"/>
    <n v="39861532639.012344"/>
    <n v="115139310"/>
    <n v="3093217600"/>
    <n v="346.20263608503774"/>
  </r>
  <r>
    <x v="8"/>
    <n v="2021"/>
    <n v="1"/>
    <s v="Peer-to-peer payments"/>
    <n v="61957428"/>
    <n v="210823551741.40936"/>
    <n v="115139310"/>
    <n v="3093217600"/>
    <n v="1831.0301819718163"/>
  </r>
  <r>
    <x v="8"/>
    <n v="2021"/>
    <n v="1"/>
    <s v="Recharge &amp; bill payments"/>
    <n v="21164274"/>
    <n v="15447408658.778738"/>
    <n v="115139310"/>
    <n v="3093217600"/>
    <n v="134.16276907321"/>
  </r>
  <r>
    <x v="8"/>
    <n v="2021"/>
    <n v="1"/>
    <s v="Financial Services"/>
    <n v="153039"/>
    <n v="203106852.42387855"/>
    <n v="115139310"/>
    <n v="3093217600"/>
    <n v="1.7640096368814313"/>
  </r>
  <r>
    <x v="8"/>
    <n v="2021"/>
    <n v="1"/>
    <s v="Others"/>
    <n v="1468676"/>
    <n v="592745151.86830485"/>
    <n v="115139310"/>
    <n v="3093217600"/>
    <n v="5.1480693419849821"/>
  </r>
  <r>
    <x v="8"/>
    <n v="2021"/>
    <n v="2"/>
    <s v="Merchant payments"/>
    <n v="75620295"/>
    <n v="42933366743.235748"/>
    <n v="123009689"/>
    <n v="1814975514"/>
    <n v="349.02426867558171"/>
  </r>
  <r>
    <x v="8"/>
    <n v="2021"/>
    <n v="2"/>
    <s v="Peer-to-peer payments"/>
    <n v="68497718"/>
    <n v="223034955527.75317"/>
    <n v="123009689"/>
    <n v="1814975514"/>
    <n v="1813.1494953031965"/>
  </r>
  <r>
    <x v="8"/>
    <n v="2021"/>
    <n v="2"/>
    <s v="Recharge &amp; bill payments"/>
    <n v="25026678"/>
    <n v="15310096462.746447"/>
    <n v="123009689"/>
    <n v="1814975514"/>
    <n v="124.46252475889477"/>
  </r>
  <r>
    <x v="8"/>
    <n v="2021"/>
    <n v="2"/>
    <s v="Financial Services"/>
    <n v="158170"/>
    <n v="190019761.49741396"/>
    <n v="123009689"/>
    <n v="1814975514"/>
    <n v="1.5447544257868497"/>
  </r>
  <r>
    <x v="8"/>
    <n v="2021"/>
    <n v="2"/>
    <s v="Others"/>
    <n v="854403"/>
    <n v="472659189.30861247"/>
    <n v="123009689"/>
    <n v="1814975514"/>
    <n v="3.8424549574189433"/>
  </r>
  <r>
    <x v="8"/>
    <n v="2021"/>
    <n v="3"/>
    <s v="Merchant payments"/>
    <n v="115250887"/>
    <n v="64006915630.532623"/>
    <n v="131780671"/>
    <n v="2462288136"/>
    <n v="485.7079201739125"/>
  </r>
  <r>
    <x v="8"/>
    <n v="2021"/>
    <n v="3"/>
    <s v="Peer-to-peer payments"/>
    <n v="93292876"/>
    <n v="298005532606.46997"/>
    <n v="131780671"/>
    <n v="2462288136"/>
    <n v="2261.3751344950274"/>
  </r>
  <r>
    <x v="8"/>
    <n v="2021"/>
    <n v="3"/>
    <s v="Recharge &amp; bill payments"/>
    <n v="28427032"/>
    <n v="20934734871.908962"/>
    <n v="131780671"/>
    <n v="2462288136"/>
    <n v="158.86043615538247"/>
  </r>
  <r>
    <x v="8"/>
    <n v="2021"/>
    <n v="3"/>
    <s v="Financial Services"/>
    <n v="144460"/>
    <n v="220660990.22066334"/>
    <n v="131780671"/>
    <n v="2462288136"/>
    <n v="1.6744564172135938"/>
  </r>
  <r>
    <x v="8"/>
    <n v="2021"/>
    <n v="3"/>
    <s v="Others"/>
    <n v="1645353"/>
    <n v="690472449.14892554"/>
    <n v="131780671"/>
    <n v="2462288136"/>
    <n v="5.2395578494886061"/>
  </r>
  <r>
    <x v="8"/>
    <n v="2021"/>
    <n v="4"/>
    <s v="Merchant payments"/>
    <n v="149204611"/>
    <n v="88990516304.074371"/>
    <n v="140636397"/>
    <n v="3802362883"/>
    <n v="632.77016620437428"/>
  </r>
  <r>
    <x v="8"/>
    <n v="2021"/>
    <n v="4"/>
    <s v="Peer-to-peer payments"/>
    <n v="112380292"/>
    <n v="376556972334.15979"/>
    <n v="140636397"/>
    <n v="3802362883"/>
    <n v="2677.5214693118155"/>
  </r>
  <r>
    <x v="8"/>
    <n v="2021"/>
    <n v="4"/>
    <s v="Recharge &amp; bill payments"/>
    <n v="30127352"/>
    <n v="22290161823.248642"/>
    <n v="140636397"/>
    <n v="3802362883"/>
    <n v="158.49497213192004"/>
  </r>
  <r>
    <x v="8"/>
    <n v="2021"/>
    <n v="4"/>
    <s v="Financial Services"/>
    <n v="199280"/>
    <n v="287950130.24921745"/>
    <n v="140636397"/>
    <n v="3802362883"/>
    <n v="2.0474794320080418"/>
  </r>
  <r>
    <x v="8"/>
    <n v="2021"/>
    <n v="4"/>
    <s v="Others"/>
    <n v="771824"/>
    <n v="569713470.65920317"/>
    <n v="140636397"/>
    <n v="3802362883"/>
    <n v="4.0509674793446475"/>
  </r>
  <r>
    <x v="9"/>
    <n v="2018"/>
    <n v="1"/>
    <s v="Recharge &amp; bill payments"/>
    <n v="85991"/>
    <n v="18273814.162708722"/>
    <n v="1011296"/>
    <n v="0"/>
    <n v="18.069698844560566"/>
  </r>
  <r>
    <x v="9"/>
    <n v="2018"/>
    <n v="1"/>
    <s v="Peer-to-peer payments"/>
    <n v="59651"/>
    <n v="268175048.06992978"/>
    <n v="1011296"/>
    <n v="0"/>
    <n v="265.17957953945211"/>
  </r>
  <r>
    <x v="9"/>
    <n v="2018"/>
    <n v="1"/>
    <s v="Merchant payments"/>
    <n v="7880"/>
    <n v="11036031.735657964"/>
    <n v="1011296"/>
    <n v="0"/>
    <n v="10.912761185308717"/>
  </r>
  <r>
    <x v="9"/>
    <n v="2018"/>
    <n v="1"/>
    <s v="Financial Services"/>
    <n v="1191"/>
    <n v="520105.64240042202"/>
    <n v="1011296"/>
    <n v="0"/>
    <n v="0.51429615305550702"/>
  </r>
  <r>
    <x v="9"/>
    <n v="2018"/>
    <n v="1"/>
    <s v="Others"/>
    <n v="6184"/>
    <n v="5851742.7323869746"/>
    <n v="1011296"/>
    <n v="0"/>
    <n v="5.7863797863206958"/>
  </r>
  <r>
    <x v="9"/>
    <n v="2018"/>
    <n v="2"/>
    <s v="Recharge &amp; bill payments"/>
    <n v="120943"/>
    <n v="30994284.170441039"/>
    <n v="1343914"/>
    <n v="0"/>
    <n v="23.062699079287096"/>
  </r>
  <r>
    <x v="9"/>
    <n v="2018"/>
    <n v="2"/>
    <s v="Peer-to-peer payments"/>
    <n v="87878"/>
    <n v="419492232.52410376"/>
    <n v="1343914"/>
    <n v="0"/>
    <n v="312.14217020144429"/>
  </r>
  <r>
    <x v="9"/>
    <n v="2018"/>
    <n v="2"/>
    <s v="Merchant payments"/>
    <n v="12456"/>
    <n v="20162855.706119571"/>
    <n v="1343914"/>
    <n v="0"/>
    <n v="15.003084800158025"/>
  </r>
  <r>
    <x v="9"/>
    <n v="2018"/>
    <n v="2"/>
    <s v="Financial Services"/>
    <n v="1903"/>
    <n v="733429.42728319904"/>
    <n v="1343914"/>
    <n v="0"/>
    <n v="0.54574134005836616"/>
  </r>
  <r>
    <x v="9"/>
    <n v="2018"/>
    <n v="2"/>
    <s v="Others"/>
    <n v="6395"/>
    <n v="7221023.5306675266"/>
    <n v="1343914"/>
    <n v="0"/>
    <n v="5.3731291813817901"/>
  </r>
  <r>
    <x v="9"/>
    <n v="2018"/>
    <n v="3"/>
    <s v="Recharge &amp; bill payments"/>
    <n v="158797"/>
    <n v="40314972.942088373"/>
    <n v="1691822"/>
    <n v="0"/>
    <n v="23.82932302694277"/>
  </r>
  <r>
    <x v="9"/>
    <n v="2018"/>
    <n v="3"/>
    <s v="Peer-to-peer payments"/>
    <n v="150297"/>
    <n v="639468418.13170016"/>
    <n v="1691822"/>
    <n v="0"/>
    <n v="377.97618078716329"/>
  </r>
  <r>
    <x v="9"/>
    <n v="2018"/>
    <n v="3"/>
    <s v="Merchant payments"/>
    <n v="21587"/>
    <n v="26634198.178851012"/>
    <n v="1691822"/>
    <n v="0"/>
    <n v="15.742908047567068"/>
  </r>
  <r>
    <x v="9"/>
    <n v="2018"/>
    <n v="3"/>
    <s v="Financial Services"/>
    <n v="1867"/>
    <n v="468171.36483984883"/>
    <n v="1691822"/>
    <n v="0"/>
    <n v="0.276726135988212"/>
  </r>
  <r>
    <x v="9"/>
    <n v="2018"/>
    <n v="3"/>
    <s v="Others"/>
    <n v="6963"/>
    <n v="6281208.6207546387"/>
    <n v="1691822"/>
    <n v="0"/>
    <n v="3.712688817591117"/>
  </r>
  <r>
    <x v="9"/>
    <n v="2018"/>
    <n v="4"/>
    <s v="Peer-to-peer payments"/>
    <n v="246426"/>
    <n v="1021902315.4426756"/>
    <n v="2148850"/>
    <n v="0"/>
    <n v="475.55777064135498"/>
  </r>
  <r>
    <x v="9"/>
    <n v="2018"/>
    <n v="4"/>
    <s v="Recharge &amp; bill payments"/>
    <n v="212122"/>
    <n v="54832855.89468471"/>
    <n v="2148850"/>
    <n v="0"/>
    <n v="25.517302694317756"/>
  </r>
  <r>
    <x v="9"/>
    <n v="2018"/>
    <n v="4"/>
    <s v="Merchant payments"/>
    <n v="45586"/>
    <n v="66666113.921459652"/>
    <n v="2148850"/>
    <n v="0"/>
    <n v="31.024089127421483"/>
  </r>
  <r>
    <x v="9"/>
    <n v="2018"/>
    <n v="4"/>
    <s v="Financial Services"/>
    <n v="2523"/>
    <n v="723599.23281832889"/>
    <n v="2148850"/>
    <n v="0"/>
    <n v="0.33673789832623446"/>
  </r>
  <r>
    <x v="9"/>
    <n v="2018"/>
    <n v="4"/>
    <s v="Others"/>
    <n v="8098"/>
    <n v="8880194.4307666589"/>
    <n v="2148850"/>
    <n v="0"/>
    <n v="4.1325334159046276"/>
  </r>
  <r>
    <x v="9"/>
    <n v="2019"/>
    <n v="1"/>
    <s v="Peer-to-peer payments"/>
    <n v="378848"/>
    <n v="1310759847.8146646"/>
    <n v="2619672"/>
    <n v="0"/>
    <n v="500.35265781924784"/>
  </r>
  <r>
    <x v="9"/>
    <n v="2019"/>
    <n v="1"/>
    <s v="Recharge &amp; bill payments"/>
    <n v="275277"/>
    <n v="78212835.040603399"/>
    <n v="2619672"/>
    <n v="0"/>
    <n v="29.855964808038333"/>
  </r>
  <r>
    <x v="9"/>
    <n v="2019"/>
    <n v="1"/>
    <s v="Merchant payments"/>
    <n v="74527"/>
    <n v="75946974.414831012"/>
    <n v="2619672"/>
    <n v="0"/>
    <n v="28.991024225487394"/>
  </r>
  <r>
    <x v="9"/>
    <n v="2019"/>
    <n v="1"/>
    <s v="Financial Services"/>
    <n v="2013"/>
    <n v="499592.09668609948"/>
    <n v="2619672"/>
    <n v="0"/>
    <n v="0.19070788124853016"/>
  </r>
  <r>
    <x v="9"/>
    <n v="2019"/>
    <n v="1"/>
    <s v="Others"/>
    <n v="8147"/>
    <n v="9904147.9097916503"/>
    <n v="2619672"/>
    <n v="0"/>
    <n v="3.7806824326830419"/>
  </r>
  <r>
    <x v="9"/>
    <n v="2019"/>
    <n v="2"/>
    <s v="Peer-to-peer payments"/>
    <n v="373759"/>
    <n v="1391933790.7547765"/>
    <n v="3068340"/>
    <n v="14874552"/>
    <n v="453.64392171492614"/>
  </r>
  <r>
    <x v="9"/>
    <n v="2019"/>
    <n v="2"/>
    <s v="Recharge &amp; bill payments"/>
    <n v="278060"/>
    <n v="93218689.416949481"/>
    <n v="3068340"/>
    <n v="14874552"/>
    <n v="30.380821361697034"/>
  </r>
  <r>
    <x v="9"/>
    <n v="2019"/>
    <n v="2"/>
    <s v="Merchant payments"/>
    <n v="104592"/>
    <n v="92873008.647450402"/>
    <n v="3068340"/>
    <n v="14874552"/>
    <n v="30.268160845098784"/>
  </r>
  <r>
    <x v="9"/>
    <n v="2019"/>
    <n v="2"/>
    <s v="Financial Services"/>
    <n v="1211"/>
    <n v="515859.8076807977"/>
    <n v="3068340"/>
    <n v="14874552"/>
    <n v="0.16812341777012904"/>
  </r>
  <r>
    <x v="9"/>
    <n v="2019"/>
    <n v="2"/>
    <s v="Others"/>
    <n v="10819"/>
    <n v="13325754.760758925"/>
    <n v="3068340"/>
    <n v="14874552"/>
    <n v="4.3429850540549371"/>
  </r>
  <r>
    <x v="9"/>
    <n v="2019"/>
    <n v="3"/>
    <s v="Peer-to-peer payments"/>
    <n v="475178"/>
    <n v="1704668027.0159788"/>
    <n v="3489134"/>
    <n v="52292812"/>
    <n v="488.56479201314102"/>
  </r>
  <r>
    <x v="9"/>
    <n v="2019"/>
    <n v="3"/>
    <s v="Recharge &amp; bill payments"/>
    <n v="453806"/>
    <n v="157952854.95011711"/>
    <n v="3489134"/>
    <n v="52292812"/>
    <n v="45.269930862534117"/>
  </r>
  <r>
    <x v="9"/>
    <n v="2019"/>
    <n v="3"/>
    <s v="Merchant payments"/>
    <n v="150578"/>
    <n v="123948570.56857497"/>
    <n v="3489134"/>
    <n v="52292812"/>
    <n v="35.524164611784748"/>
  </r>
  <r>
    <x v="9"/>
    <n v="2019"/>
    <n v="3"/>
    <s v="Financial Services"/>
    <n v="1510"/>
    <n v="1282344.8444824044"/>
    <n v="3489134"/>
    <n v="52292812"/>
    <n v="0.36752524967009131"/>
  </r>
  <r>
    <x v="9"/>
    <n v="2019"/>
    <n v="3"/>
    <s v="Others"/>
    <n v="11344"/>
    <n v="12515394.117688328"/>
    <n v="3489134"/>
    <n v="52292812"/>
    <n v="3.5869628732196377"/>
  </r>
  <r>
    <x v="9"/>
    <n v="2019"/>
    <n v="4"/>
    <s v="Peer-to-peer payments"/>
    <n v="698728"/>
    <n v="2484453030.31845"/>
    <n v="3889006"/>
    <n v="69195973"/>
    <n v="638.84011243964392"/>
  </r>
  <r>
    <x v="9"/>
    <n v="2019"/>
    <n v="4"/>
    <s v="Recharge &amp; bill payments"/>
    <n v="552421"/>
    <n v="205602115.14625147"/>
    <n v="3889006"/>
    <n v="69195973"/>
    <n v="52.867523255621478"/>
  </r>
  <r>
    <x v="9"/>
    <n v="2019"/>
    <n v="4"/>
    <s v="Merchant payments"/>
    <n v="250893"/>
    <n v="218404664.8638511"/>
    <n v="3889006"/>
    <n v="69195973"/>
    <n v="56.159508332939339"/>
  </r>
  <r>
    <x v="9"/>
    <n v="2019"/>
    <n v="4"/>
    <s v="Financial Services"/>
    <n v="1497"/>
    <n v="649712.84514980076"/>
    <n v="3889006"/>
    <n v="69195973"/>
    <n v="0.16706398631161812"/>
  </r>
  <r>
    <x v="9"/>
    <n v="2019"/>
    <n v="4"/>
    <s v="Others"/>
    <n v="11733"/>
    <n v="14350825.325765317"/>
    <n v="3889006"/>
    <n v="69195973"/>
    <n v="3.6901011018664711"/>
  </r>
  <r>
    <x v="9"/>
    <n v="2020"/>
    <n v="1"/>
    <s v="Peer-to-peer payments"/>
    <n v="817198"/>
    <n v="2851686768.6536841"/>
    <n v="4310900"/>
    <n v="78619563"/>
    <n v="661.50612833832474"/>
  </r>
  <r>
    <x v="9"/>
    <n v="2020"/>
    <n v="1"/>
    <s v="Recharge &amp; bill payments"/>
    <n v="678079"/>
    <n v="244739382.20701858"/>
    <n v="4310900"/>
    <n v="78619563"/>
    <n v="56.772224409524362"/>
  </r>
  <r>
    <x v="9"/>
    <n v="2020"/>
    <n v="1"/>
    <s v="Merchant payments"/>
    <n v="373110"/>
    <n v="298421548.10465711"/>
    <n v="4310900"/>
    <n v="78619563"/>
    <n v="69.224882995350654"/>
  </r>
  <r>
    <x v="9"/>
    <n v="2020"/>
    <n v="1"/>
    <s v="Financial Services"/>
    <n v="1762"/>
    <n v="1816477.5692472362"/>
    <n v="4310900"/>
    <n v="78619563"/>
    <n v="0.42136852379949341"/>
  </r>
  <r>
    <x v="9"/>
    <n v="2020"/>
    <n v="1"/>
    <s v="Others"/>
    <n v="11088"/>
    <n v="13707055.389155574"/>
    <n v="4310900"/>
    <n v="78619563"/>
    <n v="3.1796273142860132"/>
  </r>
  <r>
    <x v="9"/>
    <n v="2020"/>
    <n v="2"/>
    <s v="Recharge &amp; bill payments"/>
    <n v="758617"/>
    <n v="241196540.93798909"/>
    <n v="4737029"/>
    <n v="58411386"/>
    <n v="50.91726078476384"/>
  </r>
  <r>
    <x v="9"/>
    <n v="2020"/>
    <n v="2"/>
    <s v="Peer-to-peer payments"/>
    <n v="493326"/>
    <n v="1766723888.2025127"/>
    <n v="4737029"/>
    <n v="58411386"/>
    <n v="372.96032770804499"/>
  </r>
  <r>
    <x v="9"/>
    <n v="2020"/>
    <n v="2"/>
    <s v="Merchant payments"/>
    <n v="221358"/>
    <n v="168591711.94693565"/>
    <n v="4737029"/>
    <n v="58411386"/>
    <n v="35.59017940294131"/>
  </r>
  <r>
    <x v="9"/>
    <n v="2020"/>
    <n v="2"/>
    <s v="Financial Services"/>
    <n v="3081"/>
    <n v="3328361.3179877652"/>
    <n v="4737029"/>
    <n v="58411386"/>
    <n v="0.70262633350730286"/>
  </r>
  <r>
    <x v="9"/>
    <n v="2020"/>
    <n v="2"/>
    <s v="Others"/>
    <n v="5710"/>
    <n v="3775927.611346662"/>
    <n v="4737029"/>
    <n v="58411386"/>
    <n v="0.79710882313506248"/>
  </r>
  <r>
    <x v="9"/>
    <n v="2020"/>
    <n v="3"/>
    <s v="Peer-to-peer payments"/>
    <n v="759351"/>
    <n v="2723430713.3444066"/>
    <n v="5224582"/>
    <n v="67427426"/>
    <n v="521.27246033164124"/>
  </r>
  <r>
    <x v="9"/>
    <n v="2020"/>
    <n v="3"/>
    <s v="Recharge &amp; bill payments"/>
    <n v="696770"/>
    <n v="280187505.03393549"/>
    <n v="5224582"/>
    <n v="67427426"/>
    <n v="53.628693172762048"/>
  </r>
  <r>
    <x v="9"/>
    <n v="2020"/>
    <n v="3"/>
    <s v="Merchant payments"/>
    <n v="446880"/>
    <n v="353193881.4783259"/>
    <n v="5224582"/>
    <n v="67427426"/>
    <n v="67.602323301333186"/>
  </r>
  <r>
    <x v="9"/>
    <n v="2020"/>
    <n v="3"/>
    <s v="Financial Services"/>
    <n v="4985"/>
    <n v="6418950.4668479636"/>
    <n v="5224582"/>
    <n v="67427426"/>
    <n v="1.2286055548267716"/>
  </r>
  <r>
    <x v="9"/>
    <n v="2020"/>
    <n v="3"/>
    <s v="Others"/>
    <n v="7545"/>
    <n v="5112530.6211444223"/>
    <n v="5224582"/>
    <n v="67427426"/>
    <n v="0.97855304427118228"/>
  </r>
  <r>
    <x v="9"/>
    <n v="2020"/>
    <n v="4"/>
    <s v="Peer-to-peer payments"/>
    <n v="1550251"/>
    <n v="5407626413.0433464"/>
    <n v="5803424"/>
    <n v="120902298"/>
    <n v="931.79929866288353"/>
  </r>
  <r>
    <x v="9"/>
    <n v="2020"/>
    <n v="4"/>
    <s v="Merchant payments"/>
    <n v="1389834"/>
    <n v="1123844212.5171819"/>
    <n v="5803424"/>
    <n v="120902298"/>
    <n v="193.65192212686543"/>
  </r>
  <r>
    <x v="9"/>
    <n v="2020"/>
    <n v="4"/>
    <s v="Recharge &amp; bill payments"/>
    <n v="839199"/>
    <n v="345088772.37849188"/>
    <n v="5803424"/>
    <n v="120902298"/>
    <n v="59.462960551993426"/>
  </r>
  <r>
    <x v="9"/>
    <n v="2020"/>
    <n v="4"/>
    <s v="Financial Services"/>
    <n v="7287"/>
    <n v="10386560.386677971"/>
    <n v="5803424"/>
    <n v="120902298"/>
    <n v="1.7897297158846177"/>
  </r>
  <r>
    <x v="9"/>
    <n v="2020"/>
    <n v="4"/>
    <s v="Others"/>
    <n v="14810"/>
    <n v="12846789.254236266"/>
    <n v="5803424"/>
    <n v="120902298"/>
    <n v="2.2136568436557913"/>
  </r>
  <r>
    <x v="9"/>
    <n v="2021"/>
    <n v="1"/>
    <s v="Peer-to-peer payments"/>
    <n v="2235456"/>
    <n v="7553384653.1681995"/>
    <n v="6270385"/>
    <n v="170144392"/>
    <n v="1204.6125801156068"/>
  </r>
  <r>
    <x v="9"/>
    <n v="2021"/>
    <n v="1"/>
    <s v="Merchant payments"/>
    <n v="2195509"/>
    <n v="1768358976.7158575"/>
    <n v="6270385"/>
    <n v="170144392"/>
    <n v="282.01760764544082"/>
  </r>
  <r>
    <x v="9"/>
    <n v="2021"/>
    <n v="1"/>
    <s v="Recharge &amp; bill payments"/>
    <n v="880682"/>
    <n v="410604192.72688991"/>
    <n v="6270385"/>
    <n v="170144392"/>
    <n v="65.483091186089837"/>
  </r>
  <r>
    <x v="9"/>
    <n v="2021"/>
    <n v="1"/>
    <s v="Financial Services"/>
    <n v="8138"/>
    <n v="12207778.148638733"/>
    <n v="6270385"/>
    <n v="170144392"/>
    <n v="1.9468945126397714"/>
  </r>
  <r>
    <x v="9"/>
    <n v="2021"/>
    <n v="1"/>
    <s v="Others"/>
    <n v="11764"/>
    <n v="12687278.261839289"/>
    <n v="6270385"/>
    <n v="170144392"/>
    <n v="2.0233651142376887"/>
  </r>
  <r>
    <x v="9"/>
    <n v="2021"/>
    <n v="2"/>
    <s v="Merchant payments"/>
    <n v="1869384"/>
    <n v="1411529033.6650195"/>
    <n v="6700166"/>
    <n v="139813971"/>
    <n v="210.6707555700888"/>
  </r>
  <r>
    <x v="9"/>
    <n v="2021"/>
    <n v="2"/>
    <s v="Peer-to-peer payments"/>
    <n v="1866837"/>
    <n v="6195032351.1772556"/>
    <n v="6700166"/>
    <n v="139813971"/>
    <n v="924.60878598787781"/>
  </r>
  <r>
    <x v="9"/>
    <n v="2021"/>
    <n v="2"/>
    <s v="Recharge &amp; bill payments"/>
    <n v="953219"/>
    <n v="383804809.3560881"/>
    <n v="6700166"/>
    <n v="139813971"/>
    <n v="57.28288065640286"/>
  </r>
  <r>
    <x v="9"/>
    <n v="2021"/>
    <n v="2"/>
    <s v="Financial Services"/>
    <n v="8303"/>
    <n v="12371843.844825167"/>
    <n v="6700166"/>
    <n v="139813971"/>
    <n v="1.8464981083789815"/>
  </r>
  <r>
    <x v="9"/>
    <n v="2021"/>
    <n v="2"/>
    <s v="Others"/>
    <n v="12392"/>
    <n v="10115549.032816991"/>
    <n v="6700166"/>
    <n v="139813971"/>
    <n v="1.5097460320859202"/>
  </r>
  <r>
    <x v="9"/>
    <n v="2021"/>
    <n v="3"/>
    <s v="Merchant payments"/>
    <n v="2865625"/>
    <n v="2143135314.8979311"/>
    <n v="7188038"/>
    <n v="182326221"/>
    <n v="298.15303075720124"/>
  </r>
  <r>
    <x v="9"/>
    <n v="2021"/>
    <n v="3"/>
    <s v="Peer-to-peer payments"/>
    <n v="2560305"/>
    <n v="7871092673.1372986"/>
    <n v="7188038"/>
    <n v="182326221"/>
    <n v="1095.0265807077394"/>
  </r>
  <r>
    <x v="9"/>
    <n v="2021"/>
    <n v="3"/>
    <s v="Recharge &amp; bill payments"/>
    <n v="1017351"/>
    <n v="438838003.22982365"/>
    <n v="7188038"/>
    <n v="182326221"/>
    <n v="61.051152377021886"/>
  </r>
  <r>
    <x v="9"/>
    <n v="2021"/>
    <n v="3"/>
    <s v="Financial Services"/>
    <n v="8337"/>
    <n v="12943224.073821461"/>
    <n v="7188038"/>
    <n v="182326221"/>
    <n v="1.800661609443559"/>
  </r>
  <r>
    <x v="9"/>
    <n v="2021"/>
    <n v="3"/>
    <s v="Others"/>
    <n v="16145"/>
    <n v="12416377.597493527"/>
    <n v="7188038"/>
    <n v="182326221"/>
    <n v="1.7273667164104485"/>
  </r>
  <r>
    <x v="9"/>
    <n v="2021"/>
    <n v="4"/>
    <s v="Merchant payments"/>
    <n v="5474662"/>
    <n v="4384250602.9370384"/>
    <n v="7668958"/>
    <n v="311170794"/>
    <n v="571.68791417778505"/>
  </r>
  <r>
    <x v="9"/>
    <n v="2021"/>
    <n v="4"/>
    <s v="Peer-to-peer payments"/>
    <n v="4408822"/>
    <n v="13618351952.666094"/>
    <n v="7668958"/>
    <n v="311170794"/>
    <n v="1775.7760510184166"/>
  </r>
  <r>
    <x v="9"/>
    <n v="2021"/>
    <n v="4"/>
    <s v="Recharge &amp; bill payments"/>
    <n v="1170180"/>
    <n v="585734312.40637267"/>
    <n v="7668958"/>
    <n v="311170794"/>
    <n v="76.377300854480183"/>
  </r>
  <r>
    <x v="9"/>
    <n v="2021"/>
    <n v="4"/>
    <s v="Financial Services"/>
    <n v="11320"/>
    <n v="17101084.66037453"/>
    <n v="7668958"/>
    <n v="311170794"/>
    <n v="2.2299098078740984"/>
  </r>
  <r>
    <x v="9"/>
    <n v="2021"/>
    <n v="4"/>
    <s v="Others"/>
    <n v="23775"/>
    <n v="21819163.199774399"/>
    <n v="7668958"/>
    <n v="311170794"/>
    <n v="2.8451274866513026"/>
  </r>
  <r>
    <x v="10"/>
    <n v="2018"/>
    <n v="1"/>
    <s v="Recharge &amp; bill payments"/>
    <n v="3691952"/>
    <n v="878929080.9916563"/>
    <n v="29590528"/>
    <n v="0"/>
    <n v="29.703055011105455"/>
  </r>
  <r>
    <x v="10"/>
    <n v="2018"/>
    <n v="1"/>
    <s v="Peer-to-peer payments"/>
    <n v="1738974"/>
    <n v="6318864759.8880663"/>
    <n v="29590528"/>
    <n v="0"/>
    <n v="213.54349472534139"/>
  </r>
  <r>
    <x v="10"/>
    <n v="2018"/>
    <n v="1"/>
    <s v="Merchant payments"/>
    <n v="145436"/>
    <n v="166036667.57089135"/>
    <n v="29590528"/>
    <n v="0"/>
    <n v="5.6111424429767309"/>
  </r>
  <r>
    <x v="10"/>
    <n v="2018"/>
    <n v="1"/>
    <s v="Financial Services"/>
    <n v="122117"/>
    <n v="27986679.009713165"/>
    <n v="29590528"/>
    <n v="0"/>
    <n v="0.94579856803207996"/>
  </r>
  <r>
    <x v="10"/>
    <n v="2018"/>
    <n v="1"/>
    <s v="Others"/>
    <n v="250296"/>
    <n v="186165067.5737218"/>
    <n v="29590528"/>
    <n v="0"/>
    <n v="6.2913736305658956"/>
  </r>
  <r>
    <x v="10"/>
    <n v="2018"/>
    <n v="2"/>
    <s v="Recharge &amp; bill payments"/>
    <n v="4643367"/>
    <n v="1571880396.3779531"/>
    <n v="39224075"/>
    <n v="0"/>
    <n v="40.074377697318624"/>
  </r>
  <r>
    <x v="10"/>
    <n v="2018"/>
    <n v="2"/>
    <s v="Peer-to-peer payments"/>
    <n v="2483231"/>
    <n v="10009680530.386887"/>
    <n v="39224075"/>
    <n v="0"/>
    <n v="255.19226470954092"/>
  </r>
  <r>
    <x v="10"/>
    <n v="2018"/>
    <n v="2"/>
    <s v="Merchant payments"/>
    <n v="275503"/>
    <n v="356984574.12055731"/>
    <n v="39224075"/>
    <n v="0"/>
    <n v="9.101159788231012"/>
  </r>
  <r>
    <x v="10"/>
    <n v="2018"/>
    <n v="2"/>
    <s v="Financial Services"/>
    <n v="140704"/>
    <n v="38598263.228380308"/>
    <n v="39224075"/>
    <n v="0"/>
    <n v="0.98404521275212498"/>
  </r>
  <r>
    <x v="10"/>
    <n v="2018"/>
    <n v="2"/>
    <s v="Others"/>
    <n v="202928"/>
    <n v="185541007.52725801"/>
    <n v="39224075"/>
    <n v="0"/>
    <n v="4.7302838251063415"/>
  </r>
  <r>
    <x v="10"/>
    <n v="2018"/>
    <n v="3"/>
    <s v="Peer-to-peer payments"/>
    <n v="5287200"/>
    <n v="15272745137.759302"/>
    <n v="48765013"/>
    <n v="0"/>
    <n v="313.19062988375094"/>
  </r>
  <r>
    <x v="10"/>
    <n v="2018"/>
    <n v="3"/>
    <s v="Recharge &amp; bill payments"/>
    <n v="5117168"/>
    <n v="1938041688.9678535"/>
    <n v="48765013"/>
    <n v="0"/>
    <n v="39.742462264243699"/>
  </r>
  <r>
    <x v="10"/>
    <n v="2018"/>
    <n v="3"/>
    <s v="Merchant payments"/>
    <n v="573440"/>
    <n v="466209496.80151117"/>
    <n v="48765013"/>
    <n v="0"/>
    <n v="9.5603275405978287"/>
  </r>
  <r>
    <x v="10"/>
    <n v="2018"/>
    <n v="3"/>
    <s v="Financial Services"/>
    <n v="136468"/>
    <n v="24930605.607339725"/>
    <n v="48765013"/>
    <n v="0"/>
    <n v="0.51123959727724722"/>
  </r>
  <r>
    <x v="10"/>
    <n v="2018"/>
    <n v="3"/>
    <s v="Others"/>
    <n v="219873"/>
    <n v="164477497.1394802"/>
    <n v="48765013"/>
    <n v="0"/>
    <n v="3.3728586751218583"/>
  </r>
  <r>
    <x v="10"/>
    <n v="2018"/>
    <n v="4"/>
    <s v="Peer-to-peer payments"/>
    <n v="6488202"/>
    <n v="21207285184.780193"/>
    <n v="61369440"/>
    <n v="0"/>
    <n v="345.56752000311872"/>
  </r>
  <r>
    <x v="10"/>
    <n v="2018"/>
    <n v="4"/>
    <s v="Recharge &amp; bill payments"/>
    <n v="6138404"/>
    <n v="2297332323.0815277"/>
    <n v="61369440"/>
    <n v="0"/>
    <n v="37.434467759222308"/>
  </r>
  <r>
    <x v="10"/>
    <n v="2018"/>
    <n v="4"/>
    <s v="Merchant payments"/>
    <n v="1656377"/>
    <n v="1088373316.0580251"/>
    <n v="61369440"/>
    <n v="0"/>
    <n v="17.7347767236922"/>
  </r>
  <r>
    <x v="10"/>
    <n v="2018"/>
    <n v="4"/>
    <s v="Financial Services"/>
    <n v="133915"/>
    <n v="30699273.165070001"/>
    <n v="61369440"/>
    <n v="0"/>
    <n v="0.50023714026183064"/>
  </r>
  <r>
    <x v="10"/>
    <n v="2018"/>
    <n v="4"/>
    <s v="Others"/>
    <n v="316405"/>
    <n v="207297005.69778407"/>
    <n v="61369440"/>
    <n v="0"/>
    <n v="3.3778539562652692"/>
  </r>
  <r>
    <x v="10"/>
    <n v="2019"/>
    <n v="1"/>
    <s v="Peer-to-peer payments"/>
    <n v="13465044"/>
    <n v="31231285551.308655"/>
    <n v="73177896"/>
    <n v="0"/>
    <n v="426.78578175175539"/>
  </r>
  <r>
    <x v="10"/>
    <n v="2019"/>
    <n v="1"/>
    <s v="Recharge &amp; bill payments"/>
    <n v="8595256"/>
    <n v="3104251732.6516943"/>
    <n v="73177896"/>
    <n v="0"/>
    <n v="42.420620191808936"/>
  </r>
  <r>
    <x v="10"/>
    <n v="2019"/>
    <n v="1"/>
    <s v="Merchant payments"/>
    <n v="2493340"/>
    <n v="1296376125.1752787"/>
    <n v="73177896"/>
    <n v="0"/>
    <n v="17.715405826580184"/>
  </r>
  <r>
    <x v="10"/>
    <n v="2019"/>
    <n v="1"/>
    <s v="Financial Services"/>
    <n v="114539"/>
    <n v="19581520.569400217"/>
    <n v="73177896"/>
    <n v="0"/>
    <n v="0.26758791438059681"/>
  </r>
  <r>
    <x v="10"/>
    <n v="2019"/>
    <n v="1"/>
    <s v="Others"/>
    <n v="323272"/>
    <n v="204585378.77191538"/>
    <n v="73177896"/>
    <n v="0"/>
    <n v="2.7957264413821816"/>
  </r>
  <r>
    <x v="10"/>
    <n v="2019"/>
    <n v="2"/>
    <s v="Peer-to-peer payments"/>
    <n v="12547493"/>
    <n v="41853661230.465851"/>
    <n v="83321095"/>
    <n v="383793311"/>
    <n v="502.31770514376763"/>
  </r>
  <r>
    <x v="10"/>
    <n v="2019"/>
    <n v="2"/>
    <s v="Recharge &amp; bill payments"/>
    <n v="10434449"/>
    <n v="4651874823.4286022"/>
    <n v="83321095"/>
    <n v="383793311"/>
    <n v="55.830697177330691"/>
  </r>
  <r>
    <x v="10"/>
    <n v="2019"/>
    <n v="2"/>
    <s v="Merchant payments"/>
    <n v="5486791"/>
    <n v="2526448415.3585706"/>
    <n v="83321095"/>
    <n v="383793311"/>
    <n v="30.321834048851262"/>
  </r>
  <r>
    <x v="10"/>
    <n v="2019"/>
    <n v="2"/>
    <s v="Financial Services"/>
    <n v="70502"/>
    <n v="17349813.389733132"/>
    <n v="83321095"/>
    <n v="383793311"/>
    <n v="0.20822834109097021"/>
  </r>
  <r>
    <x v="10"/>
    <n v="2019"/>
    <n v="2"/>
    <s v="Others"/>
    <n v="442607"/>
    <n v="271280936.62470841"/>
    <n v="83321095"/>
    <n v="383793311"/>
    <n v="3.2558493935384361"/>
  </r>
  <r>
    <x v="10"/>
    <n v="2019"/>
    <n v="3"/>
    <s v="Peer-to-peer payments"/>
    <n v="14529353"/>
    <n v="49206585462.018684"/>
    <n v="92722289"/>
    <n v="1423856324"/>
    <n v="530.68777736945947"/>
  </r>
  <r>
    <x v="10"/>
    <n v="2019"/>
    <n v="3"/>
    <s v="Merchant payments"/>
    <n v="11788077"/>
    <n v="4211116461.2911887"/>
    <n v="92722289"/>
    <n v="1423856324"/>
    <n v="45.416442008794547"/>
  </r>
  <r>
    <x v="10"/>
    <n v="2019"/>
    <n v="3"/>
    <s v="Recharge &amp; bill payments"/>
    <n v="11349625"/>
    <n v="5768100024.4780588"/>
    <n v="92722289"/>
    <n v="1423856324"/>
    <n v="62.208343718499648"/>
  </r>
  <r>
    <x v="10"/>
    <n v="2019"/>
    <n v="3"/>
    <s v="Financial Services"/>
    <n v="78609"/>
    <n v="20507001.233050577"/>
    <n v="92722289"/>
    <n v="1423856324"/>
    <n v="0.2211658216618291"/>
  </r>
  <r>
    <x v="10"/>
    <n v="2019"/>
    <n v="3"/>
    <s v="Others"/>
    <n v="482985"/>
    <n v="256386015.24681717"/>
    <n v="92722289"/>
    <n v="1423856324"/>
    <n v="2.7650958363076774"/>
  </r>
  <r>
    <x v="10"/>
    <n v="2019"/>
    <n v="4"/>
    <s v="Peer-to-peer payments"/>
    <n v="19107911"/>
    <n v="64477452638.777802"/>
    <n v="102561789"/>
    <n v="1627711327"/>
    <n v="628.66934427964986"/>
  </r>
  <r>
    <x v="10"/>
    <n v="2019"/>
    <n v="4"/>
    <s v="Recharge &amp; bill payments"/>
    <n v="12967713"/>
    <n v="6517891166.7226563"/>
    <n v="102561789"/>
    <n v="1627711327"/>
    <n v="63.550872408462531"/>
  </r>
  <r>
    <x v="10"/>
    <n v="2019"/>
    <n v="4"/>
    <s v="Merchant payments"/>
    <n v="9964076"/>
    <n v="5480269119.7209482"/>
    <n v="102561789"/>
    <n v="1627711327"/>
    <n v="53.43382923752381"/>
  </r>
  <r>
    <x v="10"/>
    <n v="2019"/>
    <n v="4"/>
    <s v="Financial Services"/>
    <n v="63498"/>
    <n v="20202767.264147881"/>
    <n v="102561789"/>
    <n v="1627711327"/>
    <n v="0.19698142418467254"/>
  </r>
  <r>
    <x v="10"/>
    <n v="2019"/>
    <n v="4"/>
    <s v="Others"/>
    <n v="444434"/>
    <n v="194846362.42851496"/>
    <n v="102561789"/>
    <n v="1627711327"/>
    <n v="1.8997948878262543"/>
  </r>
  <r>
    <x v="10"/>
    <n v="2020"/>
    <n v="1"/>
    <s v="Peer-to-peer payments"/>
    <n v="19068093"/>
    <n v="72393727235.077835"/>
    <n v="112858273"/>
    <n v="1821656342"/>
    <n v="641.45698237893328"/>
  </r>
  <r>
    <x v="10"/>
    <n v="2020"/>
    <n v="1"/>
    <s v="Recharge &amp; bill payments"/>
    <n v="15648472"/>
    <n v="7197595156.6908989"/>
    <n v="112858273"/>
    <n v="1821656342"/>
    <n v="63.775520973025159"/>
  </r>
  <r>
    <x v="10"/>
    <n v="2020"/>
    <n v="1"/>
    <s v="Merchant payments"/>
    <n v="12191478"/>
    <n v="7210758662.2819328"/>
    <n v="112858273"/>
    <n v="1821656342"/>
    <n v="63.892158462161944"/>
  </r>
  <r>
    <x v="10"/>
    <n v="2020"/>
    <n v="1"/>
    <s v="Financial Services"/>
    <n v="50753"/>
    <n v="27460255.459661681"/>
    <n v="112858273"/>
    <n v="1821656342"/>
    <n v="0.24331628271204966"/>
  </r>
  <r>
    <x v="10"/>
    <n v="2020"/>
    <n v="1"/>
    <s v="Others"/>
    <n v="367621"/>
    <n v="165535312.39278784"/>
    <n v="112858273"/>
    <n v="1821656342"/>
    <n v="1.4667539028599865"/>
  </r>
  <r>
    <x v="10"/>
    <n v="2020"/>
    <n v="2"/>
    <s v="Recharge &amp; bill payments"/>
    <n v="19971660"/>
    <n v="8322688556.9900064"/>
    <n v="125319227"/>
    <n v="1707907949"/>
    <n v="66.411904671180324"/>
  </r>
  <r>
    <x v="10"/>
    <n v="2020"/>
    <n v="2"/>
    <s v="Peer-to-peer payments"/>
    <n v="17569398"/>
    <n v="64723140394.229134"/>
    <n v="125319227"/>
    <n v="1707907949"/>
    <n v="516.46616360176824"/>
  </r>
  <r>
    <x v="10"/>
    <n v="2020"/>
    <n v="2"/>
    <s v="Merchant payments"/>
    <n v="9645967"/>
    <n v="7196610931.5614424"/>
    <n v="125319227"/>
    <n v="1707907949"/>
    <n v="57.42623142386158"/>
  </r>
  <r>
    <x v="10"/>
    <n v="2020"/>
    <n v="2"/>
    <s v="Financial Services"/>
    <n v="59617"/>
    <n v="53132341.305008195"/>
    <n v="125319227"/>
    <n v="1707907949"/>
    <n v="0.42397597381452246"/>
  </r>
  <r>
    <x v="10"/>
    <n v="2020"/>
    <n v="2"/>
    <s v="Others"/>
    <n v="173543"/>
    <n v="92274135.405044109"/>
    <n v="125319227"/>
    <n v="1707907949"/>
    <n v="0.7363126761470058"/>
  </r>
  <r>
    <x v="10"/>
    <n v="2020"/>
    <n v="3"/>
    <s v="Peer-to-peer payments"/>
    <n v="23130724"/>
    <n v="89142122337.25531"/>
    <n v="137146317"/>
    <n v="2028427192"/>
    <n v="649.9782443100919"/>
  </r>
  <r>
    <x v="10"/>
    <n v="2020"/>
    <n v="3"/>
    <s v="Merchant payments"/>
    <n v="18338969"/>
    <n v="12749796641.785404"/>
    <n v="137146317"/>
    <n v="2028427192"/>
    <n v="92.964921849016221"/>
  </r>
  <r>
    <x v="10"/>
    <n v="2020"/>
    <n v="3"/>
    <s v="Recharge &amp; bill payments"/>
    <n v="17481357"/>
    <n v="9820654243.8088207"/>
    <n v="137146317"/>
    <n v="2028427192"/>
    <n v="71.607130680795606"/>
  </r>
  <r>
    <x v="10"/>
    <n v="2020"/>
    <n v="3"/>
    <s v="Financial Services"/>
    <n v="92278"/>
    <n v="84723188.621043354"/>
    <n v="137146317"/>
    <n v="2028427192"/>
    <n v="0.61775766549416966"/>
  </r>
  <r>
    <x v="10"/>
    <n v="2020"/>
    <n v="3"/>
    <s v="Others"/>
    <n v="246851"/>
    <n v="124456073.24163358"/>
    <n v="137146317"/>
    <n v="2028427192"/>
    <n v="0.90746930697113493"/>
  </r>
  <r>
    <x v="10"/>
    <n v="2020"/>
    <n v="4"/>
    <s v="Peer-to-peer payments"/>
    <n v="29967258"/>
    <n v="116743230330.36209"/>
    <n v="149657233"/>
    <n v="2535470883"/>
    <n v="780.07075227939094"/>
  </r>
  <r>
    <x v="10"/>
    <n v="2020"/>
    <n v="4"/>
    <s v="Merchant payments"/>
    <n v="28430460"/>
    <n v="20844321156.652935"/>
    <n v="149657233"/>
    <n v="2535470883"/>
    <n v="139.2804125721938"/>
  </r>
  <r>
    <x v="10"/>
    <n v="2020"/>
    <n v="4"/>
    <s v="Recharge &amp; bill payments"/>
    <n v="18943669"/>
    <n v="10441981826.080866"/>
    <n v="149657233"/>
    <n v="2535470883"/>
    <n v="69.772650588033159"/>
  </r>
  <r>
    <x v="10"/>
    <n v="2020"/>
    <n v="4"/>
    <s v="Financial Services"/>
    <n v="113371"/>
    <n v="120056733.8865249"/>
    <n v="149657233"/>
    <n v="2535470883"/>
    <n v="0.80221136980746466"/>
  </r>
  <r>
    <x v="10"/>
    <n v="2020"/>
    <n v="4"/>
    <s v="Others"/>
    <n v="373789"/>
    <n v="243470065.45681778"/>
    <n v="149657233"/>
    <n v="2535470883"/>
    <n v="1.6268513093304202"/>
  </r>
  <r>
    <x v="10"/>
    <n v="2021"/>
    <n v="1"/>
    <s v="Peer-to-peer payments"/>
    <n v="36427493"/>
    <n v="144818968373.02933"/>
    <n v="161371386"/>
    <n v="2912061614"/>
    <n v="897.42656342450528"/>
  </r>
  <r>
    <x v="10"/>
    <n v="2021"/>
    <n v="1"/>
    <s v="Merchant payments"/>
    <n v="35815382"/>
    <n v="26512643894.003174"/>
    <n v="161371386"/>
    <n v="2912061614"/>
    <n v="164.29581818181308"/>
  </r>
  <r>
    <x v="10"/>
    <n v="2021"/>
    <n v="1"/>
    <s v="Recharge &amp; bill payments"/>
    <n v="22088838"/>
    <n v="11996115292.377842"/>
    <n v="161371386"/>
    <n v="2912061614"/>
    <n v="74.338552761626786"/>
  </r>
  <r>
    <x v="10"/>
    <n v="2021"/>
    <n v="1"/>
    <s v="Financial Services"/>
    <n v="126380"/>
    <n v="137612317.73580322"/>
    <n v="161371386"/>
    <n v="2912061614"/>
    <n v="0.85276777467724807"/>
  </r>
  <r>
    <x v="10"/>
    <n v="2021"/>
    <n v="1"/>
    <s v="Others"/>
    <n v="316472"/>
    <n v="235440836.3042438"/>
    <n v="161371386"/>
    <n v="2912061614"/>
    <n v="1.4589999016569382"/>
  </r>
  <r>
    <x v="10"/>
    <n v="2021"/>
    <n v="2"/>
    <s v="Merchant payments"/>
    <n v="42593432"/>
    <n v="33542305033.829506"/>
    <n v="173095791"/>
    <n v="3106757973"/>
    <n v="193.77885990208455"/>
  </r>
  <r>
    <x v="10"/>
    <n v="2021"/>
    <n v="2"/>
    <s v="Peer-to-peer payments"/>
    <n v="41642387"/>
    <n v="162483567902.30194"/>
    <n v="173095791"/>
    <n v="3106757973"/>
    <n v="938.6916167262666"/>
  </r>
  <r>
    <x v="10"/>
    <n v="2021"/>
    <n v="2"/>
    <s v="Recharge &amp; bill payments"/>
    <n v="27127405"/>
    <n v="13750783181.944221"/>
    <n v="173095791"/>
    <n v="3106757973"/>
    <n v="79.440309336835469"/>
  </r>
  <r>
    <x v="10"/>
    <n v="2021"/>
    <n v="2"/>
    <s v="Financial Services"/>
    <n v="128647"/>
    <n v="136119996.70228249"/>
    <n v="173095791"/>
    <n v="3106757973"/>
    <n v="0.78638536451924756"/>
  </r>
  <r>
    <x v="10"/>
    <n v="2021"/>
    <n v="2"/>
    <s v="Others"/>
    <n v="349525"/>
    <n v="249278437.33914098"/>
    <n v="173095791"/>
    <n v="3106757973"/>
    <n v="1.440118421707556"/>
  </r>
  <r>
    <x v="10"/>
    <n v="2021"/>
    <n v="3"/>
    <s v="Merchant payments"/>
    <n v="62934471"/>
    <n v="48197579736.516457"/>
    <n v="186414371"/>
    <n v="4179858661"/>
    <n v="258.55077308667609"/>
  </r>
  <r>
    <x v="10"/>
    <n v="2021"/>
    <n v="3"/>
    <s v="Peer-to-peer payments"/>
    <n v="56134212"/>
    <n v="208013326600.62402"/>
    <n v="186414371"/>
    <n v="4179858661"/>
    <n v="1115.8652923846951"/>
  </r>
  <r>
    <x v="10"/>
    <n v="2021"/>
    <n v="3"/>
    <s v="Recharge &amp; bill payments"/>
    <n v="29580901"/>
    <n v="15945997372.058683"/>
    <n v="186414371"/>
    <n v="4179858661"/>
    <n v="85.540601223597093"/>
  </r>
  <r>
    <x v="10"/>
    <n v="2021"/>
    <n v="3"/>
    <s v="Financial Services"/>
    <n v="125167"/>
    <n v="163304131.14365229"/>
    <n v="186414371"/>
    <n v="4179858661"/>
    <n v="0.87602758450233587"/>
  </r>
  <r>
    <x v="10"/>
    <n v="2021"/>
    <n v="3"/>
    <s v="Others"/>
    <n v="473656"/>
    <n v="304418273.24545926"/>
    <n v="186414371"/>
    <n v="4179858661"/>
    <n v="1.6330193407967417"/>
  </r>
  <r>
    <x v="10"/>
    <n v="2021"/>
    <n v="4"/>
    <s v="Merchant payments"/>
    <n v="84846502"/>
    <n v="68717933161.869598"/>
    <n v="199531211"/>
    <n v="5366308299"/>
    <n v="344.3969132321339"/>
  </r>
  <r>
    <x v="10"/>
    <n v="2021"/>
    <n v="4"/>
    <s v="Peer-to-peer payments"/>
    <n v="67301686"/>
    <n v="254338740726.63605"/>
    <n v="199531211"/>
    <n v="5366308299"/>
    <n v="1274.6814869310649"/>
  </r>
  <r>
    <x v="10"/>
    <n v="2021"/>
    <n v="4"/>
    <s v="Recharge &amp; bill payments"/>
    <n v="30072479"/>
    <n v="18739034341.662392"/>
    <n v="199531211"/>
    <n v="5366308299"/>
    <n v="93.915304015582763"/>
  </r>
  <r>
    <x v="10"/>
    <n v="2021"/>
    <n v="4"/>
    <s v="Financial Services"/>
    <n v="175393"/>
    <n v="209214620.7057898"/>
    <n v="199531211"/>
    <n v="5366308299"/>
    <n v="1.048530802059783"/>
  </r>
  <r>
    <x v="10"/>
    <n v="2021"/>
    <n v="4"/>
    <s v="Others"/>
    <n v="591265"/>
    <n v="377657202.7539646"/>
    <n v="199531211"/>
    <n v="5366308299"/>
    <n v="1.8927224510954559"/>
  </r>
  <r>
    <x v="11"/>
    <n v="2018"/>
    <n v="1"/>
    <s v="Recharge &amp; bill payments"/>
    <n v="2368002"/>
    <n v="535578755.07945114"/>
    <n v="20320927"/>
    <n v="0"/>
    <n v="26.356019835091733"/>
  </r>
  <r>
    <x v="11"/>
    <n v="2018"/>
    <n v="1"/>
    <s v="Peer-to-peer payments"/>
    <n v="1607193"/>
    <n v="5814807510.6866598"/>
    <n v="20320927"/>
    <n v="0"/>
    <n v="286.14873281551871"/>
  </r>
  <r>
    <x v="11"/>
    <n v="2018"/>
    <n v="1"/>
    <s v="Merchant payments"/>
    <n v="167816"/>
    <n v="173513595.3537558"/>
    <n v="20320927"/>
    <n v="0"/>
    <n v="8.5386653548706608"/>
  </r>
  <r>
    <x v="11"/>
    <n v="2018"/>
    <n v="1"/>
    <s v="Financial Services"/>
    <n v="128636"/>
    <n v="27501068.014126316"/>
    <n v="20320927"/>
    <n v="0"/>
    <n v="1.3533372770900813"/>
  </r>
  <r>
    <x v="11"/>
    <n v="2018"/>
    <n v="1"/>
    <s v="Others"/>
    <n v="209123"/>
    <n v="242110585.52640373"/>
    <n v="20320927"/>
    <n v="0"/>
    <n v="11.91434748652971"/>
  </r>
  <r>
    <x v="11"/>
    <n v="2018"/>
    <n v="2"/>
    <s v="Recharge &amp; bill payments"/>
    <n v="3054284"/>
    <n v="984897276.651981"/>
    <n v="26919431"/>
    <n v="0"/>
    <n v="36.586853438766255"/>
  </r>
  <r>
    <x v="11"/>
    <n v="2018"/>
    <n v="2"/>
    <s v="Peer-to-peer payments"/>
    <n v="2388953"/>
    <n v="9745924809.8514938"/>
    <n v="26919431"/>
    <n v="0"/>
    <n v="362.04052046462255"/>
  </r>
  <r>
    <x v="11"/>
    <n v="2018"/>
    <n v="2"/>
    <s v="Merchant payments"/>
    <n v="369916"/>
    <n v="334118261.45344114"/>
    <n v="26919431"/>
    <n v="0"/>
    <n v="12.41178765826964"/>
  </r>
  <r>
    <x v="11"/>
    <n v="2018"/>
    <n v="2"/>
    <s v="Financial Services"/>
    <n v="167570"/>
    <n v="38145882.441803858"/>
    <n v="26919431"/>
    <n v="0"/>
    <n v="1.4170389575397733"/>
  </r>
  <r>
    <x v="11"/>
    <n v="2018"/>
    <n v="2"/>
    <s v="Others"/>
    <n v="170208"/>
    <n v="217328211.71769944"/>
    <n v="26919431"/>
    <n v="0"/>
    <n v="8.073284005063087"/>
  </r>
  <r>
    <x v="11"/>
    <n v="2018"/>
    <n v="3"/>
    <s v="Peer-to-peer payments"/>
    <n v="3753981"/>
    <n v="14429454356.345787"/>
    <n v="33224378"/>
    <n v="0"/>
    <n v="434.30322025429001"/>
  </r>
  <r>
    <x v="11"/>
    <n v="2018"/>
    <n v="3"/>
    <s v="Recharge &amp; bill payments"/>
    <n v="3203386"/>
    <n v="1310467515.0605886"/>
    <n v="33224378"/>
    <n v="0"/>
    <n v="39.442951048190835"/>
  </r>
  <r>
    <x v="11"/>
    <n v="2018"/>
    <n v="3"/>
    <s v="Merchant payments"/>
    <n v="1003057"/>
    <n v="427387637.93353713"/>
    <n v="33224378"/>
    <n v="0"/>
    <n v="12.863676121597736"/>
  </r>
  <r>
    <x v="11"/>
    <n v="2018"/>
    <n v="3"/>
    <s v="Financial Services"/>
    <n v="100452"/>
    <n v="17323790.814170156"/>
    <n v="33224378"/>
    <n v="0"/>
    <n v="0.52141806279022451"/>
  </r>
  <r>
    <x v="11"/>
    <n v="2018"/>
    <n v="3"/>
    <s v="Others"/>
    <n v="201148"/>
    <n v="190505707.47361812"/>
    <n v="33224378"/>
    <n v="0"/>
    <n v="5.7339134377058354"/>
  </r>
  <r>
    <x v="11"/>
    <n v="2018"/>
    <n v="4"/>
    <s v="Peer-to-peer payments"/>
    <n v="5905032"/>
    <n v="22416919746.938679"/>
    <n v="41723869"/>
    <n v="0"/>
    <n v="537.26848166785965"/>
  </r>
  <r>
    <x v="11"/>
    <n v="2018"/>
    <n v="4"/>
    <s v="Recharge &amp; bill payments"/>
    <n v="4116262"/>
    <n v="1671040703.7317612"/>
    <n v="41723869"/>
    <n v="0"/>
    <n v="40.049994014978843"/>
  </r>
  <r>
    <x v="11"/>
    <n v="2018"/>
    <n v="4"/>
    <s v="Merchant payments"/>
    <n v="2413446"/>
    <n v="1013407379.8963095"/>
    <n v="41723869"/>
    <n v="0"/>
    <n v="24.288432597089919"/>
  </r>
  <r>
    <x v="11"/>
    <n v="2018"/>
    <n v="4"/>
    <s v="Financial Services"/>
    <n v="120711"/>
    <n v="22252543.62175617"/>
    <n v="41723869"/>
    <n v="0"/>
    <n v="0.5333288631923413"/>
  </r>
  <r>
    <x v="11"/>
    <n v="2018"/>
    <n v="4"/>
    <s v="Others"/>
    <n v="394732"/>
    <n v="267255642.26742023"/>
    <n v="41723869"/>
    <n v="0"/>
    <n v="6.4053418024924831"/>
  </r>
  <r>
    <x v="11"/>
    <n v="2019"/>
    <n v="1"/>
    <s v="Peer-to-peer payments"/>
    <n v="12622225"/>
    <n v="30283578836.619068"/>
    <n v="49926437"/>
    <n v="0"/>
    <n v="606.56399006840945"/>
  </r>
  <r>
    <x v="11"/>
    <n v="2019"/>
    <n v="1"/>
    <s v="Recharge &amp; bill payments"/>
    <n v="5576577"/>
    <n v="2202061874.5361757"/>
    <n v="49926437"/>
    <n v="0"/>
    <n v="44.106129074185198"/>
  </r>
  <r>
    <x v="11"/>
    <n v="2019"/>
    <n v="1"/>
    <s v="Merchant payments"/>
    <n v="3361995"/>
    <n v="1292375556.3150868"/>
    <n v="49926437"/>
    <n v="0"/>
    <n v="25.885595567636578"/>
  </r>
  <r>
    <x v="11"/>
    <n v="2019"/>
    <n v="1"/>
    <s v="Financial Services"/>
    <n v="101786"/>
    <n v="15201736.002431491"/>
    <n v="49926437"/>
    <n v="0"/>
    <n v="0.30448269325590954"/>
  </r>
  <r>
    <x v="11"/>
    <n v="2019"/>
    <n v="1"/>
    <s v="Others"/>
    <n v="473192"/>
    <n v="258437718.15887585"/>
    <n v="49926437"/>
    <n v="0"/>
    <n v="5.1763701495237049"/>
  </r>
  <r>
    <x v="11"/>
    <n v="2019"/>
    <n v="2"/>
    <s v="Peer-to-peer payments"/>
    <n v="10387562"/>
    <n v="37056084813.575783"/>
    <n v="56958330"/>
    <n v="351221145"/>
    <n v="650.58236106247818"/>
  </r>
  <r>
    <x v="11"/>
    <n v="2019"/>
    <n v="2"/>
    <s v="Recharge &amp; bill payments"/>
    <n v="5902923"/>
    <n v="2838724048.0896106"/>
    <n v="56958330"/>
    <n v="351221145"/>
    <n v="49.838610929948445"/>
  </r>
  <r>
    <x v="11"/>
    <n v="2019"/>
    <n v="2"/>
    <s v="Merchant payments"/>
    <n v="5738283"/>
    <n v="2292901816.1432047"/>
    <n v="56958330"/>
    <n v="351221145"/>
    <n v="40.255776743159508"/>
  </r>
  <r>
    <x v="11"/>
    <n v="2019"/>
    <n v="2"/>
    <s v="Financial Services"/>
    <n v="57488"/>
    <n v="12080285.227121718"/>
    <n v="56958330"/>
    <n v="351221145"/>
    <n v="0.21208987740900617"/>
  </r>
  <r>
    <x v="11"/>
    <n v="2019"/>
    <n v="2"/>
    <s v="Others"/>
    <n v="655560"/>
    <n v="301748850.18049377"/>
    <n v="56958330"/>
    <n v="351221145"/>
    <n v="5.2977123834300226"/>
  </r>
  <r>
    <x v="11"/>
    <n v="2019"/>
    <n v="3"/>
    <s v="Peer-to-peer payments"/>
    <n v="11775288"/>
    <n v="43738290119.928497"/>
    <n v="63621272"/>
    <n v="1301658457"/>
    <n v="687.47902619627757"/>
  </r>
  <r>
    <x v="11"/>
    <n v="2019"/>
    <n v="3"/>
    <s v="Merchant payments"/>
    <n v="9386779"/>
    <n v="3615636827.8118167"/>
    <n v="63621272"/>
    <n v="1301658457"/>
    <n v="56.830627778265999"/>
  </r>
  <r>
    <x v="11"/>
    <n v="2019"/>
    <n v="3"/>
    <s v="Recharge &amp; bill payments"/>
    <n v="8289987"/>
    <n v="4817098564.8236408"/>
    <n v="63621272"/>
    <n v="1301658457"/>
    <n v="75.715219350277067"/>
  </r>
  <r>
    <x v="11"/>
    <n v="2019"/>
    <n v="3"/>
    <s v="Financial Services"/>
    <n v="61503"/>
    <n v="16715100.880217994"/>
    <n v="63621272"/>
    <n v="1301658457"/>
    <n v="0.26272817808826571"/>
  </r>
  <r>
    <x v="11"/>
    <n v="2019"/>
    <n v="3"/>
    <s v="Others"/>
    <n v="829974"/>
    <n v="301378585.99785972"/>
    <n v="63621272"/>
    <n v="1301658457"/>
    <n v="4.7370726256126998"/>
  </r>
  <r>
    <x v="11"/>
    <n v="2019"/>
    <n v="4"/>
    <s v="Peer-to-peer payments"/>
    <n v="15729819"/>
    <n v="58242027266.144432"/>
    <n v="70033469"/>
    <n v="1503940768"/>
    <n v="831.63133424312355"/>
  </r>
  <r>
    <x v="11"/>
    <n v="2019"/>
    <n v="4"/>
    <s v="Merchant payments"/>
    <n v="11615667"/>
    <n v="5253780278.2364264"/>
    <n v="70033469"/>
    <n v="1503940768"/>
    <n v="75.018135660771378"/>
  </r>
  <r>
    <x v="11"/>
    <n v="2019"/>
    <n v="4"/>
    <s v="Recharge &amp; bill payments"/>
    <n v="9648003"/>
    <n v="5637358525.7561941"/>
    <n v="70033469"/>
    <n v="1503940768"/>
    <n v="80.495206167156937"/>
  </r>
  <r>
    <x v="11"/>
    <n v="2019"/>
    <n v="4"/>
    <s v="Financial Services"/>
    <n v="41688"/>
    <n v="13756049.144287623"/>
    <n v="70033469"/>
    <n v="1503940768"/>
    <n v="0.19642107324838676"/>
  </r>
  <r>
    <x v="11"/>
    <n v="2019"/>
    <n v="4"/>
    <s v="Others"/>
    <n v="790808"/>
    <n v="212797749.81994924"/>
    <n v="70033469"/>
    <n v="1503940768"/>
    <n v="3.0385150537088093"/>
  </r>
  <r>
    <x v="11"/>
    <n v="2020"/>
    <n v="1"/>
    <s v="Peer-to-peer payments"/>
    <n v="17728235"/>
    <n v="68367245528.071487"/>
    <n v="77206470"/>
    <n v="1735728148"/>
    <n v="885.51186873420693"/>
  </r>
  <r>
    <x v="11"/>
    <n v="2020"/>
    <n v="1"/>
    <s v="Merchant payments"/>
    <n v="14327020"/>
    <n v="7075196609.2248783"/>
    <n v="77206470"/>
    <n v="1735728148"/>
    <n v="91.639944284784406"/>
  </r>
  <r>
    <x v="11"/>
    <n v="2020"/>
    <n v="1"/>
    <s v="Recharge &amp; bill payments"/>
    <n v="11346112"/>
    <n v="6331682016.5163221"/>
    <n v="77206470"/>
    <n v="1735728148"/>
    <n v="82.009733336031587"/>
  </r>
  <r>
    <x v="11"/>
    <n v="2020"/>
    <n v="1"/>
    <s v="Financial Services"/>
    <n v="34488"/>
    <n v="25266730.188326702"/>
    <n v="77206470"/>
    <n v="1735728148"/>
    <n v="0.32726182389023489"/>
  </r>
  <r>
    <x v="11"/>
    <n v="2020"/>
    <n v="1"/>
    <s v="Others"/>
    <n v="600232"/>
    <n v="176823674.24305555"/>
    <n v="77206470"/>
    <n v="1735728148"/>
    <n v="2.2902701579680507"/>
  </r>
  <r>
    <x v="11"/>
    <n v="2020"/>
    <n v="2"/>
    <s v="Peer-to-peer payments"/>
    <n v="17334369"/>
    <n v="66645492690.678391"/>
    <n v="84511658"/>
    <n v="1580151353"/>
    <n v="788.59525736293551"/>
  </r>
  <r>
    <x v="11"/>
    <n v="2020"/>
    <n v="2"/>
    <s v="Recharge &amp; bill payments"/>
    <n v="12740328"/>
    <n v="6547618491.5324049"/>
    <n v="84511658"/>
    <n v="1580151353"/>
    <n v="77.475920440850956"/>
  </r>
  <r>
    <x v="11"/>
    <n v="2020"/>
    <n v="2"/>
    <s v="Merchant payments"/>
    <n v="11527654"/>
    <n v="7393393677.7585011"/>
    <n v="84511658"/>
    <n v="1580151353"/>
    <n v="87.483713522204255"/>
  </r>
  <r>
    <x v="11"/>
    <n v="2020"/>
    <n v="2"/>
    <s v="Financial Services"/>
    <n v="48759"/>
    <n v="49209527.29146181"/>
    <n v="84511658"/>
    <n v="1580151353"/>
    <n v="0.58228093562502126"/>
  </r>
  <r>
    <x v="11"/>
    <n v="2020"/>
    <n v="2"/>
    <s v="Others"/>
    <n v="129940"/>
    <n v="75550536.679935873"/>
    <n v="84511658"/>
    <n v="1580151353"/>
    <n v="0.89396585592884559"/>
  </r>
  <r>
    <x v="11"/>
    <n v="2020"/>
    <n v="3"/>
    <s v="Peer-to-peer payments"/>
    <n v="24123449"/>
    <n v="88796356487.110245"/>
    <n v="92386976"/>
    <n v="2074762459"/>
    <n v="961.13500334841831"/>
  </r>
  <r>
    <x v="11"/>
    <n v="2020"/>
    <n v="3"/>
    <s v="Merchant payments"/>
    <n v="20845136"/>
    <n v="12141560866.982178"/>
    <n v="92386976"/>
    <n v="2074762459"/>
    <n v="131.42069794537034"/>
  </r>
  <r>
    <x v="11"/>
    <n v="2020"/>
    <n v="3"/>
    <s v="Recharge &amp; bill payments"/>
    <n v="12716319"/>
    <n v="8452802892.5044956"/>
    <n v="92386976"/>
    <n v="2074762459"/>
    <n v="91.493447003877421"/>
  </r>
  <r>
    <x v="11"/>
    <n v="2020"/>
    <n v="3"/>
    <s v="Financial Services"/>
    <n v="66457"/>
    <n v="80854296.930401295"/>
    <n v="92386976"/>
    <n v="2074762459"/>
    <n v="0.87516986085139636"/>
  </r>
  <r>
    <x v="11"/>
    <n v="2020"/>
    <n v="3"/>
    <s v="Others"/>
    <n v="186818"/>
    <n v="96375902.203463078"/>
    <n v="92386976"/>
    <n v="2074762459"/>
    <n v="1.0431762828070386"/>
  </r>
  <r>
    <x v="11"/>
    <n v="2020"/>
    <n v="4"/>
    <s v="Merchant payments"/>
    <n v="34063692"/>
    <n v="21382305452.06797"/>
    <n v="100428603"/>
    <n v="2597114377"/>
    <n v="212.91051367176709"/>
  </r>
  <r>
    <x v="11"/>
    <n v="2020"/>
    <n v="4"/>
    <s v="Peer-to-peer payments"/>
    <n v="33920789"/>
    <n v="128613933346.85507"/>
    <n v="100428603"/>
    <n v="2597114377"/>
    <n v="1280.6504273175549"/>
  </r>
  <r>
    <x v="11"/>
    <n v="2020"/>
    <n v="4"/>
    <s v="Recharge &amp; bill payments"/>
    <n v="14682896"/>
    <n v="9675471300.7316532"/>
    <n v="100428603"/>
    <n v="2597114377"/>
    <n v="96.341789208515166"/>
  </r>
  <r>
    <x v="11"/>
    <n v="2020"/>
    <n v="4"/>
    <s v="Financial Services"/>
    <n v="84881"/>
    <n v="103265693.75364488"/>
    <n v="100428603"/>
    <n v="2597114377"/>
    <n v="1.0282498279264611"/>
  </r>
  <r>
    <x v="11"/>
    <n v="2020"/>
    <n v="4"/>
    <s v="Others"/>
    <n v="419181"/>
    <n v="223528573.13344151"/>
    <n v="100428603"/>
    <n v="2597114377"/>
    <n v="2.2257461167058303"/>
  </r>
  <r>
    <x v="11"/>
    <n v="2021"/>
    <n v="1"/>
    <s v="Merchant payments"/>
    <n v="39363588"/>
    <n v="23389100227.155342"/>
    <n v="108106955"/>
    <n v="2933553513"/>
    <n v="216.35148476021124"/>
  </r>
  <r>
    <x v="11"/>
    <n v="2021"/>
    <n v="1"/>
    <s v="Peer-to-peer payments"/>
    <n v="36764622"/>
    <n v="135970636784.61835"/>
    <n v="108106955"/>
    <n v="2933553513"/>
    <n v="1257.7418056462541"/>
  </r>
  <r>
    <x v="11"/>
    <n v="2021"/>
    <n v="1"/>
    <s v="Recharge &amp; bill payments"/>
    <n v="13680353"/>
    <n v="9260346909.4406738"/>
    <n v="108106955"/>
    <n v="2933553513"/>
    <n v="85.659122573942383"/>
  </r>
  <r>
    <x v="11"/>
    <n v="2021"/>
    <n v="1"/>
    <s v="Financial Services"/>
    <n v="79784"/>
    <n v="99672809.992282182"/>
    <n v="108106955"/>
    <n v="2933553513"/>
    <n v="0.92198332653326687"/>
  </r>
  <r>
    <x v="11"/>
    <n v="2021"/>
    <n v="1"/>
    <s v="Others"/>
    <n v="364437"/>
    <n v="218544351.22172093"/>
    <n v="108106955"/>
    <n v="2933553513"/>
    <n v="2.0215568112312563"/>
  </r>
  <r>
    <x v="11"/>
    <n v="2021"/>
    <n v="2"/>
    <s v="Merchant payments"/>
    <n v="45335533"/>
    <n v="29119078263.957985"/>
    <n v="115836534"/>
    <n v="2574577566"/>
    <n v="251.38077995287725"/>
  </r>
  <r>
    <x v="11"/>
    <n v="2021"/>
    <n v="2"/>
    <s v="Peer-to-peer payments"/>
    <n v="44086559"/>
    <n v="161073685336.66681"/>
    <n v="115836534"/>
    <n v="2574577566"/>
    <n v="1390.5257674290117"/>
  </r>
  <r>
    <x v="11"/>
    <n v="2021"/>
    <n v="2"/>
    <s v="Recharge &amp; bill payments"/>
    <n v="15861047"/>
    <n v="9839496894.9714088"/>
    <n v="115836534"/>
    <n v="2574577566"/>
    <n v="84.942949820748339"/>
  </r>
  <r>
    <x v="11"/>
    <n v="2021"/>
    <n v="2"/>
    <s v="Financial Services"/>
    <n v="85821"/>
    <n v="97238136.09517692"/>
    <n v="115836534"/>
    <n v="2574577566"/>
    <n v="0.83944272793225083"/>
  </r>
  <r>
    <x v="11"/>
    <n v="2021"/>
    <n v="2"/>
    <s v="Others"/>
    <n v="311896"/>
    <n v="227855606.99266592"/>
    <n v="115836534"/>
    <n v="2574577566"/>
    <n v="1.9670444127123652"/>
  </r>
  <r>
    <x v="11"/>
    <n v="2021"/>
    <n v="3"/>
    <s v="Merchant payments"/>
    <n v="66885213"/>
    <n v="40190922826.606293"/>
    <n v="124578696"/>
    <n v="3265725155"/>
    <n v="322.61473363476443"/>
  </r>
  <r>
    <x v="11"/>
    <n v="2021"/>
    <n v="3"/>
    <s v="Peer-to-peer payments"/>
    <n v="55929958"/>
    <n v="188548678300.52469"/>
    <n v="124578696"/>
    <n v="3265725155"/>
    <n v="1513.4905433632464"/>
  </r>
  <r>
    <x v="11"/>
    <n v="2021"/>
    <n v="3"/>
    <s v="Recharge &amp; bill payments"/>
    <n v="17087955"/>
    <n v="11681457468.964512"/>
    <n v="124578696"/>
    <n v="3265725155"/>
    <n v="93.767697399598021"/>
  </r>
  <r>
    <x v="11"/>
    <n v="2021"/>
    <n v="3"/>
    <s v="Financial Services"/>
    <n v="77496"/>
    <n v="116592181.46997279"/>
    <n v="124578696"/>
    <n v="3265725155"/>
    <n v="0.9358918114696978"/>
  </r>
  <r>
    <x v="11"/>
    <n v="2021"/>
    <n v="3"/>
    <s v="Others"/>
    <n v="479071"/>
    <n v="289441481.64370304"/>
    <n v="124578696"/>
    <n v="3265725155"/>
    <n v="2.3233625887664053"/>
  </r>
  <r>
    <x v="11"/>
    <n v="2021"/>
    <n v="4"/>
    <s v="Merchant payments"/>
    <n v="84993587"/>
    <n v="56325102920.506706"/>
    <n v="133280829"/>
    <n v="4863946857"/>
    <n v="422.60468623365711"/>
  </r>
  <r>
    <x v="11"/>
    <n v="2021"/>
    <n v="4"/>
    <s v="Peer-to-peer payments"/>
    <n v="66548306"/>
    <n v="238638993818.09595"/>
    <n v="133280829"/>
    <n v="4863946857"/>
    <n v="1790.4975202254777"/>
  </r>
  <r>
    <x v="11"/>
    <n v="2021"/>
    <n v="4"/>
    <s v="Recharge &amp; bill payments"/>
    <n v="17632752"/>
    <n v="13817258646.066364"/>
    <n v="133280829"/>
    <n v="4863946857"/>
    <n v="103.67026338098755"/>
  </r>
  <r>
    <x v="11"/>
    <n v="2021"/>
    <n v="4"/>
    <s v="Financial Services"/>
    <n v="105050"/>
    <n v="151421306.61683068"/>
    <n v="133280829"/>
    <n v="4863946857"/>
    <n v="1.1361071787513468"/>
  </r>
  <r>
    <x v="11"/>
    <n v="2021"/>
    <n v="4"/>
    <s v="Others"/>
    <n v="407280"/>
    <n v="307822609.17479354"/>
    <n v="133280829"/>
    <n v="4863946857"/>
    <n v="2.3095790406195142"/>
  </r>
  <r>
    <x v="12"/>
    <n v="2018"/>
    <n v="1"/>
    <s v="Recharge &amp; bill payments"/>
    <n v="284371"/>
    <n v="49871175.826074272"/>
    <n v="2501103"/>
    <n v="0"/>
    <n v="19.939672946725615"/>
  </r>
  <r>
    <x v="12"/>
    <n v="2018"/>
    <n v="1"/>
    <s v="Peer-to-peer payments"/>
    <n v="154572"/>
    <n v="546222027.48353028"/>
    <n v="2501103"/>
    <n v="0"/>
    <n v="218.39245624171826"/>
  </r>
  <r>
    <x v="12"/>
    <n v="2018"/>
    <n v="1"/>
    <s v="Merchant payments"/>
    <n v="13241"/>
    <n v="13851230.834952449"/>
    <n v="2501103"/>
    <n v="0"/>
    <n v="5.5380489467856577"/>
  </r>
  <r>
    <x v="12"/>
    <n v="2018"/>
    <n v="1"/>
    <s v="Financial Services"/>
    <n v="8955"/>
    <n v="2040522.724771278"/>
    <n v="2501103"/>
    <n v="0"/>
    <n v="0.81584913726914809"/>
  </r>
  <r>
    <x v="12"/>
    <n v="2018"/>
    <n v="1"/>
    <s v="Others"/>
    <n v="20779"/>
    <n v="16752849.503009535"/>
    <n v="2501103"/>
    <n v="0"/>
    <n v="6.6981845621749825"/>
  </r>
  <r>
    <x v="12"/>
    <n v="2018"/>
    <n v="2"/>
    <s v="Recharge &amp; bill payments"/>
    <n v="385642"/>
    <n v="83714322.414041996"/>
    <n v="3468289"/>
    <n v="0"/>
    <n v="24.137066551847898"/>
  </r>
  <r>
    <x v="12"/>
    <n v="2018"/>
    <n v="2"/>
    <s v="Peer-to-peer payments"/>
    <n v="243436"/>
    <n v="1043702964.1513071"/>
    <n v="3468289"/>
    <n v="0"/>
    <n v="300.92733453045787"/>
  </r>
  <r>
    <x v="12"/>
    <n v="2018"/>
    <n v="2"/>
    <s v="Merchant payments"/>
    <n v="27851"/>
    <n v="31961300.882765952"/>
    <n v="3468289"/>
    <n v="0"/>
    <n v="9.2152934437602951"/>
  </r>
  <r>
    <x v="12"/>
    <n v="2018"/>
    <n v="2"/>
    <s v="Financial Services"/>
    <n v="11330"/>
    <n v="4108919.3075577794"/>
    <n v="3468289"/>
    <n v="0"/>
    <n v="1.1847107630182432"/>
  </r>
  <r>
    <x v="12"/>
    <n v="2018"/>
    <n v="2"/>
    <s v="Others"/>
    <n v="19436"/>
    <n v="19681794.59544668"/>
    <n v="3468289"/>
    <n v="0"/>
    <n v="5.6747850584096886"/>
  </r>
  <r>
    <x v="12"/>
    <n v="2018"/>
    <n v="3"/>
    <s v="Recharge &amp; bill payments"/>
    <n v="457449"/>
    <n v="108456077.51862916"/>
    <n v="4483974"/>
    <n v="0"/>
    <n v="24.187490275061624"/>
  </r>
  <r>
    <x v="12"/>
    <n v="2018"/>
    <n v="3"/>
    <s v="Peer-to-peer payments"/>
    <n v="362755"/>
    <n v="1596570994.9854269"/>
    <n v="4483974"/>
    <n v="0"/>
    <n v="356.06160851633547"/>
  </r>
  <r>
    <x v="12"/>
    <n v="2018"/>
    <n v="3"/>
    <s v="Merchant payments"/>
    <n v="40675"/>
    <n v="31168155.221930541"/>
    <n v="4483974"/>
    <n v="0"/>
    <n v="6.9510115852434788"/>
  </r>
  <r>
    <x v="12"/>
    <n v="2018"/>
    <n v="3"/>
    <s v="Financial Services"/>
    <n v="8182"/>
    <n v="1552275.0537747287"/>
    <n v="4483974"/>
    <n v="0"/>
    <n v="0.34618288459628194"/>
  </r>
  <r>
    <x v="12"/>
    <n v="2018"/>
    <n v="3"/>
    <s v="Others"/>
    <n v="17693"/>
    <n v="16293930.078267336"/>
    <n v="4483974"/>
    <n v="0"/>
    <n v="3.6338145757016735"/>
  </r>
  <r>
    <x v="12"/>
    <n v="2018"/>
    <n v="4"/>
    <s v="Recharge &amp; bill payments"/>
    <n v="598325"/>
    <n v="143031082.44320169"/>
    <n v="5789773"/>
    <n v="0"/>
    <n v="24.70409158410903"/>
  </r>
  <r>
    <x v="12"/>
    <n v="2018"/>
    <n v="4"/>
    <s v="Peer-to-peer payments"/>
    <n v="590518"/>
    <n v="2367228879.4462624"/>
    <n v="5789773"/>
    <n v="0"/>
    <n v="408.86385000694543"/>
  </r>
  <r>
    <x v="12"/>
    <n v="2018"/>
    <n v="4"/>
    <s v="Merchant payments"/>
    <n v="86963"/>
    <n v="87575811.800143346"/>
    <n v="5789773"/>
    <n v="0"/>
    <n v="15.125949117546291"/>
  </r>
  <r>
    <x v="12"/>
    <n v="2018"/>
    <n v="4"/>
    <s v="Financial Services"/>
    <n v="11834"/>
    <n v="2283052.7909772652"/>
    <n v="5789773"/>
    <n v="0"/>
    <n v="0.39432509547045547"/>
  </r>
  <r>
    <x v="12"/>
    <n v="2018"/>
    <n v="4"/>
    <s v="Others"/>
    <n v="20243"/>
    <n v="21180141.658664487"/>
    <n v="5789773"/>
    <n v="0"/>
    <n v="3.6581989757913629"/>
  </r>
  <r>
    <x v="12"/>
    <n v="2019"/>
    <n v="1"/>
    <s v="Peer-to-peer payments"/>
    <n v="1178280"/>
    <n v="3066233587.9236507"/>
    <n v="7185255"/>
    <n v="0"/>
    <n v="426.73970345153384"/>
  </r>
  <r>
    <x v="12"/>
    <n v="2019"/>
    <n v="1"/>
    <s v="Recharge &amp; bill payments"/>
    <n v="844570"/>
    <n v="209521987.03977025"/>
    <n v="7185255"/>
    <n v="0"/>
    <n v="29.159993213848395"/>
  </r>
  <r>
    <x v="12"/>
    <n v="2019"/>
    <n v="1"/>
    <s v="Merchant payments"/>
    <n v="115553"/>
    <n v="86624660.311204299"/>
    <n v="7185255"/>
    <n v="0"/>
    <n v="12.055892283740006"/>
  </r>
  <r>
    <x v="12"/>
    <n v="2019"/>
    <n v="1"/>
    <s v="Financial Services"/>
    <n v="9585"/>
    <n v="1424229.9989233727"/>
    <n v="7185255"/>
    <n v="0"/>
    <n v="0.19821565120839452"/>
  </r>
  <r>
    <x v="12"/>
    <n v="2019"/>
    <n v="1"/>
    <s v="Others"/>
    <n v="20730"/>
    <n v="17676977.717503674"/>
    <n v="7185255"/>
    <n v="0"/>
    <n v="2.4601740254874285"/>
  </r>
  <r>
    <x v="12"/>
    <n v="2019"/>
    <n v="2"/>
    <s v="Peer-to-peer payments"/>
    <n v="1141873"/>
    <n v="4428007670.9587078"/>
    <n v="8498633"/>
    <n v="36538821"/>
    <n v="521.02587215599351"/>
  </r>
  <r>
    <x v="12"/>
    <n v="2019"/>
    <n v="2"/>
    <s v="Recharge &amp; bill payments"/>
    <n v="1076793"/>
    <n v="279864579.97562265"/>
    <n v="8498633"/>
    <n v="36538821"/>
    <n v="32.930540708796656"/>
  </r>
  <r>
    <x v="12"/>
    <n v="2019"/>
    <n v="2"/>
    <s v="Merchant payments"/>
    <n v="248517"/>
    <n v="141088575.8726466"/>
    <n v="8498633"/>
    <n v="36538821"/>
    <n v="16.601325868836387"/>
  </r>
  <r>
    <x v="12"/>
    <n v="2019"/>
    <n v="2"/>
    <s v="Financial Services"/>
    <n v="5013"/>
    <n v="1453651.5352588107"/>
    <n v="8498633"/>
    <n v="36538821"/>
    <n v="0.17104533579209866"/>
  </r>
  <r>
    <x v="12"/>
    <n v="2019"/>
    <n v="2"/>
    <s v="Others"/>
    <n v="30110"/>
    <n v="25469495.268363245"/>
    <n v="8498633"/>
    <n v="36538821"/>
    <n v="2.9968931789810487"/>
  </r>
  <r>
    <x v="12"/>
    <n v="2019"/>
    <n v="3"/>
    <s v="Recharge &amp; bill payments"/>
    <n v="1212659"/>
    <n v="327570066.99671471"/>
    <n v="9638024"/>
    <n v="117928151"/>
    <n v="33.987264090306759"/>
  </r>
  <r>
    <x v="12"/>
    <n v="2019"/>
    <n v="3"/>
    <s v="Peer-to-peer payments"/>
    <n v="1181680"/>
    <n v="5039276845.2952127"/>
    <n v="9638024"/>
    <n v="117928151"/>
    <n v="522.85373488333425"/>
  </r>
  <r>
    <x v="12"/>
    <n v="2019"/>
    <n v="3"/>
    <s v="Merchant payments"/>
    <n v="312575"/>
    <n v="182746198.16430056"/>
    <n v="9638024"/>
    <n v="117928151"/>
    <n v="18.960961102016405"/>
  </r>
  <r>
    <x v="12"/>
    <n v="2019"/>
    <n v="3"/>
    <s v="Financial Services"/>
    <n v="3096"/>
    <n v="1775673.9713265826"/>
    <n v="9638024"/>
    <n v="117928151"/>
    <n v="0.18423630936451107"/>
  </r>
  <r>
    <x v="12"/>
    <n v="2019"/>
    <n v="3"/>
    <s v="Others"/>
    <n v="25170"/>
    <n v="20649996.695780389"/>
    <n v="9638024"/>
    <n v="117928151"/>
    <n v="2.1425550191388183"/>
  </r>
  <r>
    <x v="12"/>
    <n v="2019"/>
    <n v="4"/>
    <s v="Peer-to-peer payments"/>
    <n v="1579582"/>
    <n v="6533855301.069828"/>
    <n v="10845395"/>
    <n v="139016944"/>
    <n v="602.45434131904165"/>
  </r>
  <r>
    <x v="12"/>
    <n v="2019"/>
    <n v="4"/>
    <s v="Recharge &amp; bill payments"/>
    <n v="1442940"/>
    <n v="402619114.99428564"/>
    <n v="10845395"/>
    <n v="139016944"/>
    <n v="37.123508640698255"/>
  </r>
  <r>
    <x v="12"/>
    <n v="2019"/>
    <n v="4"/>
    <s v="Merchant payments"/>
    <n v="467309"/>
    <n v="314965060.63526958"/>
    <n v="10845395"/>
    <n v="139016944"/>
    <n v="29.041363697243813"/>
  </r>
  <r>
    <x v="12"/>
    <n v="2019"/>
    <n v="4"/>
    <s v="Financial Services"/>
    <n v="4576"/>
    <n v="1769641.9665086274"/>
    <n v="10845395"/>
    <n v="139016944"/>
    <n v="0.16316989528815018"/>
  </r>
  <r>
    <x v="12"/>
    <n v="2019"/>
    <n v="4"/>
    <s v="Others"/>
    <n v="22239"/>
    <n v="17954418.582290154"/>
    <n v="10845395"/>
    <n v="139016944"/>
    <n v="1.6554877514641149"/>
  </r>
  <r>
    <x v="12"/>
    <n v="2020"/>
    <n v="1"/>
    <s v="Recharge &amp; bill payments"/>
    <n v="1815157"/>
    <n v="542356756.96786058"/>
    <n v="12166275"/>
    <n v="161041144"/>
    <n v="44.57870276381724"/>
  </r>
  <r>
    <x v="12"/>
    <n v="2020"/>
    <n v="1"/>
    <s v="Peer-to-peer payments"/>
    <n v="1594806"/>
    <n v="6431826925.1188021"/>
    <n v="12166275"/>
    <n v="161041144"/>
    <n v="528.66032743126402"/>
  </r>
  <r>
    <x v="12"/>
    <n v="2020"/>
    <n v="1"/>
    <s v="Merchant payments"/>
    <n v="711018"/>
    <n v="427497010.10439825"/>
    <n v="12166275"/>
    <n v="161041144"/>
    <n v="35.137871707190428"/>
  </r>
  <r>
    <x v="12"/>
    <n v="2020"/>
    <n v="1"/>
    <s v="Financial Services"/>
    <n v="4711"/>
    <n v="3172303.6900622216"/>
    <n v="12166275"/>
    <n v="161041144"/>
    <n v="0.26074568346204746"/>
  </r>
  <r>
    <x v="12"/>
    <n v="2020"/>
    <n v="1"/>
    <s v="Others"/>
    <n v="18788"/>
    <n v="14613755.241563875"/>
    <n v="12166275"/>
    <n v="161041144"/>
    <n v="1.2011692355765322"/>
  </r>
  <r>
    <x v="12"/>
    <n v="2020"/>
    <n v="2"/>
    <s v="Recharge &amp; bill payments"/>
    <n v="2558935"/>
    <n v="802231470.16289222"/>
    <n v="13748537"/>
    <n v="177381380"/>
    <n v="58.350315394495588"/>
  </r>
  <r>
    <x v="12"/>
    <n v="2020"/>
    <n v="2"/>
    <s v="Peer-to-peer payments"/>
    <n v="1544488"/>
    <n v="6738488218.6403284"/>
    <n v="13748537"/>
    <n v="177381380"/>
    <n v="490.12401964225927"/>
  </r>
  <r>
    <x v="12"/>
    <n v="2020"/>
    <n v="2"/>
    <s v="Merchant payments"/>
    <n v="570031"/>
    <n v="479165630.6102103"/>
    <n v="13748537"/>
    <n v="177381380"/>
    <n v="34.852117764254501"/>
  </r>
  <r>
    <x v="12"/>
    <n v="2020"/>
    <n v="2"/>
    <s v="Financial Services"/>
    <n v="7634"/>
    <n v="7359757.7375393026"/>
    <n v="13748537"/>
    <n v="177381380"/>
    <n v="0.5353120653884339"/>
  </r>
  <r>
    <x v="12"/>
    <n v="2020"/>
    <n v="2"/>
    <s v="Others"/>
    <n v="14642"/>
    <n v="9659685.392965626"/>
    <n v="13748537"/>
    <n v="177381380"/>
    <n v="0.7025973303898172"/>
  </r>
  <r>
    <x v="12"/>
    <n v="2020"/>
    <n v="3"/>
    <s v="Recharge &amp; bill payments"/>
    <n v="2416395"/>
    <n v="834567922.27426136"/>
    <n v="15164974"/>
    <n v="202529250"/>
    <n v="55.032598293558657"/>
  </r>
  <r>
    <x v="12"/>
    <n v="2020"/>
    <n v="3"/>
    <s v="Peer-to-peer payments"/>
    <n v="1954492"/>
    <n v="8806586536.659174"/>
    <n v="15164974"/>
    <n v="202529250"/>
    <n v="580.71886814043819"/>
  </r>
  <r>
    <x v="12"/>
    <n v="2020"/>
    <n v="3"/>
    <s v="Merchant payments"/>
    <n v="1090445"/>
    <n v="851539467.33755803"/>
    <n v="15164974"/>
    <n v="202529250"/>
    <n v="56.151726164354649"/>
  </r>
  <r>
    <x v="12"/>
    <n v="2020"/>
    <n v="3"/>
    <s v="Financial Services"/>
    <n v="9543"/>
    <n v="11391079.288736572"/>
    <n v="15164974"/>
    <n v="202529250"/>
    <n v="0.75114400385629232"/>
  </r>
  <r>
    <x v="12"/>
    <n v="2020"/>
    <n v="3"/>
    <s v="Others"/>
    <n v="19001"/>
    <n v="11969008.527252048"/>
    <n v="15164974"/>
    <n v="202529250"/>
    <n v="0.78925348155902197"/>
  </r>
  <r>
    <x v="12"/>
    <n v="2020"/>
    <n v="4"/>
    <s v="Recharge &amp; bill payments"/>
    <n v="2638030"/>
    <n v="936305777.72508776"/>
    <n v="16596426"/>
    <n v="242012628"/>
    <n v="56.416108969791914"/>
  </r>
  <r>
    <x v="12"/>
    <n v="2020"/>
    <n v="4"/>
    <s v="Peer-to-peer payments"/>
    <n v="2594659"/>
    <n v="11426268857.229637"/>
    <n v="16596426"/>
    <n v="242012628"/>
    <n v="688.47767930454643"/>
  </r>
  <r>
    <x v="12"/>
    <n v="2020"/>
    <n v="4"/>
    <s v="Merchant payments"/>
    <n v="2001259"/>
    <n v="1589433440.2684097"/>
    <n v="16596426"/>
    <n v="242012628"/>
    <n v="95.769621740753692"/>
  </r>
  <r>
    <x v="12"/>
    <n v="2020"/>
    <n v="4"/>
    <s v="Financial Services"/>
    <n v="11353"/>
    <n v="15534252.217986543"/>
    <n v="16596426"/>
    <n v="242012628"/>
    <n v="0.93599984827977678"/>
  </r>
  <r>
    <x v="12"/>
    <n v="2020"/>
    <n v="4"/>
    <s v="Others"/>
    <n v="27027"/>
    <n v="21510781.371782862"/>
    <n v="16596426"/>
    <n v="242012628"/>
    <n v="1.29610925700406"/>
  </r>
  <r>
    <x v="12"/>
    <n v="2021"/>
    <n v="1"/>
    <s v="Peer-to-peer payments"/>
    <n v="2845733"/>
    <n v="11358078843.572702"/>
    <n v="17852461"/>
    <n v="266509034"/>
    <n v="636.21922174050417"/>
  </r>
  <r>
    <x v="12"/>
    <n v="2021"/>
    <n v="1"/>
    <s v="Recharge &amp; bill payments"/>
    <n v="2547359"/>
    <n v="948929031.64433908"/>
    <n v="17852461"/>
    <n v="266509034"/>
    <n v="53.153961890427269"/>
  </r>
  <r>
    <x v="12"/>
    <n v="2021"/>
    <n v="1"/>
    <s v="Merchant payments"/>
    <n v="2186946"/>
    <n v="1778219850.8347864"/>
    <n v="17852461"/>
    <n v="266509034"/>
    <n v="99.606426858167424"/>
  </r>
  <r>
    <x v="12"/>
    <n v="2021"/>
    <n v="1"/>
    <s v="Financial Services"/>
    <n v="12561"/>
    <n v="16554205.504427344"/>
    <n v="17852461"/>
    <n v="266509034"/>
    <n v="0.92727862586717558"/>
  </r>
  <r>
    <x v="12"/>
    <n v="2021"/>
    <n v="1"/>
    <s v="Others"/>
    <n v="21430"/>
    <n v="18764977.931273177"/>
    <n v="17852461"/>
    <n v="266509034"/>
    <n v="1.0511143495159114"/>
  </r>
  <r>
    <x v="12"/>
    <n v="2021"/>
    <n v="2"/>
    <s v="Peer-to-peer payments"/>
    <n v="3340531"/>
    <n v="13035543546.663971"/>
    <n v="19174661"/>
    <n v="475969747"/>
    <n v="679.83176060656149"/>
  </r>
  <r>
    <x v="12"/>
    <n v="2021"/>
    <n v="2"/>
    <s v="Recharge &amp; bill payments"/>
    <n v="3216602"/>
    <n v="1045789841.916208"/>
    <n v="19174661"/>
    <n v="475969747"/>
    <n v="54.540199793686469"/>
  </r>
  <r>
    <x v="12"/>
    <n v="2021"/>
    <n v="2"/>
    <s v="Merchant payments"/>
    <n v="2883209"/>
    <n v="2378084375.1994772"/>
    <n v="19174661"/>
    <n v="475969747"/>
    <n v="124.0222382653585"/>
  </r>
  <r>
    <x v="12"/>
    <n v="2021"/>
    <n v="2"/>
    <s v="Financial Services"/>
    <n v="14642"/>
    <n v="16428390.62373627"/>
    <n v="19174661"/>
    <n v="475969747"/>
    <n v="0.85677606627497982"/>
  </r>
  <r>
    <x v="12"/>
    <n v="2021"/>
    <n v="2"/>
    <s v="Others"/>
    <n v="28918"/>
    <n v="19788385.405835297"/>
    <n v="19174661"/>
    <n v="475969747"/>
    <n v="1.0320070537797408"/>
  </r>
  <r>
    <x v="12"/>
    <n v="2021"/>
    <n v="3"/>
    <s v="Peer-to-peer payments"/>
    <n v="4455153"/>
    <n v="16560383923.204865"/>
    <n v="20686886"/>
    <n v="582673168"/>
    <n v="800.52570131651828"/>
  </r>
  <r>
    <x v="12"/>
    <n v="2021"/>
    <n v="3"/>
    <s v="Merchant payments"/>
    <n v="4198808"/>
    <n v="3524434949.6340828"/>
    <n v="20686886"/>
    <n v="582673168"/>
    <n v="170.37049218688995"/>
  </r>
  <r>
    <x v="12"/>
    <n v="2021"/>
    <n v="3"/>
    <s v="Recharge &amp; bill payments"/>
    <n v="3359406"/>
    <n v="1178802736.5280356"/>
    <n v="20686886"/>
    <n v="582673168"/>
    <n v="56.983092405886303"/>
  </r>
  <r>
    <x v="12"/>
    <n v="2021"/>
    <n v="3"/>
    <s v="Financial Services"/>
    <n v="14497"/>
    <n v="22805774.600357123"/>
    <n v="20686886"/>
    <n v="582673168"/>
    <n v="1.102426658142609"/>
  </r>
  <r>
    <x v="12"/>
    <n v="2021"/>
    <n v="3"/>
    <s v="Others"/>
    <n v="36303"/>
    <n v="23834687.160697926"/>
    <n v="20686886"/>
    <n v="582673168"/>
    <n v="1.1521640889159406"/>
  </r>
  <r>
    <x v="12"/>
    <n v="2021"/>
    <n v="4"/>
    <s v="Merchant payments"/>
    <n v="6062931"/>
    <n v="5228613146.7434511"/>
    <n v="22151217"/>
    <n v="524380802"/>
    <n v="236.04180062627941"/>
  </r>
  <r>
    <x v="12"/>
    <n v="2021"/>
    <n v="4"/>
    <s v="Peer-to-peer payments"/>
    <n v="5323397"/>
    <n v="19568394324.584805"/>
    <n v="22151217"/>
    <n v="524380802"/>
    <n v="883.40041653624735"/>
  </r>
  <r>
    <x v="12"/>
    <n v="2021"/>
    <n v="4"/>
    <s v="Recharge &amp; bill payments"/>
    <n v="3211367"/>
    <n v="1278824361.8371379"/>
    <n v="22151217"/>
    <n v="524380802"/>
    <n v="57.731562190787891"/>
  </r>
  <r>
    <x v="12"/>
    <n v="2021"/>
    <n v="4"/>
    <s v="Financial Services"/>
    <n v="18198"/>
    <n v="24809740.714031782"/>
    <n v="22151217"/>
    <n v="524380802"/>
    <n v="1.1200170498095785"/>
  </r>
  <r>
    <x v="12"/>
    <n v="2021"/>
    <n v="4"/>
    <s v="Others"/>
    <n v="50971"/>
    <n v="35578926.746394522"/>
    <n v="22151217"/>
    <n v="524380802"/>
    <n v="1.6061838384046585"/>
  </r>
  <r>
    <x v="13"/>
    <n v="2018"/>
    <n v="1"/>
    <s v="Recharge &amp; bill payments"/>
    <n v="457813"/>
    <n v="78812610.351290122"/>
    <n v="1940675"/>
    <n v="0"/>
    <n v="40.610926791600924"/>
  </r>
  <r>
    <x v="13"/>
    <n v="2018"/>
    <n v="1"/>
    <s v="Peer-to-peer payments"/>
    <n v="353621"/>
    <n v="861670157.93100119"/>
    <n v="1940675"/>
    <n v="0"/>
    <n v="444.00538881111015"/>
  </r>
  <r>
    <x v="13"/>
    <n v="2018"/>
    <n v="1"/>
    <s v="Financial Services"/>
    <n v="65683"/>
    <n v="10269382.6199755"/>
    <n v="1940675"/>
    <n v="0"/>
    <n v="5.29165502723305"/>
  </r>
  <r>
    <x v="13"/>
    <n v="2018"/>
    <n v="1"/>
    <s v="Merchant payments"/>
    <n v="28696"/>
    <n v="30967525.638810236"/>
    <n v="1940675"/>
    <n v="0"/>
    <n v="15.957090001576892"/>
  </r>
  <r>
    <x v="13"/>
    <n v="2018"/>
    <n v="1"/>
    <s v="Others"/>
    <n v="35755"/>
    <n v="23651562.715049967"/>
    <n v="1940675"/>
    <n v="0"/>
    <n v="12.18728675076969"/>
  </r>
  <r>
    <x v="13"/>
    <n v="2018"/>
    <n v="2"/>
    <s v="Recharge &amp; bill payments"/>
    <n v="794502"/>
    <n v="166762242.91718757"/>
    <n v="2877699"/>
    <n v="0"/>
    <n v="57.949856088905605"/>
  </r>
  <r>
    <x v="13"/>
    <n v="2018"/>
    <n v="2"/>
    <s v="Peer-to-peer payments"/>
    <n v="771844"/>
    <n v="2372961687.5536175"/>
    <n v="2877699"/>
    <n v="0"/>
    <n v="824.60385452183061"/>
  </r>
  <r>
    <x v="13"/>
    <n v="2018"/>
    <n v="2"/>
    <s v="Financial Services"/>
    <n v="112422"/>
    <n v="15636116.813860631"/>
    <n v="2877699"/>
    <n v="0"/>
    <n v="5.4335484058133359"/>
  </r>
  <r>
    <x v="13"/>
    <n v="2018"/>
    <n v="2"/>
    <s v="Merchant payments"/>
    <n v="79248"/>
    <n v="64454257.525262199"/>
    <n v="2877699"/>
    <n v="0"/>
    <n v="22.39784547489581"/>
  </r>
  <r>
    <x v="13"/>
    <n v="2018"/>
    <n v="2"/>
    <s v="Others"/>
    <n v="38310"/>
    <n v="31391931.692946266"/>
    <n v="2877699"/>
    <n v="0"/>
    <n v="10.908691872550349"/>
  </r>
  <r>
    <x v="13"/>
    <n v="2018"/>
    <n v="3"/>
    <s v="Peer-to-peer payments"/>
    <n v="1260453"/>
    <n v="3616022745.5645847"/>
    <n v="3767819"/>
    <n v="0"/>
    <n v="959.7124345847252"/>
  </r>
  <r>
    <x v="13"/>
    <n v="2018"/>
    <n v="3"/>
    <s v="Recharge &amp; bill payments"/>
    <n v="822143"/>
    <n v="203079955.34644008"/>
    <n v="3767819"/>
    <n v="0"/>
    <n v="53.898543254450409"/>
  </r>
  <r>
    <x v="13"/>
    <n v="2018"/>
    <n v="3"/>
    <s v="Merchant payments"/>
    <n v="140076"/>
    <n v="82826475.187970519"/>
    <n v="3767819"/>
    <n v="0"/>
    <n v="21.982604575211951"/>
  </r>
  <r>
    <x v="13"/>
    <n v="2018"/>
    <n v="3"/>
    <s v="Financial Services"/>
    <n v="44464"/>
    <n v="6397888.3546260595"/>
    <n v="3767819"/>
    <n v="0"/>
    <n v="1.6980349519512641"/>
  </r>
  <r>
    <x v="13"/>
    <n v="2018"/>
    <n v="3"/>
    <s v="Others"/>
    <n v="36825"/>
    <n v="26373935.004048545"/>
    <n v="3767819"/>
    <n v="0"/>
    <n v="6.9997882074612781"/>
  </r>
  <r>
    <x v="13"/>
    <n v="2018"/>
    <n v="4"/>
    <s v="Peer-to-peer payments"/>
    <n v="1265457"/>
    <n v="5151829745.2629833"/>
    <n v="4802193"/>
    <n v="0"/>
    <n v="1072.8077245672932"/>
  </r>
  <r>
    <x v="13"/>
    <n v="2018"/>
    <n v="4"/>
    <s v="Recharge &amp; bill payments"/>
    <n v="970724"/>
    <n v="254473764.00233167"/>
    <n v="4802193"/>
    <n v="0"/>
    <n v="52.991157165555755"/>
  </r>
  <r>
    <x v="13"/>
    <n v="2018"/>
    <n v="4"/>
    <s v="Merchant payments"/>
    <n v="402303"/>
    <n v="215771001.5429565"/>
    <n v="4802193"/>
    <n v="0"/>
    <n v="44.931763788535051"/>
  </r>
  <r>
    <x v="13"/>
    <n v="2018"/>
    <n v="4"/>
    <s v="Financial Services"/>
    <n v="33775"/>
    <n v="6072177.152358056"/>
    <n v="4802193"/>
    <n v="0"/>
    <n v="1.2644592069410905"/>
  </r>
  <r>
    <x v="13"/>
    <n v="2018"/>
    <n v="4"/>
    <s v="Others"/>
    <n v="49051"/>
    <n v="36573577.736889333"/>
    <n v="4802193"/>
    <n v="0"/>
    <n v="7.6160157946357705"/>
  </r>
  <r>
    <x v="13"/>
    <n v="2019"/>
    <n v="1"/>
    <s v="Peer-to-peer payments"/>
    <n v="1913720"/>
    <n v="5414709531.8367348"/>
    <n v="5837359"/>
    <n v="0"/>
    <n v="927.59577264936672"/>
  </r>
  <r>
    <x v="13"/>
    <n v="2019"/>
    <n v="1"/>
    <s v="Recharge &amp; bill payments"/>
    <n v="1131953"/>
    <n v="302663112.88848048"/>
    <n v="5837359"/>
    <n v="0"/>
    <n v="51.849323108015199"/>
  </r>
  <r>
    <x v="13"/>
    <n v="2019"/>
    <n v="1"/>
    <s v="Merchant payments"/>
    <n v="452379"/>
    <n v="199219534.93760535"/>
    <n v="5837359"/>
    <n v="0"/>
    <n v="34.128367800850583"/>
  </r>
  <r>
    <x v="13"/>
    <n v="2019"/>
    <n v="1"/>
    <s v="Financial Services"/>
    <n v="43247"/>
    <n v="4593545.2019220516"/>
    <n v="5837359"/>
    <n v="0"/>
    <n v="0.78692182576436565"/>
  </r>
  <r>
    <x v="13"/>
    <n v="2019"/>
    <n v="1"/>
    <s v="Others"/>
    <n v="43688"/>
    <n v="30649751.656273112"/>
    <n v="5837359"/>
    <n v="0"/>
    <n v="5.2506196134712821"/>
  </r>
  <r>
    <x v="13"/>
    <n v="2019"/>
    <n v="2"/>
    <s v="Peer-to-peer payments"/>
    <n v="1180781"/>
    <n v="5666318253.4620762"/>
    <n v="6943123"/>
    <n v="29759103"/>
    <n v="816.10512351028149"/>
  </r>
  <r>
    <x v="13"/>
    <n v="2019"/>
    <n v="2"/>
    <s v="Recharge &amp; bill payments"/>
    <n v="706569"/>
    <n v="215937468.94414753"/>
    <n v="6943123"/>
    <n v="29759103"/>
    <n v="31.100913658615514"/>
  </r>
  <r>
    <x v="13"/>
    <n v="2019"/>
    <n v="2"/>
    <s v="Merchant payments"/>
    <n v="353678"/>
    <n v="188931529.4882364"/>
    <n v="6943123"/>
    <n v="29759103"/>
    <n v="27.211318233630081"/>
  </r>
  <r>
    <x v="13"/>
    <n v="2019"/>
    <n v="2"/>
    <s v="Financial Services"/>
    <n v="22663"/>
    <n v="2652961.3536974541"/>
    <n v="6943123"/>
    <n v="29759103"/>
    <n v="0.38209914381431154"/>
  </r>
  <r>
    <x v="13"/>
    <n v="2019"/>
    <n v="2"/>
    <s v="Others"/>
    <n v="32664"/>
    <n v="26301988.315348372"/>
    <n v="6943123"/>
    <n v="29759103"/>
    <n v="3.7882071677757074"/>
  </r>
  <r>
    <x v="13"/>
    <n v="2019"/>
    <n v="3"/>
    <s v="Peer-to-peer payments"/>
    <n v="618694"/>
    <n v="3499425217.9582095"/>
    <n v="7243005"/>
    <n v="42283109"/>
    <n v="483.14549250735149"/>
  </r>
  <r>
    <x v="13"/>
    <n v="2019"/>
    <n v="3"/>
    <s v="Recharge &amp; bill payments"/>
    <n v="318061"/>
    <n v="111964437.03321175"/>
    <n v="7243005"/>
    <n v="42283109"/>
    <n v="15.458285205272087"/>
  </r>
  <r>
    <x v="13"/>
    <n v="2019"/>
    <n v="3"/>
    <s v="Merchant payments"/>
    <n v="165115"/>
    <n v="120736230.08884756"/>
    <n v="7243005"/>
    <n v="42283109"/>
    <n v="16.669356170380603"/>
  </r>
  <r>
    <x v="13"/>
    <n v="2019"/>
    <n v="3"/>
    <s v="Financial Services"/>
    <n v="2895"/>
    <n v="658515.88254828518"/>
    <n v="7243005"/>
    <n v="42283109"/>
    <n v="9.0917496612011886E-2"/>
  </r>
  <r>
    <x v="13"/>
    <n v="2019"/>
    <n v="3"/>
    <s v="Others"/>
    <n v="11761"/>
    <n v="11446090.81965122"/>
    <n v="7243005"/>
    <n v="42283109"/>
    <n v="1.5802958605787543"/>
  </r>
  <r>
    <x v="13"/>
    <n v="2019"/>
    <n v="4"/>
    <s v="Peer-to-peer payments"/>
    <n v="310620"/>
    <n v="1799955855.9714913"/>
    <n v="7407037"/>
    <n v="10984292"/>
    <n v="243.00619208078632"/>
  </r>
  <r>
    <x v="13"/>
    <n v="2019"/>
    <n v="4"/>
    <s v="Merchant payments"/>
    <n v="91303"/>
    <n v="77859073.823173761"/>
    <n v="7407037"/>
    <n v="10984292"/>
    <n v="10.511500593715647"/>
  </r>
  <r>
    <x v="13"/>
    <n v="2019"/>
    <n v="4"/>
    <s v="Recharge &amp; bill payments"/>
    <n v="84803"/>
    <n v="49065907.045780972"/>
    <n v="7407037"/>
    <n v="10984292"/>
    <n v="6.6242286957363614"/>
  </r>
  <r>
    <x v="13"/>
    <n v="2019"/>
    <n v="4"/>
    <s v="Financial Services"/>
    <n v="197"/>
    <n v="213741.28620327619"/>
    <n v="7407037"/>
    <n v="10984292"/>
    <n v="2.8856516607555248E-2"/>
  </r>
  <r>
    <x v="13"/>
    <n v="2019"/>
    <n v="4"/>
    <s v="Others"/>
    <n v="3005"/>
    <n v="2601419.6959477984"/>
    <n v="7407037"/>
    <n v="10984292"/>
    <n v="0.35120922117005737"/>
  </r>
  <r>
    <x v="13"/>
    <n v="2020"/>
    <n v="1"/>
    <s v="Peer-to-peer payments"/>
    <n v="435154"/>
    <n v="2654638582.0865793"/>
    <n v="8089488"/>
    <n v="49245834"/>
    <n v="328.15903578651444"/>
  </r>
  <r>
    <x v="13"/>
    <n v="2020"/>
    <n v="1"/>
    <s v="Recharge &amp; bill payments"/>
    <n v="341357"/>
    <n v="144213068.71202034"/>
    <n v="8089488"/>
    <n v="49245834"/>
    <n v="17.827218324821093"/>
  </r>
  <r>
    <x v="13"/>
    <n v="2020"/>
    <n v="1"/>
    <s v="Merchant payments"/>
    <n v="135241"/>
    <n v="131144418.96503358"/>
    <n v="8089488"/>
    <n v="49245834"/>
    <n v="16.211708202674085"/>
  </r>
  <r>
    <x v="13"/>
    <n v="2020"/>
    <n v="1"/>
    <s v="Financial Services"/>
    <n v="2350"/>
    <n v="2116665.1182805505"/>
    <n v="8089488"/>
    <n v="49245834"/>
    <n v="0.26165625293968547"/>
  </r>
  <r>
    <x v="13"/>
    <n v="2020"/>
    <n v="1"/>
    <s v="Others"/>
    <n v="7528"/>
    <n v="5530441.6521029454"/>
    <n v="8089488"/>
    <n v="49245834"/>
    <n v="0.68365781024744032"/>
  </r>
  <r>
    <x v="13"/>
    <n v="2020"/>
    <n v="2"/>
    <s v="Peer-to-peer payments"/>
    <n v="1238380"/>
    <n v="7426818530.258213"/>
    <n v="9298234"/>
    <n v="108423183"/>
    <n v="798.73431129590983"/>
  </r>
  <r>
    <x v="13"/>
    <n v="2020"/>
    <n v="2"/>
    <s v="Recharge &amp; bill payments"/>
    <n v="1028741"/>
    <n v="413037418.32063264"/>
    <n v="9298234"/>
    <n v="108423183"/>
    <n v="44.421060850978009"/>
  </r>
  <r>
    <x v="13"/>
    <n v="2020"/>
    <n v="2"/>
    <s v="Merchant payments"/>
    <n v="341375"/>
    <n v="403026357.76740712"/>
    <n v="9298234"/>
    <n v="108423183"/>
    <n v="43.344398276856346"/>
  </r>
  <r>
    <x v="13"/>
    <n v="2020"/>
    <n v="2"/>
    <s v="Financial Services"/>
    <n v="9130"/>
    <n v="10415041.341445928"/>
    <n v="9298234"/>
    <n v="108423183"/>
    <n v="1.1201096188207276"/>
  </r>
  <r>
    <x v="13"/>
    <n v="2020"/>
    <n v="2"/>
    <s v="Others"/>
    <n v="17380"/>
    <n v="12351591.57084975"/>
    <n v="9298234"/>
    <n v="108423183"/>
    <n v="1.3283803753325363"/>
  </r>
  <r>
    <x v="13"/>
    <n v="2020"/>
    <n v="3"/>
    <s v="Peer-to-peer payments"/>
    <n v="1787154"/>
    <n v="10837119046.792652"/>
    <n v="10448009"/>
    <n v="125877994"/>
    <n v="1037.2425068539519"/>
  </r>
  <r>
    <x v="13"/>
    <n v="2020"/>
    <n v="3"/>
    <s v="Recharge &amp; bill payments"/>
    <n v="1005745"/>
    <n v="443743222.50064701"/>
    <n v="10448009"/>
    <n v="125877994"/>
    <n v="42.471558217517519"/>
  </r>
  <r>
    <x v="13"/>
    <n v="2020"/>
    <n v="3"/>
    <s v="Merchant payments"/>
    <n v="642688"/>
    <n v="667957476.43502533"/>
    <n v="10448009"/>
    <n v="125877994"/>
    <n v="63.931556379308759"/>
  </r>
  <r>
    <x v="13"/>
    <n v="2020"/>
    <n v="3"/>
    <s v="Financial Services"/>
    <n v="10111"/>
    <n v="13281733.802213533"/>
    <n v="10448009"/>
    <n v="125877994"/>
    <n v="1.2712215123679098"/>
  </r>
  <r>
    <x v="13"/>
    <n v="2020"/>
    <n v="3"/>
    <s v="Others"/>
    <n v="20200"/>
    <n v="15128281.341935568"/>
    <n v="10448009"/>
    <n v="125877994"/>
    <n v="1.4479582992257729"/>
  </r>
  <r>
    <x v="13"/>
    <n v="2020"/>
    <n v="4"/>
    <s v="Peer-to-peer payments"/>
    <n v="2378539"/>
    <n v="13736841259.979288"/>
    <n v="11869242"/>
    <n v="176206261"/>
    <n v="1157.3478120994828"/>
  </r>
  <r>
    <x v="13"/>
    <n v="2020"/>
    <n v="4"/>
    <s v="Recharge &amp; bill payments"/>
    <n v="1900075"/>
    <n v="536741118.30199385"/>
    <n v="11869242"/>
    <n v="176206261"/>
    <n v="45.22117910326488"/>
  </r>
  <r>
    <x v="13"/>
    <n v="2020"/>
    <n v="4"/>
    <s v="Merchant payments"/>
    <n v="1377786"/>
    <n v="1045006123.4596367"/>
    <n v="11869242"/>
    <n v="176206261"/>
    <n v="88.043206420396231"/>
  </r>
  <r>
    <x v="13"/>
    <n v="2020"/>
    <n v="4"/>
    <s v="Financial Services"/>
    <n v="13578"/>
    <n v="17966592.697469097"/>
    <n v="11869242"/>
    <n v="176206261"/>
    <n v="1.5137102013312305"/>
  </r>
  <r>
    <x v="13"/>
    <n v="2020"/>
    <n v="4"/>
    <s v="Others"/>
    <n v="84466"/>
    <n v="44350708.939814664"/>
    <n v="11869242"/>
    <n v="176206261"/>
    <n v="3.7366083646971444"/>
  </r>
  <r>
    <x v="13"/>
    <n v="2021"/>
    <n v="1"/>
    <s v="Peer-to-peer payments"/>
    <n v="2800201"/>
    <n v="14801220301.14875"/>
    <n v="12922998"/>
    <n v="207174099"/>
    <n v="1145.3395180552338"/>
  </r>
  <r>
    <x v="13"/>
    <n v="2021"/>
    <n v="1"/>
    <s v="Recharge &amp; bill payments"/>
    <n v="2554798"/>
    <n v="663747765.67609656"/>
    <n v="12922998"/>
    <n v="207174099"/>
    <n v="51.361747922277523"/>
  </r>
  <r>
    <x v="13"/>
    <n v="2021"/>
    <n v="1"/>
    <s v="Merchant payments"/>
    <n v="1527253"/>
    <n v="1605408313.4781337"/>
    <n v="12922998"/>
    <n v="207174099"/>
    <n v="124.22878294016093"/>
  </r>
  <r>
    <x v="13"/>
    <n v="2021"/>
    <n v="1"/>
    <s v="Financial Services"/>
    <n v="17276"/>
    <n v="20848657.8594191"/>
    <n v="12922998"/>
    <n v="207174099"/>
    <n v="1.6132988536730486"/>
  </r>
  <r>
    <x v="13"/>
    <n v="2021"/>
    <n v="1"/>
    <s v="Others"/>
    <n v="98042"/>
    <n v="47124854.989329115"/>
    <n v="12922998"/>
    <n v="207174099"/>
    <n v="3.6465884301250466"/>
  </r>
  <r>
    <x v="13"/>
    <n v="2021"/>
    <n v="2"/>
    <s v="Peer-to-peer payments"/>
    <n v="3955437"/>
    <n v="19502438177.809399"/>
    <n v="13873937"/>
    <n v="377020149"/>
    <n v="1405.6888234254918"/>
  </r>
  <r>
    <x v="13"/>
    <n v="2021"/>
    <n v="2"/>
    <s v="Recharge &amp; bill payments"/>
    <n v="3568970"/>
    <n v="892467613.55459559"/>
    <n v="13873937"/>
    <n v="377020149"/>
    <n v="64.326918419378401"/>
  </r>
  <r>
    <x v="13"/>
    <n v="2021"/>
    <n v="2"/>
    <s v="Merchant payments"/>
    <n v="2378307"/>
    <n v="2343370985.5822287"/>
    <n v="13873937"/>
    <n v="377020149"/>
    <n v="168.90454278278969"/>
  </r>
  <r>
    <x v="13"/>
    <n v="2021"/>
    <n v="2"/>
    <s v="Financial Services"/>
    <n v="19432"/>
    <n v="21897796.187056318"/>
    <n v="13873937"/>
    <n v="377020149"/>
    <n v="1.5783404657997451"/>
  </r>
  <r>
    <x v="13"/>
    <n v="2021"/>
    <n v="2"/>
    <s v="Others"/>
    <n v="105673"/>
    <n v="53580855.458362073"/>
    <n v="13873937"/>
    <n v="377020149"/>
    <n v="3.8619791525910832"/>
  </r>
  <r>
    <x v="13"/>
    <n v="2021"/>
    <n v="3"/>
    <s v="Peer-to-peer payments"/>
    <n v="5621108"/>
    <n v="26562997915.198593"/>
    <n v="14958460"/>
    <n v="495277167"/>
    <n v="1775.784266241217"/>
  </r>
  <r>
    <x v="13"/>
    <n v="2021"/>
    <n v="3"/>
    <s v="Recharge &amp; bill payments"/>
    <n v="4192099"/>
    <n v="1126801385.0108979"/>
    <n v="14958460"/>
    <n v="495277167"/>
    <n v="75.328702621185457"/>
  </r>
  <r>
    <x v="13"/>
    <n v="2021"/>
    <n v="3"/>
    <s v="Merchant payments"/>
    <n v="3197489"/>
    <n v="3818849262.990345"/>
    <n v="14958460"/>
    <n v="495277167"/>
    <n v="255.29695322849713"/>
  </r>
  <r>
    <x v="13"/>
    <n v="2021"/>
    <n v="3"/>
    <s v="Financial Services"/>
    <n v="16071"/>
    <n v="27585395.493344467"/>
    <n v="14958460"/>
    <n v="495277167"/>
    <n v="1.8441333862807046"/>
  </r>
  <r>
    <x v="13"/>
    <n v="2021"/>
    <n v="3"/>
    <s v="Others"/>
    <n v="124274"/>
    <n v="62209689.338943399"/>
    <n v="14958460"/>
    <n v="495277167"/>
    <n v="4.1588298086128788"/>
  </r>
  <r>
    <x v="13"/>
    <n v="2021"/>
    <n v="4"/>
    <s v="Peer-to-peer payments"/>
    <n v="6852001"/>
    <n v="31444247707.630074"/>
    <n v="16024910"/>
    <n v="396133628"/>
    <n v="1962.2105651532565"/>
  </r>
  <r>
    <x v="13"/>
    <n v="2021"/>
    <n v="4"/>
    <s v="Merchant payments"/>
    <n v="5399465"/>
    <n v="6026170895.5911093"/>
    <n v="16024910"/>
    <n v="396133628"/>
    <n v="376.05021779162001"/>
  </r>
  <r>
    <x v="13"/>
    <n v="2021"/>
    <n v="4"/>
    <s v="Recharge &amp; bill payments"/>
    <n v="4358892"/>
    <n v="1334473410.4377313"/>
    <n v="16024910"/>
    <n v="396133628"/>
    <n v="83.27493948095379"/>
  </r>
  <r>
    <x v="13"/>
    <n v="2021"/>
    <n v="4"/>
    <s v="Financial Services"/>
    <n v="20269"/>
    <n v="34425387.517617822"/>
    <n v="16024910"/>
    <n v="396133628"/>
    <n v="2.1482421753144214"/>
  </r>
  <r>
    <x v="13"/>
    <n v="2021"/>
    <n v="4"/>
    <s v="Others"/>
    <n v="160001"/>
    <n v="86920024.595138043"/>
    <n v="16024910"/>
    <n v="396133628"/>
    <n v="5.4240569585188334"/>
  </r>
  <r>
    <x v="14"/>
    <n v="2018"/>
    <n v="1"/>
    <s v="Recharge &amp; bill payments"/>
    <n v="1095857"/>
    <n v="132181815.28422523"/>
    <n v="9743382"/>
    <n v="0"/>
    <n v="13.566317658922253"/>
  </r>
  <r>
    <x v="14"/>
    <n v="2018"/>
    <n v="1"/>
    <s v="Peer-to-peer payments"/>
    <n v="809459"/>
    <n v="2036315435.6551185"/>
    <n v="9743382"/>
    <n v="0"/>
    <n v="208.99472438370151"/>
  </r>
  <r>
    <x v="14"/>
    <n v="2018"/>
    <n v="1"/>
    <s v="Financial Services"/>
    <n v="107755"/>
    <n v="45483178.104925826"/>
    <n v="9743382"/>
    <n v="0"/>
    <n v="4.6681099134700688"/>
  </r>
  <r>
    <x v="14"/>
    <n v="2018"/>
    <n v="1"/>
    <s v="Merchant payments"/>
    <n v="66299"/>
    <n v="66465337.511485815"/>
    <n v="9743382"/>
    <n v="0"/>
    <n v="6.8215879775098438"/>
  </r>
  <r>
    <x v="14"/>
    <n v="2018"/>
    <n v="1"/>
    <s v="Others"/>
    <n v="99551"/>
    <n v="93740623.363630936"/>
    <n v="9743382"/>
    <n v="0"/>
    <n v="9.620953316172038"/>
  </r>
  <r>
    <x v="14"/>
    <n v="2018"/>
    <n v="2"/>
    <s v="Recharge &amp; bill payments"/>
    <n v="1398777"/>
    <n v="208894647.78855115"/>
    <n v="13536589"/>
    <n v="0"/>
    <n v="15.431852720692868"/>
  </r>
  <r>
    <x v="14"/>
    <n v="2018"/>
    <n v="2"/>
    <s v="Peer-to-peer payments"/>
    <n v="1375872"/>
    <n v="4205862516.7774911"/>
    <n v="13536589"/>
    <n v="0"/>
    <n v="310.70327368124208"/>
  </r>
  <r>
    <x v="14"/>
    <n v="2018"/>
    <n v="2"/>
    <s v="Financial Services"/>
    <n v="160637"/>
    <n v="65554548.246213168"/>
    <n v="13536589"/>
    <n v="0"/>
    <n v="4.8427671288692569"/>
  </r>
  <r>
    <x v="14"/>
    <n v="2018"/>
    <n v="2"/>
    <s v="Merchant payments"/>
    <n v="130339"/>
    <n v="138889079.16124776"/>
    <n v="13536589"/>
    <n v="0"/>
    <n v="10.26027156185711"/>
  </r>
  <r>
    <x v="14"/>
    <n v="2018"/>
    <n v="2"/>
    <s v="Others"/>
    <n v="86455"/>
    <n v="102374867.08935027"/>
    <n v="13536589"/>
    <n v="0"/>
    <n v="7.5628259888329525"/>
  </r>
  <r>
    <x v="14"/>
    <n v="2018"/>
    <n v="3"/>
    <s v="Peer-to-peer payments"/>
    <n v="6003688"/>
    <n v="8142915751.2033482"/>
    <n v="16855982"/>
    <n v="0"/>
    <n v="483.08759176435689"/>
  </r>
  <r>
    <x v="14"/>
    <n v="2018"/>
    <n v="3"/>
    <s v="Recharge &amp; bill payments"/>
    <n v="1539476"/>
    <n v="256930062.20347697"/>
    <n v="16855982"/>
    <n v="0"/>
    <n v="15.242663536510479"/>
  </r>
  <r>
    <x v="14"/>
    <n v="2018"/>
    <n v="3"/>
    <s v="Merchant payments"/>
    <n v="287427"/>
    <n v="155059935.04035243"/>
    <n v="16855982"/>
    <n v="0"/>
    <n v="9.1991042135873453"/>
  </r>
  <r>
    <x v="14"/>
    <n v="2018"/>
    <n v="3"/>
    <s v="Financial Services"/>
    <n v="216343"/>
    <n v="38182603.577879392"/>
    <n v="16855982"/>
    <n v="0"/>
    <n v="2.2652256971963656"/>
  </r>
  <r>
    <x v="14"/>
    <n v="2018"/>
    <n v="3"/>
    <s v="Others"/>
    <n v="75687"/>
    <n v="68483065.679561332"/>
    <n v="16855982"/>
    <n v="0"/>
    <n v="4.0628345283924325"/>
  </r>
  <r>
    <x v="14"/>
    <n v="2018"/>
    <n v="4"/>
    <s v="Peer-to-peer payments"/>
    <n v="3325473"/>
    <n v="9414019816.80093"/>
    <n v="21053439"/>
    <n v="0"/>
    <n v="447.14879202399806"/>
  </r>
  <r>
    <x v="14"/>
    <n v="2018"/>
    <n v="4"/>
    <s v="Recharge &amp; bill payments"/>
    <n v="1885135"/>
    <n v="328077093.47845769"/>
    <n v="21053439"/>
    <n v="0"/>
    <n v="15.58306429075353"/>
  </r>
  <r>
    <x v="14"/>
    <n v="2018"/>
    <n v="4"/>
    <s v="Merchant payments"/>
    <n v="845956"/>
    <n v="373435992.48166168"/>
    <n v="21053439"/>
    <n v="0"/>
    <n v="17.737529364283986"/>
  </r>
  <r>
    <x v="14"/>
    <n v="2018"/>
    <n v="4"/>
    <s v="Financial Services"/>
    <n v="136918"/>
    <n v="36357465.522440992"/>
    <n v="21053439"/>
    <n v="0"/>
    <n v="1.7269133808705073"/>
  </r>
  <r>
    <x v="14"/>
    <n v="2018"/>
    <n v="4"/>
    <s v="Others"/>
    <n v="90561"/>
    <n v="90026272.83887212"/>
    <n v="21053439"/>
    <n v="0"/>
    <n v="4.2760839613362984"/>
  </r>
  <r>
    <x v="14"/>
    <n v="2019"/>
    <n v="1"/>
    <s v="Peer-to-peer payments"/>
    <n v="5952105"/>
    <n v="12664709652.347084"/>
    <n v="25072619"/>
    <n v="0"/>
    <n v="505.12113043902929"/>
  </r>
  <r>
    <x v="14"/>
    <n v="2019"/>
    <n v="1"/>
    <s v="Recharge &amp; bill payments"/>
    <n v="2347079"/>
    <n v="440323945.05772167"/>
    <n v="25072619"/>
    <n v="0"/>
    <n v="17.561944568204929"/>
  </r>
  <r>
    <x v="14"/>
    <n v="2019"/>
    <n v="1"/>
    <s v="Merchant payments"/>
    <n v="892826"/>
    <n v="391616776.11217976"/>
    <n v="25072619"/>
    <n v="0"/>
    <n v="15.619300724514648"/>
  </r>
  <r>
    <x v="14"/>
    <n v="2019"/>
    <n v="1"/>
    <s v="Financial Services"/>
    <n v="105558"/>
    <n v="47227410.811328642"/>
    <n v="25072619"/>
    <n v="0"/>
    <n v="1.8836249540316727"/>
  </r>
  <r>
    <x v="14"/>
    <n v="2019"/>
    <n v="1"/>
    <s v="Others"/>
    <n v="90140"/>
    <n v="83358664.9497917"/>
    <n v="25072619"/>
    <n v="0"/>
    <n v="3.3246891738669859"/>
  </r>
  <r>
    <x v="14"/>
    <n v="2019"/>
    <n v="2"/>
    <s v="Peer-to-peer payments"/>
    <n v="5155937"/>
    <n v="17044444613.808352"/>
    <n v="28653394"/>
    <n v="164219726"/>
    <n v="594.8490644357297"/>
  </r>
  <r>
    <x v="14"/>
    <n v="2019"/>
    <n v="2"/>
    <s v="Recharge &amp; bill payments"/>
    <n v="2734377"/>
    <n v="562210324.81616569"/>
    <n v="28653394"/>
    <n v="164219726"/>
    <n v="19.621072631610961"/>
  </r>
  <r>
    <x v="14"/>
    <n v="2019"/>
    <n v="2"/>
    <s v="Merchant payments"/>
    <n v="2049311"/>
    <n v="862186711.52171957"/>
    <n v="28653394"/>
    <n v="164219726"/>
    <n v="30.090212402821095"/>
  </r>
  <r>
    <x v="14"/>
    <n v="2019"/>
    <n v="2"/>
    <s v="Financial Services"/>
    <n v="67479"/>
    <n v="51588987.162455112"/>
    <n v="28653394"/>
    <n v="164219726"/>
    <n v="1.8004494393388479"/>
  </r>
  <r>
    <x v="14"/>
    <n v="2019"/>
    <n v="2"/>
    <s v="Others"/>
    <n v="121107"/>
    <n v="102270668.23762833"/>
    <n v="28653394"/>
    <n v="164219726"/>
    <n v="3.5692340054943692"/>
  </r>
  <r>
    <x v="14"/>
    <n v="2019"/>
    <n v="3"/>
    <s v="Peer-to-peer payments"/>
    <n v="5708187"/>
    <n v="19050145624.077984"/>
    <n v="32070621"/>
    <n v="610549060"/>
    <n v="594.00613490078615"/>
  </r>
  <r>
    <x v="14"/>
    <n v="2019"/>
    <n v="3"/>
    <s v="Merchant payments"/>
    <n v="4766457"/>
    <n v="1494546030.8330803"/>
    <n v="32070621"/>
    <n v="610549060"/>
    <n v="46.601717841169346"/>
  </r>
  <r>
    <x v="14"/>
    <n v="2019"/>
    <n v="3"/>
    <s v="Recharge &amp; bill payments"/>
    <n v="3527625"/>
    <n v="754845093.61120129"/>
    <n v="32070621"/>
    <n v="610549060"/>
    <n v="23.536965299524486"/>
  </r>
  <r>
    <x v="14"/>
    <n v="2019"/>
    <n v="3"/>
    <s v="Financial Services"/>
    <n v="103620"/>
    <n v="80276391.647703707"/>
    <n v="32070621"/>
    <n v="610549060"/>
    <n v="2.5031131030391869"/>
  </r>
  <r>
    <x v="14"/>
    <n v="2019"/>
    <n v="3"/>
    <s v="Others"/>
    <n v="114758"/>
    <n v="86160853.189171702"/>
    <n v="32070621"/>
    <n v="610549060"/>
    <n v="2.6865975931420754"/>
  </r>
  <r>
    <x v="14"/>
    <n v="2019"/>
    <n v="4"/>
    <s v="Peer-to-peer payments"/>
    <n v="10301226"/>
    <n v="25360155657.218044"/>
    <n v="36095081"/>
    <n v="771999679"/>
    <n v="702.59312223784855"/>
  </r>
  <r>
    <x v="14"/>
    <n v="2019"/>
    <n v="4"/>
    <s v="Recharge &amp; bill payments"/>
    <n v="4390094"/>
    <n v="966539484.57170832"/>
    <n v="36095081"/>
    <n v="771999679"/>
    <n v="26.777595666614747"/>
  </r>
  <r>
    <x v="14"/>
    <n v="2019"/>
    <n v="4"/>
    <s v="Merchant payments"/>
    <n v="3359590"/>
    <n v="1725990595.6016066"/>
    <n v="36095081"/>
    <n v="771999679"/>
    <n v="47.817889523550498"/>
  </r>
  <r>
    <x v="14"/>
    <n v="2019"/>
    <n v="4"/>
    <s v="Financial Services"/>
    <n v="104630"/>
    <n v="45850806.127185926"/>
    <n v="36095081"/>
    <n v="771999679"/>
    <n v="1.2702785215300092"/>
  </r>
  <r>
    <x v="14"/>
    <n v="2019"/>
    <n v="4"/>
    <s v="Others"/>
    <n v="93078"/>
    <n v="49211833.158572711"/>
    <n v="36095081"/>
    <n v="771999679"/>
    <n v="1.3633944514093959"/>
  </r>
  <r>
    <x v="14"/>
    <n v="2020"/>
    <n v="1"/>
    <s v="Peer-to-peer payments"/>
    <n v="8196850"/>
    <n v="29875044416.372463"/>
    <n v="40165323"/>
    <n v="814161843"/>
    <n v="743.80192128350279"/>
  </r>
  <r>
    <x v="14"/>
    <n v="2020"/>
    <n v="1"/>
    <s v="Recharge &amp; bill payments"/>
    <n v="5454093"/>
    <n v="1358517296.9653778"/>
    <n v="40165323"/>
    <n v="814161843"/>
    <n v="33.823138854513324"/>
  </r>
  <r>
    <x v="14"/>
    <n v="2020"/>
    <n v="1"/>
    <s v="Merchant payments"/>
    <n v="4499942"/>
    <n v="2298726414.6668339"/>
    <n v="40165323"/>
    <n v="814161843"/>
    <n v="57.231617797940622"/>
  </r>
  <r>
    <x v="14"/>
    <n v="2020"/>
    <n v="1"/>
    <s v="Financial Services"/>
    <n v="46483"/>
    <n v="31523887.510064334"/>
    <n v="40165323"/>
    <n v="814161843"/>
    <n v="0.78485333007441105"/>
  </r>
  <r>
    <x v="14"/>
    <n v="2020"/>
    <n v="1"/>
    <s v="Others"/>
    <n v="85345"/>
    <n v="47420137.754062504"/>
    <n v="40165323"/>
    <n v="814161843"/>
    <n v="1.1806238369865096"/>
  </r>
  <r>
    <x v="14"/>
    <n v="2020"/>
    <n v="2"/>
    <s v="Peer-to-peer payments"/>
    <n v="8724053"/>
    <n v="32662370316.521744"/>
    <n v="44671385"/>
    <n v="839732036"/>
    <n v="731.16986000146949"/>
  </r>
  <r>
    <x v="14"/>
    <n v="2020"/>
    <n v="2"/>
    <s v="Recharge &amp; bill payments"/>
    <n v="7538593"/>
    <n v="1987320466.8540502"/>
    <n v="44671385"/>
    <n v="839732036"/>
    <n v="44.48754984547827"/>
  </r>
  <r>
    <x v="14"/>
    <n v="2020"/>
    <n v="2"/>
    <s v="Merchant payments"/>
    <n v="3753633"/>
    <n v="2662438204.2556615"/>
    <n v="44671385"/>
    <n v="839732036"/>
    <n v="59.600529606495556"/>
  </r>
  <r>
    <x v="14"/>
    <n v="2020"/>
    <n v="2"/>
    <s v="Financial Services"/>
    <n v="56553"/>
    <n v="130249402.00867195"/>
    <n v="44671385"/>
    <n v="839732036"/>
    <n v="2.915723387772104"/>
  </r>
  <r>
    <x v="14"/>
    <n v="2020"/>
    <n v="2"/>
    <s v="Others"/>
    <n v="68679"/>
    <n v="43823586.28346999"/>
    <n v="44671385"/>
    <n v="839732036"/>
    <n v="0.98102143650728513"/>
  </r>
  <r>
    <x v="14"/>
    <n v="2020"/>
    <n v="3"/>
    <s v="Peer-to-peer payments"/>
    <n v="11984094"/>
    <n v="43128110246.270493"/>
    <n v="49280297"/>
    <n v="1092506624"/>
    <n v="875.15930040499745"/>
  </r>
  <r>
    <x v="14"/>
    <n v="2020"/>
    <n v="3"/>
    <s v="Merchant payments"/>
    <n v="7728846"/>
    <n v="5163578368.0008011"/>
    <n v="49280297"/>
    <n v="1092506624"/>
    <n v="104.77977370957811"/>
  </r>
  <r>
    <x v="14"/>
    <n v="2020"/>
    <n v="3"/>
    <s v="Recharge &amp; bill payments"/>
    <n v="7211293"/>
    <n v="2217657034.9022017"/>
    <n v="49280297"/>
    <n v="1092506624"/>
    <n v="45.000886153389082"/>
  </r>
  <r>
    <x v="14"/>
    <n v="2020"/>
    <n v="3"/>
    <s v="Financial Services"/>
    <n v="56918"/>
    <n v="63233533.186278537"/>
    <n v="49280297"/>
    <n v="1092506624"/>
    <n v="1.2831402616400331"/>
  </r>
  <r>
    <x v="14"/>
    <n v="2020"/>
    <n v="3"/>
    <s v="Others"/>
    <n v="87322"/>
    <n v="50036637.653871216"/>
    <n v="49280297"/>
    <n v="1092506624"/>
    <n v="1.0153477292125739"/>
  </r>
  <r>
    <x v="14"/>
    <n v="2020"/>
    <n v="4"/>
    <s v="Peer-to-peer payments"/>
    <n v="17120664"/>
    <n v="60733288288.105988"/>
    <n v="54097318"/>
    <n v="1389419185"/>
    <n v="1122.6672695327704"/>
  </r>
  <r>
    <x v="14"/>
    <n v="2020"/>
    <n v="4"/>
    <s v="Merchant payments"/>
    <n v="14168381"/>
    <n v="9347677563.8424549"/>
    <n v="54097318"/>
    <n v="1389419185"/>
    <n v="172.79373376407412"/>
  </r>
  <r>
    <x v="14"/>
    <n v="2020"/>
    <n v="4"/>
    <s v="Recharge &amp; bill payments"/>
    <n v="7945996"/>
    <n v="2582828438.736846"/>
    <n v="54097318"/>
    <n v="1389419185"/>
    <n v="47.744112540604064"/>
  </r>
  <r>
    <x v="14"/>
    <n v="2020"/>
    <n v="4"/>
    <s v="Financial Services"/>
    <n v="60989"/>
    <n v="63947540.001266286"/>
    <n v="54097318"/>
    <n v="1389419185"/>
    <n v="1.1820833705890241"/>
  </r>
  <r>
    <x v="14"/>
    <n v="2020"/>
    <n v="4"/>
    <s v="Others"/>
    <n v="135603"/>
    <n v="77432999.356998235"/>
    <n v="54097318"/>
    <n v="1389419185"/>
    <n v="1.4313648480133199"/>
  </r>
  <r>
    <x v="14"/>
    <n v="2021"/>
    <n v="1"/>
    <s v="Peer-to-peer payments"/>
    <n v="19151083"/>
    <n v="69198235576.727966"/>
    <n v="58443539"/>
    <n v="1559044641"/>
    <n v="1184.0185717830668"/>
  </r>
  <r>
    <x v="14"/>
    <n v="2021"/>
    <n v="1"/>
    <s v="Merchant payments"/>
    <n v="17489113"/>
    <n v="11545580927.24733"/>
    <n v="58443539"/>
    <n v="1559044641"/>
    <n v="197.55102317207945"/>
  </r>
  <r>
    <x v="14"/>
    <n v="2021"/>
    <n v="1"/>
    <s v="Recharge &amp; bill payments"/>
    <n v="7826608"/>
    <n v="2888409672.1323009"/>
    <n v="58443539"/>
    <n v="1559044641"/>
    <n v="49.422223937060018"/>
  </r>
  <r>
    <x v="14"/>
    <n v="2021"/>
    <n v="1"/>
    <s v="Financial Services"/>
    <n v="50526"/>
    <n v="54836609.32711602"/>
    <n v="58443539"/>
    <n v="1559044641"/>
    <n v="0.93828351714149305"/>
  </r>
  <r>
    <x v="14"/>
    <n v="2021"/>
    <n v="1"/>
    <s v="Others"/>
    <n v="104333"/>
    <n v="62290337.704879291"/>
    <n v="58443539"/>
    <n v="1559044641"/>
    <n v="1.0658207694246458"/>
  </r>
  <r>
    <x v="14"/>
    <n v="2021"/>
    <n v="2"/>
    <s v="Peer-to-peer payments"/>
    <n v="24184568"/>
    <n v="86037113965.375977"/>
    <n v="62716533"/>
    <n v="2026575177"/>
    <n v="1371.8410417453397"/>
  </r>
  <r>
    <x v="14"/>
    <n v="2021"/>
    <n v="2"/>
    <s v="Merchant payments"/>
    <n v="19041292"/>
    <n v="14731458451.37311"/>
    <n v="62716533"/>
    <n v="2026575177"/>
    <n v="234.88955378597075"/>
  </r>
  <r>
    <x v="14"/>
    <n v="2021"/>
    <n v="2"/>
    <s v="Recharge &amp; bill payments"/>
    <n v="10583445"/>
    <n v="3531023352.4888778"/>
    <n v="62716533"/>
    <n v="2026575177"/>
    <n v="56.301316153571143"/>
  </r>
  <r>
    <x v="14"/>
    <n v="2021"/>
    <n v="2"/>
    <s v="Financial Services"/>
    <n v="54379"/>
    <n v="57959229.954408787"/>
    <n v="62716533"/>
    <n v="2026575177"/>
    <n v="0.92414594975153974"/>
  </r>
  <r>
    <x v="14"/>
    <n v="2021"/>
    <n v="2"/>
    <s v="Others"/>
    <n v="138461"/>
    <n v="75088312.265589073"/>
    <n v="62716533"/>
    <n v="2026575177"/>
    <n v="1.1972650380018468"/>
  </r>
  <r>
    <x v="14"/>
    <n v="2021"/>
    <n v="3"/>
    <s v="Peer-to-peer payments"/>
    <n v="30113326"/>
    <n v="97742557031.755432"/>
    <n v="67670273"/>
    <n v="2535235978"/>
    <n v="1444.3943063707668"/>
  </r>
  <r>
    <x v="14"/>
    <n v="2021"/>
    <n v="3"/>
    <s v="Merchant payments"/>
    <n v="29687162"/>
    <n v="19954619973.19194"/>
    <n v="67670273"/>
    <n v="2535235978"/>
    <n v="294.88014586836289"/>
  </r>
  <r>
    <x v="14"/>
    <n v="2021"/>
    <n v="3"/>
    <s v="Recharge &amp; bill payments"/>
    <n v="10742405"/>
    <n v="4029136911.757236"/>
    <n v="67670273"/>
    <n v="2535235978"/>
    <n v="59.540721991135399"/>
  </r>
  <r>
    <x v="14"/>
    <n v="2021"/>
    <n v="3"/>
    <s v="Financial Services"/>
    <n v="51289"/>
    <n v="65035270.30823113"/>
    <n v="67670273"/>
    <n v="2535235978"/>
    <n v="0.96106114878879134"/>
  </r>
  <r>
    <x v="14"/>
    <n v="2021"/>
    <n v="3"/>
    <s v="Others"/>
    <n v="201520"/>
    <n v="99665931.840213105"/>
    <n v="67670273"/>
    <n v="2535235978"/>
    <n v="1.4728170498176223"/>
  </r>
  <r>
    <x v="14"/>
    <n v="2021"/>
    <n v="4"/>
    <s v="Merchant payments"/>
    <n v="45007900"/>
    <n v="30397134744.167339"/>
    <n v="72558156"/>
    <n v="3134560099"/>
    <n v="418.93477480556891"/>
  </r>
  <r>
    <x v="14"/>
    <n v="2021"/>
    <n v="4"/>
    <s v="Peer-to-peer payments"/>
    <n v="39476282"/>
    <n v="130461675107.99458"/>
    <n v="72558156"/>
    <n v="3134560099"/>
    <n v="1798.0290886664013"/>
  </r>
  <r>
    <x v="14"/>
    <n v="2021"/>
    <n v="4"/>
    <s v="Recharge &amp; bill payments"/>
    <n v="11173974"/>
    <n v="4920513757.5836105"/>
    <n v="72558156"/>
    <n v="3134560099"/>
    <n v="67.814757552322732"/>
  </r>
  <r>
    <x v="14"/>
    <n v="2021"/>
    <n v="4"/>
    <s v="Financial Services"/>
    <n v="72802"/>
    <n v="82938673.407873422"/>
    <n v="72558156"/>
    <n v="3134560099"/>
    <n v="1.143064790784835"/>
  </r>
  <r>
    <x v="14"/>
    <n v="2021"/>
    <n v="4"/>
    <s v="Others"/>
    <n v="278084"/>
    <n v="154856720.55251962"/>
    <n v="72558156"/>
    <n v="3134560099"/>
    <n v="2.1342427797161716"/>
  </r>
  <r>
    <x v="15"/>
    <n v="2018"/>
    <n v="1"/>
    <s v="Recharge &amp; bill payments"/>
    <n v="5785292"/>
    <n v="1496816541.9710202"/>
    <n v="40895393"/>
    <n v="0"/>
    <n v="36.601104236142696"/>
  </r>
  <r>
    <x v="15"/>
    <n v="2018"/>
    <n v="1"/>
    <s v="Peer-to-peer payments"/>
    <n v="4456528"/>
    <n v="16522277460.174664"/>
    <n v="40895393"/>
    <n v="0"/>
    <n v="404.01317234375676"/>
  </r>
  <r>
    <x v="15"/>
    <n v="2018"/>
    <n v="1"/>
    <s v="Merchant payments"/>
    <n v="1089627"/>
    <n v="696586489.26440835"/>
    <n v="40895393"/>
    <n v="0"/>
    <n v="17.033373154389501"/>
  </r>
  <r>
    <x v="15"/>
    <n v="2018"/>
    <n v="1"/>
    <s v="Financial Services"/>
    <n v="159848"/>
    <n v="52664837.407077998"/>
    <n v="40895393"/>
    <n v="0"/>
    <n v="1.2877938942187936"/>
  </r>
  <r>
    <x v="15"/>
    <n v="2018"/>
    <n v="1"/>
    <s v="Others"/>
    <n v="525604"/>
    <n v="449549985.19633806"/>
    <n v="40895393"/>
    <n v="0"/>
    <n v="10.992680402810606"/>
  </r>
  <r>
    <x v="15"/>
    <n v="2018"/>
    <n v="2"/>
    <s v="Recharge &amp; bill payments"/>
    <n v="7391926"/>
    <n v="2435924808.0540595"/>
    <n v="55337315"/>
    <n v="0"/>
    <n v="44.019569942163969"/>
  </r>
  <r>
    <x v="15"/>
    <n v="2018"/>
    <n v="2"/>
    <s v="Peer-to-peer payments"/>
    <n v="7164836"/>
    <n v="29135024501.319633"/>
    <n v="55337315"/>
    <n v="0"/>
    <n v="526.4987016684787"/>
  </r>
  <r>
    <x v="15"/>
    <n v="2018"/>
    <n v="2"/>
    <s v="Merchant payments"/>
    <n v="1874383"/>
    <n v="1361967204.9193478"/>
    <n v="55337315"/>
    <n v="0"/>
    <n v="24.612094116227862"/>
  </r>
  <r>
    <x v="15"/>
    <n v="2018"/>
    <n v="2"/>
    <s v="Financial Services"/>
    <n v="194363"/>
    <n v="93244737.612266719"/>
    <n v="55337315"/>
    <n v="0"/>
    <n v="1.6850246097460044"/>
  </r>
  <r>
    <x v="15"/>
    <n v="2018"/>
    <n v="2"/>
    <s v="Others"/>
    <n v="490939"/>
    <n v="489418829.39568377"/>
    <n v="55337315"/>
    <n v="0"/>
    <n v="8.8442821881705633"/>
  </r>
  <r>
    <x v="15"/>
    <n v="2018"/>
    <n v="3"/>
    <s v="Peer-to-peer payments"/>
    <n v="12863507"/>
    <n v="42819128165.147179"/>
    <n v="70099139"/>
    <n v="0"/>
    <n v="610.83672033613959"/>
  </r>
  <r>
    <x v="15"/>
    <n v="2018"/>
    <n v="3"/>
    <s v="Recharge &amp; bill payments"/>
    <n v="8674172"/>
    <n v="3019156590.4159379"/>
    <n v="70099139"/>
    <n v="0"/>
    <n v="43.069809893327474"/>
  </r>
  <r>
    <x v="15"/>
    <n v="2018"/>
    <n v="3"/>
    <s v="Merchant payments"/>
    <n v="3638065"/>
    <n v="1879406580.5386481"/>
    <n v="70099139"/>
    <n v="0"/>
    <n v="26.810694216068018"/>
  </r>
  <r>
    <x v="15"/>
    <n v="2018"/>
    <n v="3"/>
    <s v="Financial Services"/>
    <n v="205740"/>
    <n v="50726023.403469488"/>
    <n v="70099139"/>
    <n v="0"/>
    <n v="0.72363261699219283"/>
  </r>
  <r>
    <x v="15"/>
    <n v="2018"/>
    <n v="3"/>
    <s v="Others"/>
    <n v="598777"/>
    <n v="456674396.30284661"/>
    <n v="70099139"/>
    <n v="0"/>
    <n v="6.5146933730933076"/>
  </r>
  <r>
    <x v="15"/>
    <n v="2018"/>
    <n v="4"/>
    <s v="Peer-to-peer payments"/>
    <n v="20471744"/>
    <n v="63575342228.058868"/>
    <n v="91473822"/>
    <n v="0"/>
    <n v="695.01132496747391"/>
  </r>
  <r>
    <x v="15"/>
    <n v="2018"/>
    <n v="4"/>
    <s v="Merchant payments"/>
    <n v="11812478"/>
    <n v="4751317554.8155642"/>
    <n v="91473822"/>
    <n v="0"/>
    <n v="51.941828284113505"/>
  </r>
  <r>
    <x v="15"/>
    <n v="2018"/>
    <n v="4"/>
    <s v="Recharge &amp; bill payments"/>
    <n v="11426205"/>
    <n v="4030978295.062695"/>
    <n v="91473822"/>
    <n v="0"/>
    <n v="44.067015097091875"/>
  </r>
  <r>
    <x v="15"/>
    <n v="2018"/>
    <n v="4"/>
    <s v="Financial Services"/>
    <n v="289353"/>
    <n v="71134704.794164747"/>
    <n v="91473822"/>
    <n v="0"/>
    <n v="0.77765095235842174"/>
  </r>
  <r>
    <x v="15"/>
    <n v="2018"/>
    <n v="4"/>
    <s v="Others"/>
    <n v="812291"/>
    <n v="579613793.33667779"/>
    <n v="91473822"/>
    <n v="0"/>
    <n v="6.3363898070934193"/>
  </r>
  <r>
    <x v="15"/>
    <n v="2019"/>
    <n v="1"/>
    <s v="Peer-to-peer payments"/>
    <n v="44049036"/>
    <n v="104118436760.31566"/>
    <n v="112927914"/>
    <n v="0"/>
    <n v="921.9902597360973"/>
  </r>
  <r>
    <x v="15"/>
    <n v="2019"/>
    <n v="1"/>
    <s v="Merchant payments"/>
    <n v="24491960"/>
    <n v="7076613843.7746344"/>
    <n v="112927914"/>
    <n v="0"/>
    <n v="62.664877027433931"/>
  </r>
  <r>
    <x v="15"/>
    <n v="2019"/>
    <n v="1"/>
    <s v="Recharge &amp; bill payments"/>
    <n v="16981941"/>
    <n v="6217689429.7701712"/>
    <n v="112927914"/>
    <n v="0"/>
    <n v="55.058923958961742"/>
  </r>
  <r>
    <x v="15"/>
    <n v="2019"/>
    <n v="1"/>
    <s v="Financial Services"/>
    <n v="293728"/>
    <n v="51023386.14504391"/>
    <n v="112927914"/>
    <n v="0"/>
    <n v="0.45182262150918601"/>
  </r>
  <r>
    <x v="15"/>
    <n v="2019"/>
    <n v="1"/>
    <s v="Others"/>
    <n v="770944"/>
    <n v="512618725.75178516"/>
    <n v="112927914"/>
    <n v="0"/>
    <n v="4.5393446809952156"/>
  </r>
  <r>
    <x v="15"/>
    <n v="2019"/>
    <n v="2"/>
    <s v="Peer-to-peer payments"/>
    <n v="50033334"/>
    <n v="142910706254.40515"/>
    <n v="131648957"/>
    <n v="1243272921"/>
    <n v="1085.5437787813628"/>
  </r>
  <r>
    <x v="15"/>
    <n v="2019"/>
    <n v="2"/>
    <s v="Merchant payments"/>
    <n v="44848593"/>
    <n v="12338599108.54726"/>
    <n v="131648957"/>
    <n v="1243272921"/>
    <n v="93.72348547012993"/>
  </r>
  <r>
    <x v="15"/>
    <n v="2019"/>
    <n v="2"/>
    <s v="Recharge &amp; bill payments"/>
    <n v="19283028"/>
    <n v="7745156562.5570011"/>
    <n v="131648957"/>
    <n v="1243272921"/>
    <n v="58.831887005052394"/>
  </r>
  <r>
    <x v="15"/>
    <n v="2019"/>
    <n v="2"/>
    <s v="Financial Services"/>
    <n v="140353"/>
    <n v="44871623.829314835"/>
    <n v="131648957"/>
    <n v="1243272921"/>
    <n v="0.34084298768363835"/>
  </r>
  <r>
    <x v="15"/>
    <n v="2019"/>
    <n v="2"/>
    <s v="Others"/>
    <n v="1096296"/>
    <n v="662690676.74555016"/>
    <n v="131648957"/>
    <n v="1243272921"/>
    <n v="5.0337708087239168"/>
  </r>
  <r>
    <x v="15"/>
    <n v="2019"/>
    <n v="3"/>
    <s v="Merchant payments"/>
    <n v="76924325"/>
    <n v="20375791901.516079"/>
    <n v="149985825"/>
    <n v="4902520260"/>
    <n v="135.85145063885923"/>
  </r>
  <r>
    <x v="15"/>
    <n v="2019"/>
    <n v="3"/>
    <s v="Peer-to-peer payments"/>
    <n v="67784880"/>
    <n v="183163325083.02167"/>
    <n v="149985825"/>
    <n v="4902520260"/>
    <n v="1221.2042376872726"/>
  </r>
  <r>
    <x v="15"/>
    <n v="2019"/>
    <n v="3"/>
    <s v="Recharge &amp; bill payments"/>
    <n v="24339891"/>
    <n v="10208179941.827314"/>
    <n v="149985825"/>
    <n v="4902520260"/>
    <n v="68.06096470668021"/>
  </r>
  <r>
    <x v="15"/>
    <n v="2019"/>
    <n v="3"/>
    <s v="Financial Services"/>
    <n v="189716"/>
    <n v="57194690.691376016"/>
    <n v="149985825"/>
    <n v="4902520260"/>
    <n v="0.38133397400305008"/>
  </r>
  <r>
    <x v="15"/>
    <n v="2019"/>
    <n v="3"/>
    <s v="Others"/>
    <n v="1494923"/>
    <n v="732228821.13201594"/>
    <n v="149985825"/>
    <n v="4902520260"/>
    <n v="4.8819868219681153"/>
  </r>
  <r>
    <x v="15"/>
    <n v="2019"/>
    <n v="4"/>
    <s v="Merchant payments"/>
    <n v="114044901"/>
    <n v="31602890835.851074"/>
    <n v="169239576"/>
    <n v="6266423570"/>
    <n v="186.73463726859652"/>
  </r>
  <r>
    <x v="15"/>
    <n v="2019"/>
    <n v="4"/>
    <s v="Peer-to-peer payments"/>
    <n v="93311589"/>
    <n v="250562864352.78363"/>
    <n v="169239576"/>
    <n v="6266423570"/>
    <n v="1480.5216975536716"/>
  </r>
  <r>
    <x v="15"/>
    <n v="2019"/>
    <n v="4"/>
    <s v="Recharge &amp; bill payments"/>
    <n v="28862161"/>
    <n v="12183568521.027195"/>
    <n v="169239576"/>
    <n v="6266423570"/>
    <n v="71.990067624768784"/>
  </r>
  <r>
    <x v="15"/>
    <n v="2019"/>
    <n v="4"/>
    <s v="Financial Services"/>
    <n v="101937"/>
    <n v="51145982.180876769"/>
    <n v="169239576"/>
    <n v="6266423570"/>
    <n v="0.30221053130549541"/>
  </r>
  <r>
    <x v="15"/>
    <n v="2019"/>
    <n v="4"/>
    <s v="Others"/>
    <n v="1475664"/>
    <n v="646673755.38949859"/>
    <n v="169239576"/>
    <n v="6266423570"/>
    <n v="3.8210551614091646"/>
  </r>
  <r>
    <x v="15"/>
    <n v="2020"/>
    <n v="1"/>
    <s v="Merchant payments"/>
    <n v="132970737"/>
    <n v="40374401933.528641"/>
    <n v="187186780"/>
    <n v="6891368396"/>
    <n v="215.69045599015402"/>
  </r>
  <r>
    <x v="15"/>
    <n v="2020"/>
    <n v="1"/>
    <s v="Peer-to-peer payments"/>
    <n v="100868460"/>
    <n v="297635301555.93103"/>
    <n v="187186780"/>
    <n v="6891368396"/>
    <n v="1590.0444548270505"/>
  </r>
  <r>
    <x v="15"/>
    <n v="2020"/>
    <n v="1"/>
    <s v="Recharge &amp; bill payments"/>
    <n v="35854971"/>
    <n v="14724886028.403404"/>
    <n v="187186780"/>
    <n v="6891368396"/>
    <n v="78.66413444583749"/>
  </r>
  <r>
    <x v="15"/>
    <n v="2020"/>
    <n v="1"/>
    <s v="Financial Services"/>
    <n v="93648"/>
    <n v="110130184.7219853"/>
    <n v="187186780"/>
    <n v="6891368396"/>
    <n v="0.58834381745326936"/>
  </r>
  <r>
    <x v="15"/>
    <n v="2020"/>
    <n v="1"/>
    <s v="Others"/>
    <n v="1246074"/>
    <n v="557335296.81274998"/>
    <n v="187186780"/>
    <n v="6891368396"/>
    <n v="2.977428730879125"/>
  </r>
  <r>
    <x v="15"/>
    <n v="2020"/>
    <n v="2"/>
    <s v="Merchant payments"/>
    <n v="87251639"/>
    <n v="38463881234.438202"/>
    <n v="205209026"/>
    <n v="5395610825"/>
    <n v="187.43757028717735"/>
  </r>
  <r>
    <x v="15"/>
    <n v="2020"/>
    <n v="2"/>
    <s v="Peer-to-peer payments"/>
    <n v="82118363"/>
    <n v="265767207470.16788"/>
    <n v="205209026"/>
    <n v="5395610825"/>
    <n v="1295.104862834678"/>
  </r>
  <r>
    <x v="15"/>
    <n v="2020"/>
    <n v="2"/>
    <s v="Recharge &amp; bill payments"/>
    <n v="43290272"/>
    <n v="16434890228.306221"/>
    <n v="205209026"/>
    <n v="5395610825"/>
    <n v="80.088534840110881"/>
  </r>
  <r>
    <x v="15"/>
    <n v="2020"/>
    <n v="2"/>
    <s v="Financial Services"/>
    <n v="161560"/>
    <n v="246367207.0610708"/>
    <n v="205209026"/>
    <n v="5395610825"/>
    <n v="1.2005671088808287"/>
  </r>
  <r>
    <x v="15"/>
    <n v="2020"/>
    <n v="2"/>
    <s v="Others"/>
    <n v="399878"/>
    <n v="192530880.1645686"/>
    <n v="205209026"/>
    <n v="5395610825"/>
    <n v="0.93821838111822919"/>
  </r>
  <r>
    <x v="15"/>
    <n v="2020"/>
    <n v="3"/>
    <s v="Merchant payments"/>
    <n v="137206600"/>
    <n v="60769881812.009583"/>
    <n v="225363050"/>
    <n v="7630515332"/>
    <n v="269.65326308820181"/>
  </r>
  <r>
    <x v="15"/>
    <n v="2020"/>
    <n v="3"/>
    <s v="Peer-to-peer payments"/>
    <n v="119241776"/>
    <n v="390432374828.47931"/>
    <n v="225363050"/>
    <n v="7630515332"/>
    <n v="1732.4595794584752"/>
  </r>
  <r>
    <x v="15"/>
    <n v="2020"/>
    <n v="3"/>
    <s v="Recharge &amp; bill payments"/>
    <n v="43139631"/>
    <n v="18911088810.529343"/>
    <n v="225363050"/>
    <n v="7630515332"/>
    <n v="83.91388388881559"/>
  </r>
  <r>
    <x v="15"/>
    <n v="2020"/>
    <n v="3"/>
    <s v="Financial Services"/>
    <n v="251980"/>
    <n v="358426105.95855761"/>
    <n v="225363050"/>
    <n v="7630515332"/>
    <n v="1.5904386542450397"/>
  </r>
  <r>
    <x v="15"/>
    <n v="2020"/>
    <n v="3"/>
    <s v="Others"/>
    <n v="520544"/>
    <n v="268744139.70489919"/>
    <n v="225363050"/>
    <n v="7630515332"/>
    <n v="1.1924942429777161"/>
  </r>
  <r>
    <x v="15"/>
    <n v="2020"/>
    <n v="4"/>
    <s v="Merchant payments"/>
    <n v="215711211"/>
    <n v="97147239182.964157"/>
    <n v="246402002"/>
    <n v="10290617590"/>
    <n v="394.26318939959003"/>
  </r>
  <r>
    <x v="15"/>
    <n v="2020"/>
    <n v="4"/>
    <s v="Peer-to-peer payments"/>
    <n v="166981242"/>
    <n v="538340957771.56799"/>
    <n v="246402002"/>
    <n v="10290617590"/>
    <n v="2184.8075640699058"/>
  </r>
  <r>
    <x v="15"/>
    <n v="2020"/>
    <n v="4"/>
    <s v="Recharge &amp; bill payments"/>
    <n v="47736461"/>
    <n v="21611671359.120274"/>
    <n v="246402002"/>
    <n v="10290617590"/>
    <n v="87.708992555670363"/>
  </r>
  <r>
    <x v="15"/>
    <n v="2020"/>
    <n v="4"/>
    <s v="Financial Services"/>
    <n v="284700"/>
    <n v="427966918.93005997"/>
    <n v="246402002"/>
    <n v="10290617590"/>
    <n v="1.7368646173989284"/>
  </r>
  <r>
    <x v="15"/>
    <n v="2020"/>
    <n v="4"/>
    <s v="Others"/>
    <n v="823370"/>
    <n v="508863332.4358694"/>
    <n v="246402002"/>
    <n v="10290617590"/>
    <n v="2.065175316375349"/>
  </r>
  <r>
    <x v="15"/>
    <n v="2021"/>
    <n v="1"/>
    <s v="Merchant payments"/>
    <n v="279599017"/>
    <n v="117959690729.6494"/>
    <n v="265054152"/>
    <n v="11934091235"/>
    <n v="445.03996575631606"/>
  </r>
  <r>
    <x v="15"/>
    <n v="2021"/>
    <n v="1"/>
    <s v="Peer-to-peer payments"/>
    <n v="190894164"/>
    <n v="610937002732.09497"/>
    <n v="265054152"/>
    <n v="11934091235"/>
    <n v="2304.9516414747391"/>
  </r>
  <r>
    <x v="15"/>
    <n v="2021"/>
    <n v="1"/>
    <s v="Recharge &amp; bill payments"/>
    <n v="52261651"/>
    <n v="25111731675.64637"/>
    <n v="265054152"/>
    <n v="11934091235"/>
    <n v="94.741891368848925"/>
  </r>
  <r>
    <x v="15"/>
    <n v="2021"/>
    <n v="1"/>
    <s v="Financial Services"/>
    <n v="297710"/>
    <n v="475815041.81600165"/>
    <n v="265054152"/>
    <n v="11934091235"/>
    <n v="1.7951616234859118"/>
  </r>
  <r>
    <x v="15"/>
    <n v="2021"/>
    <n v="1"/>
    <s v="Others"/>
    <n v="744950"/>
    <n v="511117233.18647754"/>
    <n v="265054152"/>
    <n v="11934091235"/>
    <n v="1.9283502232648577"/>
  </r>
  <r>
    <x v="15"/>
    <n v="2021"/>
    <n v="2"/>
    <s v="Merchant payments"/>
    <n v="244460862"/>
    <n v="124624417935.05894"/>
    <n v="283261253"/>
    <n v="11561986854"/>
    <n v="439.96281388707598"/>
  </r>
  <r>
    <x v="15"/>
    <n v="2021"/>
    <n v="2"/>
    <s v="Peer-to-peer payments"/>
    <n v="216539959"/>
    <n v="684035748184.43774"/>
    <n v="283261253"/>
    <n v="11561986854"/>
    <n v="2414.8581598784276"/>
  </r>
  <r>
    <x v="15"/>
    <n v="2021"/>
    <n v="2"/>
    <s v="Recharge &amp; bill payments"/>
    <n v="68599238"/>
    <n v="28272314719.07621"/>
    <n v="283261253"/>
    <n v="11561986854"/>
    <n v="99.810031974532748"/>
  </r>
  <r>
    <x v="15"/>
    <n v="2021"/>
    <n v="2"/>
    <s v="Financial Services"/>
    <n v="304779"/>
    <n v="456933673.98713583"/>
    <n v="283261253"/>
    <n v="11561986854"/>
    <n v="1.6131174636410148"/>
  </r>
  <r>
    <x v="15"/>
    <n v="2021"/>
    <n v="2"/>
    <s v="Others"/>
    <n v="744208"/>
    <n v="497736717.48932767"/>
    <n v="283261253"/>
    <n v="11561986854"/>
    <n v="1.7571648512383289"/>
  </r>
  <r>
    <x v="15"/>
    <n v="2021"/>
    <n v="3"/>
    <s v="Merchant payments"/>
    <n v="391381353"/>
    <n v="190563423840.34485"/>
    <n v="303756431"/>
    <n v="15034591957"/>
    <n v="627.35601420186833"/>
  </r>
  <r>
    <x v="15"/>
    <n v="2021"/>
    <n v="3"/>
    <s v="Peer-to-peer payments"/>
    <n v="288462867"/>
    <n v="908138627418.70117"/>
    <n v="303756431"/>
    <n v="15034591957"/>
    <n v="2989.6935002462587"/>
  </r>
  <r>
    <x v="15"/>
    <n v="2021"/>
    <n v="3"/>
    <s v="Recharge &amp; bill payments"/>
    <n v="72168311"/>
    <n v="33386709060.80711"/>
    <n v="303756431"/>
    <n v="15034591957"/>
    <n v="109.9127644833538"/>
  </r>
  <r>
    <x v="15"/>
    <n v="2021"/>
    <n v="3"/>
    <s v="Financial Services"/>
    <n v="286685"/>
    <n v="508051800.86250389"/>
    <n v="303756431"/>
    <n v="15034591957"/>
    <n v="1.6725631098243443"/>
  </r>
  <r>
    <x v="15"/>
    <n v="2021"/>
    <n v="3"/>
    <s v="Others"/>
    <n v="997323"/>
    <n v="637927036.87372184"/>
    <n v="303756431"/>
    <n v="15034591957"/>
    <n v="2.1001268508903497"/>
  </r>
  <r>
    <x v="15"/>
    <n v="2021"/>
    <n v="4"/>
    <s v="Merchant payments"/>
    <n v="503210623"/>
    <n v="243754536471.1106"/>
    <n v="324056106"/>
    <n v="21357143643"/>
    <n v="752.19856055145772"/>
  </r>
  <r>
    <x v="15"/>
    <n v="2021"/>
    <n v="4"/>
    <s v="Peer-to-peer payments"/>
    <n v="350032663"/>
    <n v="1090951587881.0441"/>
    <n v="324056106"/>
    <n v="21357143643"/>
    <n v="3366.5515559859382"/>
  </r>
  <r>
    <x v="15"/>
    <n v="2021"/>
    <n v="4"/>
    <s v="Recharge &amp; bill payments"/>
    <n v="76826701"/>
    <n v="39294350717.405914"/>
    <n v="324056106"/>
    <n v="21357143643"/>
    <n v="121.25786241906491"/>
  </r>
  <r>
    <x v="15"/>
    <n v="2021"/>
    <n v="4"/>
    <s v="Financial Services"/>
    <n v="365769"/>
    <n v="574240588.18831933"/>
    <n v="324056106"/>
    <n v="21357143643"/>
    <n v="1.7720406360382523"/>
  </r>
  <r>
    <x v="15"/>
    <n v="2021"/>
    <n v="4"/>
    <s v="Others"/>
    <n v="1289682"/>
    <n v="896608692.12449121"/>
    <n v="324056106"/>
    <n v="21357143643"/>
    <n v="2.7668316551470604"/>
  </r>
  <r>
    <x v="16"/>
    <n v="2018"/>
    <n v="1"/>
    <s v="Recharge &amp; bill payments"/>
    <n v="988774"/>
    <n v="157311821.37585658"/>
    <n v="8626024"/>
    <n v="0"/>
    <n v="18.236886585970151"/>
  </r>
  <r>
    <x v="16"/>
    <n v="2018"/>
    <n v="1"/>
    <s v="Peer-to-peer payments"/>
    <n v="600205"/>
    <n v="2107288314.3025222"/>
    <n v="8626024"/>
    <n v="0"/>
    <n v="244.29427906791381"/>
  </r>
  <r>
    <x v="16"/>
    <n v="2018"/>
    <n v="1"/>
    <s v="Merchant payments"/>
    <n v="72164"/>
    <n v="82919383.045711726"/>
    <n v="8626024"/>
    <n v="0"/>
    <n v="9.6127002481921835"/>
  </r>
  <r>
    <x v="16"/>
    <n v="2018"/>
    <n v="1"/>
    <s v="Financial Services"/>
    <n v="40170"/>
    <n v="7957491.9019655827"/>
    <n v="8626024"/>
    <n v="0"/>
    <n v="0.92249823348110127"/>
  </r>
  <r>
    <x v="16"/>
    <n v="2018"/>
    <n v="1"/>
    <s v="Others"/>
    <n v="70067"/>
    <n v="47197742.474449389"/>
    <n v="8626024"/>
    <n v="0"/>
    <n v="5.4715524179447437"/>
  </r>
  <r>
    <x v="16"/>
    <n v="2018"/>
    <n v="2"/>
    <s v="Recharge &amp; bill payments"/>
    <n v="1230869"/>
    <n v="248080143.25702396"/>
    <n v="11732457"/>
    <n v="0"/>
    <n v="21.144773277841459"/>
  </r>
  <r>
    <x v="16"/>
    <n v="2018"/>
    <n v="2"/>
    <s v="Peer-to-peer payments"/>
    <n v="848291"/>
    <n v="3436199589.0773172"/>
    <n v="11732457"/>
    <n v="0"/>
    <n v="292.87979398324813"/>
  </r>
  <r>
    <x v="16"/>
    <n v="2018"/>
    <n v="2"/>
    <s v="Merchant payments"/>
    <n v="131217"/>
    <n v="144501582.04666698"/>
    <n v="11732457"/>
    <n v="0"/>
    <n v="12.316395623411786"/>
  </r>
  <r>
    <x v="16"/>
    <n v="2018"/>
    <n v="2"/>
    <s v="Financial Services"/>
    <n v="41100"/>
    <n v="12355589.343616949"/>
    <n v="11732457"/>
    <n v="0"/>
    <n v="1.0531118369849513"/>
  </r>
  <r>
    <x v="16"/>
    <n v="2018"/>
    <n v="2"/>
    <s v="Others"/>
    <n v="56688"/>
    <n v="45786439.71799916"/>
    <n v="11732457"/>
    <n v="0"/>
    <n v="3.902544856375707"/>
  </r>
  <r>
    <x v="16"/>
    <n v="2018"/>
    <n v="3"/>
    <s v="Peer-to-peer payments"/>
    <n v="1425259"/>
    <n v="4823239268.2797441"/>
    <n v="14823578"/>
    <n v="0"/>
    <n v="325.37618571438986"/>
  </r>
  <r>
    <x v="16"/>
    <n v="2018"/>
    <n v="3"/>
    <s v="Recharge &amp; bill payments"/>
    <n v="1407588"/>
    <n v="296352497.34099543"/>
    <n v="14823578"/>
    <n v="0"/>
    <n v="19.991968021552921"/>
  </r>
  <r>
    <x v="16"/>
    <n v="2018"/>
    <n v="3"/>
    <s v="Merchant payments"/>
    <n v="210974"/>
    <n v="160705488.60235751"/>
    <n v="14823578"/>
    <n v="0"/>
    <n v="10.84120774366064"/>
  </r>
  <r>
    <x v="16"/>
    <n v="2018"/>
    <n v="3"/>
    <s v="Financial Services"/>
    <n v="37286"/>
    <n v="6170643.387882499"/>
    <n v="14823578"/>
    <n v="0"/>
    <n v="0.41627219743320398"/>
  </r>
  <r>
    <x v="16"/>
    <n v="2018"/>
    <n v="3"/>
    <s v="Others"/>
    <n v="53241"/>
    <n v="36557326.264476247"/>
    <n v="14823578"/>
    <n v="0"/>
    <n v="2.4661607517750603"/>
  </r>
  <r>
    <x v="16"/>
    <n v="2018"/>
    <n v="4"/>
    <s v="Peer-to-peer payments"/>
    <n v="2073960"/>
    <n v="6959805154.5702591"/>
    <n v="19330586"/>
    <n v="0"/>
    <n v="360.04108486779757"/>
  </r>
  <r>
    <x v="16"/>
    <n v="2018"/>
    <n v="4"/>
    <s v="Recharge &amp; bill payments"/>
    <n v="1679897"/>
    <n v="351296525.29857576"/>
    <n v="19330586"/>
    <n v="0"/>
    <n v="18.173092388330893"/>
  </r>
  <r>
    <x v="16"/>
    <n v="2018"/>
    <n v="4"/>
    <s v="Merchant payments"/>
    <n v="417114"/>
    <n v="378857199.64904261"/>
    <n v="19330586"/>
    <n v="0"/>
    <n v="19.598847114569761"/>
  </r>
  <r>
    <x v="16"/>
    <n v="2018"/>
    <n v="4"/>
    <s v="Financial Services"/>
    <n v="75084"/>
    <n v="10063656.726067666"/>
    <n v="19330586"/>
    <n v="0"/>
    <n v="0.52060794877442751"/>
  </r>
  <r>
    <x v="16"/>
    <n v="2018"/>
    <n v="4"/>
    <s v="Others"/>
    <n v="64599"/>
    <n v="47338700.568463847"/>
    <n v="19330586"/>
    <n v="0"/>
    <n v="2.4489014750232529"/>
  </r>
  <r>
    <x v="16"/>
    <n v="2019"/>
    <n v="1"/>
    <s v="Peer-to-peer payments"/>
    <n v="3601116"/>
    <n v="9314451112.0858345"/>
    <n v="23502864"/>
    <n v="0"/>
    <n v="396.31132240248826"/>
  </r>
  <r>
    <x v="16"/>
    <n v="2019"/>
    <n v="1"/>
    <s v="Recharge &amp; bill payments"/>
    <n v="2180915"/>
    <n v="498453895.94724298"/>
    <n v="23502864"/>
    <n v="0"/>
    <n v="21.208219387528388"/>
  </r>
  <r>
    <x v="16"/>
    <n v="2019"/>
    <n v="1"/>
    <s v="Merchant payments"/>
    <n v="550707"/>
    <n v="371997848.20066386"/>
    <n v="23502864"/>
    <n v="0"/>
    <n v="15.827766701141778"/>
  </r>
  <r>
    <x v="16"/>
    <n v="2019"/>
    <n v="1"/>
    <s v="Financial Services"/>
    <n v="77652"/>
    <n v="7808573.8983642962"/>
    <n v="23502864"/>
    <n v="0"/>
    <n v="0.33223924958099982"/>
  </r>
  <r>
    <x v="16"/>
    <n v="2019"/>
    <n v="1"/>
    <s v="Others"/>
    <n v="58649"/>
    <n v="42319704.717572376"/>
    <n v="23502864"/>
    <n v="0"/>
    <n v="1.8006190529619019"/>
  </r>
  <r>
    <x v="16"/>
    <n v="2019"/>
    <n v="2"/>
    <s v="Peer-to-peer payments"/>
    <n v="3519528"/>
    <n v="11630623424.131498"/>
    <n v="28051837"/>
    <n v="95405420"/>
    <n v="414.61182824253177"/>
  </r>
  <r>
    <x v="16"/>
    <n v="2019"/>
    <n v="2"/>
    <s v="Recharge &amp; bill payments"/>
    <n v="2711299"/>
    <n v="768892057.79827869"/>
    <n v="28051837"/>
    <n v="95405420"/>
    <n v="27.40968649569291"/>
  </r>
  <r>
    <x v="16"/>
    <n v="2019"/>
    <n v="2"/>
    <s v="Merchant payments"/>
    <n v="937130"/>
    <n v="569545842.99989986"/>
    <n v="28051837"/>
    <n v="95405420"/>
    <n v="20.30333496518962"/>
  </r>
  <r>
    <x v="16"/>
    <n v="2019"/>
    <n v="2"/>
    <s v="Financial Services"/>
    <n v="38869"/>
    <n v="5823291.622642939"/>
    <n v="28051837"/>
    <n v="95405420"/>
    <n v="0.20759038428188994"/>
  </r>
  <r>
    <x v="16"/>
    <n v="2019"/>
    <n v="2"/>
    <s v="Others"/>
    <n v="77000"/>
    <n v="56486944.633225575"/>
    <n v="28051837"/>
    <n v="95405420"/>
    <n v="2.0136629424028656"/>
  </r>
  <r>
    <x v="16"/>
    <n v="2019"/>
    <n v="3"/>
    <s v="Peer-to-peer payments"/>
    <n v="4181954"/>
    <n v="14433990011.320789"/>
    <n v="32900593"/>
    <n v="346188634"/>
    <n v="438.71519310672574"/>
  </r>
  <r>
    <x v="16"/>
    <n v="2019"/>
    <n v="3"/>
    <s v="Recharge &amp; bill payments"/>
    <n v="3431236"/>
    <n v="1051007778.3129579"/>
    <n v="32900593"/>
    <n v="346188634"/>
    <n v="31.94494939081973"/>
  </r>
  <r>
    <x v="16"/>
    <n v="2019"/>
    <n v="3"/>
    <s v="Merchant payments"/>
    <n v="1497029"/>
    <n v="879510566.1106174"/>
    <n v="32900593"/>
    <n v="346188634"/>
    <n v="26.732362122184771"/>
  </r>
  <r>
    <x v="16"/>
    <n v="2019"/>
    <n v="3"/>
    <s v="Financial Services"/>
    <n v="96130"/>
    <n v="8910528.7234105784"/>
    <n v="32900593"/>
    <n v="346188634"/>
    <n v="0.27083185775437479"/>
  </r>
  <r>
    <x v="16"/>
    <n v="2019"/>
    <n v="3"/>
    <s v="Others"/>
    <n v="79747"/>
    <n v="56390837.596709587"/>
    <n v="32900593"/>
    <n v="346188634"/>
    <n v="1.7139763285333363"/>
  </r>
  <r>
    <x v="16"/>
    <n v="2019"/>
    <n v="4"/>
    <s v="Peer-to-peer payments"/>
    <n v="5859068"/>
    <n v="18537483865.445911"/>
    <n v="38543318"/>
    <n v="440506363"/>
    <n v="480.95194776552222"/>
  </r>
  <r>
    <x v="16"/>
    <n v="2019"/>
    <n v="4"/>
    <s v="Recharge &amp; bill payments"/>
    <n v="4097032"/>
    <n v="1287955351.6647906"/>
    <n v="38543318"/>
    <n v="440506363"/>
    <n v="33.415788222093141"/>
  </r>
  <r>
    <x v="16"/>
    <n v="2019"/>
    <n v="4"/>
    <s v="Merchant payments"/>
    <n v="2418428"/>
    <n v="1268704040.100692"/>
    <n v="38543318"/>
    <n v="440506363"/>
    <n v="32.916316132946626"/>
  </r>
  <r>
    <x v="16"/>
    <n v="2019"/>
    <n v="4"/>
    <s v="Financial Services"/>
    <n v="50728"/>
    <n v="10816332.760911917"/>
    <n v="38543318"/>
    <n v="440506363"/>
    <n v="0.28062796152920505"/>
  </r>
  <r>
    <x v="16"/>
    <n v="2019"/>
    <n v="4"/>
    <s v="Others"/>
    <n v="73381"/>
    <n v="46367047.832443342"/>
    <n v="38543318"/>
    <n v="440506363"/>
    <n v="1.2029853743376049"/>
  </r>
  <r>
    <x v="16"/>
    <n v="2020"/>
    <n v="1"/>
    <s v="Peer-to-peer payments"/>
    <n v="6634439"/>
    <n v="22862907701.60516"/>
    <n v="44861476"/>
    <n v="510360378"/>
    <n v="509.63342582854739"/>
  </r>
  <r>
    <x v="16"/>
    <n v="2020"/>
    <n v="1"/>
    <s v="Recharge &amp; bill payments"/>
    <n v="5507580"/>
    <n v="1716538277.3696735"/>
    <n v="44861476"/>
    <n v="510360378"/>
    <n v="38.263080719182611"/>
  </r>
  <r>
    <x v="16"/>
    <n v="2020"/>
    <n v="1"/>
    <s v="Merchant payments"/>
    <n v="3485036"/>
    <n v="1810329140.1843734"/>
    <n v="44861476"/>
    <n v="510360378"/>
    <n v="40.353757869767222"/>
  </r>
  <r>
    <x v="16"/>
    <n v="2020"/>
    <n v="1"/>
    <s v="Financial Services"/>
    <n v="38050"/>
    <n v="17160614.593254916"/>
    <n v="44861476"/>
    <n v="510360378"/>
    <n v="0.3825245204427718"/>
  </r>
  <r>
    <x v="16"/>
    <n v="2020"/>
    <n v="1"/>
    <s v="Others"/>
    <n v="68417"/>
    <n v="44149097.181791566"/>
    <n v="44861476"/>
    <n v="510360378"/>
    <n v="0.98412047748477038"/>
  </r>
  <r>
    <x v="16"/>
    <n v="2020"/>
    <n v="2"/>
    <s v="Recharge &amp; bill payments"/>
    <n v="7709714"/>
    <n v="2452435028.9249372"/>
    <n v="52017284"/>
    <n v="504162483"/>
    <n v="47.146541309710386"/>
  </r>
  <r>
    <x v="16"/>
    <n v="2020"/>
    <n v="2"/>
    <s v="Peer-to-peer payments"/>
    <n v="5603046"/>
    <n v="21309983654.738998"/>
    <n v="52017284"/>
    <n v="504162483"/>
    <n v="409.67120956832343"/>
  </r>
  <r>
    <x v="16"/>
    <n v="2020"/>
    <n v="2"/>
    <s v="Merchant payments"/>
    <n v="2888260"/>
    <n v="2075701451.3627596"/>
    <n v="52017284"/>
    <n v="504162483"/>
    <n v="39.904072103471599"/>
  </r>
  <r>
    <x v="16"/>
    <n v="2020"/>
    <n v="2"/>
    <s v="Financial Services"/>
    <n v="40501"/>
    <n v="32921115.845954426"/>
    <n v="52017284"/>
    <n v="504162483"/>
    <n v="0.63288801941205597"/>
  </r>
  <r>
    <x v="16"/>
    <n v="2020"/>
    <n v="2"/>
    <s v="Others"/>
    <n v="46446"/>
    <n v="23037227.727544237"/>
    <n v="52017284"/>
    <n v="504162483"/>
    <n v="0.44287640484159529"/>
  </r>
  <r>
    <x v="16"/>
    <n v="2020"/>
    <n v="3"/>
    <s v="Peer-to-peer payments"/>
    <n v="8590587"/>
    <n v="33346812213.798676"/>
    <n v="61405300"/>
    <n v="707399242"/>
    <n v="543.06081419354155"/>
  </r>
  <r>
    <x v="16"/>
    <n v="2020"/>
    <n v="3"/>
    <s v="Recharge &amp; bill payments"/>
    <n v="7932950"/>
    <n v="2688361345.204546"/>
    <n v="61405300"/>
    <n v="707399242"/>
    <n v="43.78060762189169"/>
  </r>
  <r>
    <x v="16"/>
    <n v="2020"/>
    <n v="3"/>
    <s v="Merchant payments"/>
    <n v="5065205"/>
    <n v="4016995193.6035366"/>
    <n v="61405300"/>
    <n v="707399242"/>
    <n v="65.417727681544378"/>
  </r>
  <r>
    <x v="16"/>
    <n v="2020"/>
    <n v="3"/>
    <s v="Financial Services"/>
    <n v="94130"/>
    <n v="76828720.824453115"/>
    <n v="61405300"/>
    <n v="707399242"/>
    <n v="1.2511740977481278"/>
  </r>
  <r>
    <x v="16"/>
    <n v="2020"/>
    <n v="3"/>
    <s v="Others"/>
    <n v="75808"/>
    <n v="35153178.522981867"/>
    <n v="61405300"/>
    <n v="707399242"/>
    <n v="0.57247792166118994"/>
  </r>
  <r>
    <x v="16"/>
    <n v="2020"/>
    <n v="4"/>
    <s v="Peer-to-peer payments"/>
    <n v="12941135"/>
    <n v="45686395927.744888"/>
    <n v="70258859"/>
    <n v="1005568003"/>
    <n v="650.25815360515446"/>
  </r>
  <r>
    <x v="16"/>
    <n v="2020"/>
    <n v="4"/>
    <s v="Merchant payments"/>
    <n v="10990709"/>
    <n v="7695667406.7239094"/>
    <n v="70258859"/>
    <n v="1005568003"/>
    <n v="109.53305414088648"/>
  </r>
  <r>
    <x v="16"/>
    <n v="2020"/>
    <n v="4"/>
    <s v="Recharge &amp; bill payments"/>
    <n v="9167428"/>
    <n v="3238199947.5254631"/>
    <n v="70258859"/>
    <n v="1005568003"/>
    <n v="46.089560713268391"/>
  </r>
  <r>
    <x v="16"/>
    <n v="2020"/>
    <n v="4"/>
    <s v="Financial Services"/>
    <n v="73833"/>
    <n v="69202344.440952316"/>
    <n v="70258859"/>
    <n v="1005568003"/>
    <n v="0.98496254317127918"/>
  </r>
  <r>
    <x v="16"/>
    <n v="2020"/>
    <n v="4"/>
    <s v="Others"/>
    <n v="115082"/>
    <n v="65791020.576171741"/>
    <n v="70258859"/>
    <n v="1005568003"/>
    <n v="0.93640889579735054"/>
  </r>
  <r>
    <x v="16"/>
    <n v="2021"/>
    <n v="1"/>
    <s v="Peer-to-peer payments"/>
    <n v="16209203"/>
    <n v="55336812492.746407"/>
    <n v="76306373"/>
    <n v="1198106063"/>
    <n v="725.1925405070217"/>
  </r>
  <r>
    <x v="16"/>
    <n v="2021"/>
    <n v="1"/>
    <s v="Merchant payments"/>
    <n v="16105923"/>
    <n v="10058436408.184261"/>
    <n v="76306373"/>
    <n v="1198106063"/>
    <n v="131.81646581713773"/>
  </r>
  <r>
    <x v="16"/>
    <n v="2021"/>
    <n v="1"/>
    <s v="Recharge &amp; bill payments"/>
    <n v="9837385"/>
    <n v="3732534739.0436296"/>
    <n v="76306373"/>
    <n v="1198106063"/>
    <n v="48.915111442180979"/>
  </r>
  <r>
    <x v="16"/>
    <n v="2021"/>
    <n v="1"/>
    <s v="Financial Services"/>
    <n v="68012"/>
    <n v="69655547.760922477"/>
    <n v="76306373"/>
    <n v="1198106063"/>
    <n v="0.91284050102764647"/>
  </r>
  <r>
    <x v="16"/>
    <n v="2021"/>
    <n v="1"/>
    <s v="Others"/>
    <n v="95819"/>
    <n v="63530974.15939384"/>
    <n v="76306373"/>
    <n v="1198106063"/>
    <n v="0.8325775641229054"/>
  </r>
  <r>
    <x v="16"/>
    <n v="2021"/>
    <n v="2"/>
    <s v="Peer-to-peer payments"/>
    <n v="17026648"/>
    <n v="58152644526.04467"/>
    <n v="81576913"/>
    <n v="965958565"/>
    <n v="712.85664518887438"/>
  </r>
  <r>
    <x v="16"/>
    <n v="2021"/>
    <n v="2"/>
    <s v="Merchant payments"/>
    <n v="16135060"/>
    <n v="11263178335.980885"/>
    <n v="81576913"/>
    <n v="965958565"/>
    <n v="138.06820976396696"/>
  </r>
  <r>
    <x v="16"/>
    <n v="2021"/>
    <n v="2"/>
    <s v="Recharge &amp; bill payments"/>
    <n v="13809151"/>
    <n v="4645548909.798975"/>
    <n v="81576913"/>
    <n v="965958565"/>
    <n v="56.946858356836508"/>
  </r>
  <r>
    <x v="16"/>
    <n v="2021"/>
    <n v="2"/>
    <s v="Financial Services"/>
    <n v="88830"/>
    <n v="88370679.953097641"/>
    <n v="81576913"/>
    <n v="965958565"/>
    <n v="1.0832805104196286"/>
  </r>
  <r>
    <x v="16"/>
    <n v="2021"/>
    <n v="2"/>
    <s v="Others"/>
    <n v="131344"/>
    <n v="77063984.378882825"/>
    <n v="81576913"/>
    <n v="965958565"/>
    <n v="0.94467885023894971"/>
  </r>
  <r>
    <x v="16"/>
    <n v="2021"/>
    <n v="3"/>
    <s v="Merchant payments"/>
    <n v="25402350"/>
    <n v="17877677018.107368"/>
    <n v="87443675"/>
    <n v="1279109887"/>
    <n v="204.44791482182524"/>
  </r>
  <r>
    <x v="16"/>
    <n v="2021"/>
    <n v="3"/>
    <s v="Peer-to-peer payments"/>
    <n v="23378091"/>
    <n v="78598482305.73877"/>
    <n v="87443675"/>
    <n v="1279109887"/>
    <n v="898.84696984360244"/>
  </r>
  <r>
    <x v="16"/>
    <n v="2021"/>
    <n v="3"/>
    <s v="Recharge &amp; bill payments"/>
    <n v="13979407"/>
    <n v="5008396079.4129572"/>
    <n v="87443675"/>
    <n v="1279109887"/>
    <n v="57.275681510560453"/>
  </r>
  <r>
    <x v="16"/>
    <n v="2021"/>
    <n v="3"/>
    <s v="Financial Services"/>
    <n v="85730"/>
    <n v="101460242.2623948"/>
    <n v="87443675"/>
    <n v="1279109887"/>
    <n v="1.1602925227284284"/>
  </r>
  <r>
    <x v="16"/>
    <n v="2021"/>
    <n v="3"/>
    <s v="Others"/>
    <n v="182688"/>
    <n v="100146127.60812962"/>
    <n v="87443675"/>
    <n v="1279109887"/>
    <n v="1.1452643957167814"/>
  </r>
  <r>
    <x v="16"/>
    <n v="2021"/>
    <n v="4"/>
    <s v="Merchant payments"/>
    <n v="38574904"/>
    <n v="24589454633.018272"/>
    <n v="93211910"/>
    <n v="2348971427"/>
    <n v="263.80163900748596"/>
  </r>
  <r>
    <x v="16"/>
    <n v="2021"/>
    <n v="4"/>
    <s v="Peer-to-peer payments"/>
    <n v="29075528"/>
    <n v="92774490034.558441"/>
    <n v="93211910"/>
    <n v="2348971427"/>
    <n v="995.30725241611765"/>
  </r>
  <r>
    <x v="16"/>
    <n v="2021"/>
    <n v="4"/>
    <s v="Recharge &amp; bill payments"/>
    <n v="13781815"/>
    <n v="5689390023.2045517"/>
    <n v="93211910"/>
    <n v="2348971427"/>
    <n v="61.037157410512798"/>
  </r>
  <r>
    <x v="16"/>
    <n v="2021"/>
    <n v="4"/>
    <s v="Financial Services"/>
    <n v="108232"/>
    <n v="128238698.74055986"/>
    <n v="93211910"/>
    <n v="2348971427"/>
    <n v="1.3757758932368178"/>
  </r>
  <r>
    <x v="16"/>
    <n v="2021"/>
    <n v="4"/>
    <s v="Others"/>
    <n v="283262"/>
    <n v="160563553.84187678"/>
    <n v="93211910"/>
    <n v="2348971427"/>
    <n v="1.7225647864299398"/>
  </r>
  <r>
    <x v="17"/>
    <n v="2018"/>
    <n v="1"/>
    <s v="Recharge &amp; bill payments"/>
    <n v="3550"/>
    <n v="927250.71437078179"/>
    <n v="96624"/>
    <n v="0"/>
    <n v="9.5964844590451825"/>
  </r>
  <r>
    <x v="17"/>
    <n v="2018"/>
    <n v="1"/>
    <s v="Peer-to-peer payments"/>
    <n v="1752"/>
    <n v="10767803.999610368"/>
    <n v="96624"/>
    <n v="0"/>
    <n v="111.4402632845915"/>
  </r>
  <r>
    <x v="17"/>
    <n v="2018"/>
    <n v="1"/>
    <s v="Merchant payments"/>
    <n v="320"/>
    <n v="369327.62555241917"/>
    <n v="96624"/>
    <n v="0"/>
    <n v="3.8223177011137932"/>
  </r>
  <r>
    <x v="17"/>
    <n v="2018"/>
    <n v="1"/>
    <s v="Financial Services"/>
    <n v="132"/>
    <n v="274283.17576680594"/>
    <n v="96624"/>
    <n v="0"/>
    <n v="2.8386650911451188"/>
  </r>
  <r>
    <x v="17"/>
    <n v="2018"/>
    <n v="1"/>
    <s v="Others"/>
    <n v="335"/>
    <n v="194192.25581440225"/>
    <n v="96624"/>
    <n v="0"/>
    <n v="2.0097724769664085"/>
  </r>
  <r>
    <x v="17"/>
    <n v="2018"/>
    <n v="2"/>
    <s v="Recharge &amp; bill payments"/>
    <n v="8075"/>
    <n v="2417434.2729015187"/>
    <n v="142098"/>
    <n v="0"/>
    <n v="17.01244403792818"/>
  </r>
  <r>
    <x v="17"/>
    <n v="2018"/>
    <n v="2"/>
    <s v="Peer-to-peer payments"/>
    <n v="5667"/>
    <n v="42638443.119972311"/>
    <n v="142098"/>
    <n v="0"/>
    <n v="300.0636400228878"/>
  </r>
  <r>
    <x v="17"/>
    <n v="2018"/>
    <n v="2"/>
    <s v="Merchant payments"/>
    <n v="724"/>
    <n v="1761366.2964342085"/>
    <n v="142098"/>
    <n v="0"/>
    <n v="12.395433408170478"/>
  </r>
  <r>
    <x v="17"/>
    <n v="2018"/>
    <n v="2"/>
    <s v="Financial Services"/>
    <n v="151"/>
    <n v="127324.6279709443"/>
    <n v="142098"/>
    <n v="0"/>
    <n v="0.89603392004774385"/>
  </r>
  <r>
    <x v="17"/>
    <n v="2018"/>
    <n v="2"/>
    <s v="Others"/>
    <n v="393"/>
    <n v="390334.22046249802"/>
    <n v="142098"/>
    <n v="0"/>
    <n v="2.7469367652078005"/>
  </r>
  <r>
    <x v="17"/>
    <n v="2018"/>
    <n v="3"/>
    <s v="Recharge &amp; bill payments"/>
    <n v="13136"/>
    <n v="4676712.3440451147"/>
    <n v="195239"/>
    <n v="0"/>
    <n v="23.953781488560761"/>
  </r>
  <r>
    <x v="17"/>
    <n v="2018"/>
    <n v="3"/>
    <s v="Peer-to-peer payments"/>
    <n v="10133"/>
    <n v="77085890.573955655"/>
    <n v="195239"/>
    <n v="0"/>
    <n v="394.82834154014137"/>
  </r>
  <r>
    <x v="17"/>
    <n v="2018"/>
    <n v="3"/>
    <s v="Merchant payments"/>
    <n v="1168"/>
    <n v="2016579.2506718007"/>
    <n v="195239"/>
    <n v="0"/>
    <n v="10.328772687177258"/>
  </r>
  <r>
    <x v="17"/>
    <n v="2018"/>
    <n v="3"/>
    <s v="Financial Services"/>
    <n v="84"/>
    <n v="69317.122878721188"/>
    <n v="195239"/>
    <n v="0"/>
    <n v="0.35503727676704544"/>
  </r>
  <r>
    <x v="17"/>
    <n v="2018"/>
    <n v="3"/>
    <s v="Others"/>
    <n v="343"/>
    <n v="242477.8532947429"/>
    <n v="195239"/>
    <n v="0"/>
    <n v="1.2419539809912103"/>
  </r>
  <r>
    <x v="17"/>
    <n v="2018"/>
    <n v="4"/>
    <s v="Recharge &amp; bill payments"/>
    <n v="16650"/>
    <n v="5701932.8954542885"/>
    <n v="262713"/>
    <n v="0"/>
    <n v="21.704037849114009"/>
  </r>
  <r>
    <x v="17"/>
    <n v="2018"/>
    <n v="4"/>
    <s v="Peer-to-peer payments"/>
    <n v="15939"/>
    <n v="123611779.58930421"/>
    <n v="262713"/>
    <n v="0"/>
    <n v="470.52022392993194"/>
  </r>
  <r>
    <x v="17"/>
    <n v="2018"/>
    <n v="4"/>
    <s v="Merchant payments"/>
    <n v="1881"/>
    <n v="5082666.8207582431"/>
    <n v="262713"/>
    <n v="0"/>
    <n v="19.346841689441494"/>
  </r>
  <r>
    <x v="17"/>
    <n v="2018"/>
    <n v="4"/>
    <s v="Financial Services"/>
    <n v="142"/>
    <n v="94604.733918469836"/>
    <n v="262713"/>
    <n v="0"/>
    <n v="0.36010678542161917"/>
  </r>
  <r>
    <x v="17"/>
    <n v="2018"/>
    <n v="4"/>
    <s v="Others"/>
    <n v="599"/>
    <n v="1031858.4532022325"/>
    <n v="262713"/>
    <n v="0"/>
    <n v="3.9277022956695422"/>
  </r>
  <r>
    <x v="17"/>
    <n v="2019"/>
    <n v="1"/>
    <s v="Peer-to-peer payments"/>
    <n v="22076"/>
    <n v="139715922.1887053"/>
    <n v="326139"/>
    <n v="0"/>
    <n v="428.39378972985537"/>
  </r>
  <r>
    <x v="17"/>
    <n v="2019"/>
    <n v="1"/>
    <s v="Recharge &amp; bill payments"/>
    <n v="20014"/>
    <n v="7186109.1822882481"/>
    <n v="326139"/>
    <n v="0"/>
    <n v="22.03388488432309"/>
  </r>
  <r>
    <x v="17"/>
    <n v="2019"/>
    <n v="1"/>
    <s v="Merchant payments"/>
    <n v="3238"/>
    <n v="4967122.4999400275"/>
    <n v="326139"/>
    <n v="0"/>
    <n v="15.230078279322704"/>
  </r>
  <r>
    <x v="17"/>
    <n v="2019"/>
    <n v="1"/>
    <s v="Financial Services"/>
    <n v="114"/>
    <n v="111851.02856430915"/>
    <n v="326139"/>
    <n v="0"/>
    <n v="0.34295508529893437"/>
  </r>
  <r>
    <x v="17"/>
    <n v="2019"/>
    <n v="1"/>
    <s v="Others"/>
    <n v="703"/>
    <n v="878916.04962929944"/>
    <n v="326139"/>
    <n v="0"/>
    <n v="2.6949124441704289"/>
  </r>
  <r>
    <x v="17"/>
    <n v="2019"/>
    <n v="2"/>
    <s v="Peer-to-peer payments"/>
    <n v="34202"/>
    <n v="240305709.92824298"/>
    <n v="390676"/>
    <n v="1730487"/>
    <n v="615.10230965875303"/>
  </r>
  <r>
    <x v="17"/>
    <n v="2019"/>
    <n v="2"/>
    <s v="Recharge &amp; bill payments"/>
    <n v="25357"/>
    <n v="10116773.366134495"/>
    <n v="390676"/>
    <n v="1730487"/>
    <n v="25.895558893135217"/>
  </r>
  <r>
    <x v="17"/>
    <n v="2019"/>
    <n v="2"/>
    <s v="Merchant payments"/>
    <n v="8220"/>
    <n v="7726519.3677582052"/>
    <n v="390676"/>
    <n v="1730487"/>
    <n v="19.777307456199523"/>
  </r>
  <r>
    <x v="17"/>
    <n v="2019"/>
    <n v="2"/>
    <s v="Financial Services"/>
    <n v="86"/>
    <n v="113767.09768193656"/>
    <n v="390676"/>
    <n v="1730487"/>
    <n v="0.29120575024300588"/>
  </r>
  <r>
    <x v="17"/>
    <n v="2019"/>
    <n v="2"/>
    <s v="Others"/>
    <n v="907"/>
    <n v="992737.23760735756"/>
    <n v="390676"/>
    <n v="1730487"/>
    <n v="2.5410755654490105"/>
  </r>
  <r>
    <x v="17"/>
    <n v="2019"/>
    <n v="3"/>
    <s v="Peer-to-peer payments"/>
    <n v="43198"/>
    <n v="303596367.67958534"/>
    <n v="430903"/>
    <n v="5534386"/>
    <n v="704.55849153889699"/>
  </r>
  <r>
    <x v="17"/>
    <n v="2019"/>
    <n v="3"/>
    <s v="Recharge &amp; bill payments"/>
    <n v="41491"/>
    <n v="18054746.121448334"/>
    <n v="430903"/>
    <n v="5534386"/>
    <n v="41.899792114346695"/>
  </r>
  <r>
    <x v="17"/>
    <n v="2019"/>
    <n v="3"/>
    <s v="Merchant payments"/>
    <n v="6963"/>
    <n v="8096082.9712299006"/>
    <n v="430903"/>
    <n v="5534386"/>
    <n v="18.788643781152373"/>
  </r>
  <r>
    <x v="17"/>
    <n v="2019"/>
    <n v="3"/>
    <s v="Financial Services"/>
    <n v="48"/>
    <n v="148633.29469977494"/>
    <n v="430903"/>
    <n v="5534386"/>
    <n v="0.3449344625119225"/>
  </r>
  <r>
    <x v="17"/>
    <n v="2019"/>
    <n v="3"/>
    <s v="Others"/>
    <n v="696"/>
    <n v="1233697.1268589406"/>
    <n v="430903"/>
    <n v="5534386"/>
    <n v="2.8630506792919532"/>
  </r>
  <r>
    <x v="17"/>
    <n v="2019"/>
    <n v="4"/>
    <s v="Peer-to-peer payments"/>
    <n v="42095"/>
    <n v="298044908.50757861"/>
    <n v="474188"/>
    <n v="5174840"/>
    <n v="628.53743348119019"/>
  </r>
  <r>
    <x v="17"/>
    <n v="2019"/>
    <n v="4"/>
    <s v="Recharge &amp; bill payments"/>
    <n v="35467"/>
    <n v="16510212.100753112"/>
    <n v="474188"/>
    <n v="5174840"/>
    <n v="34.817861482688535"/>
  </r>
  <r>
    <x v="17"/>
    <n v="2019"/>
    <n v="4"/>
    <s v="Merchant payments"/>
    <n v="6522"/>
    <n v="8717893.8999293875"/>
    <n v="474188"/>
    <n v="5174840"/>
    <n v="18.38488932644729"/>
  </r>
  <r>
    <x v="17"/>
    <n v="2019"/>
    <n v="4"/>
    <s v="Financial Services"/>
    <n v="46"/>
    <n v="162760.63254625077"/>
    <n v="474188"/>
    <n v="5174840"/>
    <n v="0.34324072424070362"/>
  </r>
  <r>
    <x v="17"/>
    <n v="2019"/>
    <n v="4"/>
    <s v="Others"/>
    <n v="576"/>
    <n v="1253584.887304229"/>
    <n v="474188"/>
    <n v="5174840"/>
    <n v="2.6436453206412414"/>
  </r>
  <r>
    <x v="17"/>
    <n v="2020"/>
    <n v="1"/>
    <s v="Peer-to-peer payments"/>
    <n v="51560"/>
    <n v="339551900.3873952"/>
    <n v="525690"/>
    <n v="6495324"/>
    <n v="645.91660558008562"/>
  </r>
  <r>
    <x v="17"/>
    <n v="2020"/>
    <n v="1"/>
    <s v="Recharge &amp; bill payments"/>
    <n v="49801"/>
    <n v="23010664.720232859"/>
    <n v="525690"/>
    <n v="6495324"/>
    <n v="43.772308242943289"/>
  </r>
  <r>
    <x v="17"/>
    <n v="2020"/>
    <n v="1"/>
    <s v="Merchant payments"/>
    <n v="14264"/>
    <n v="13338124.271892821"/>
    <n v="525690"/>
    <n v="6495324"/>
    <n v="25.372604142922295"/>
  </r>
  <r>
    <x v="17"/>
    <n v="2020"/>
    <n v="1"/>
    <s v="Financial Services"/>
    <n v="204"/>
    <n v="583108.94554837735"/>
    <n v="525690"/>
    <n v="6495324"/>
    <n v="1.109225866096706"/>
  </r>
  <r>
    <x v="17"/>
    <n v="2020"/>
    <n v="1"/>
    <s v="Others"/>
    <n v="590"/>
    <n v="1155879.1206742569"/>
    <n v="525690"/>
    <n v="6495324"/>
    <n v="2.1987846842706862"/>
  </r>
  <r>
    <x v="17"/>
    <n v="2020"/>
    <n v="2"/>
    <s v="Recharge &amp; bill payments"/>
    <n v="70601"/>
    <n v="32087339.266190995"/>
    <n v="583374"/>
    <n v="7652403"/>
    <n v="55.003032816325366"/>
  </r>
  <r>
    <x v="17"/>
    <n v="2020"/>
    <n v="2"/>
    <s v="Peer-to-peer payments"/>
    <n v="68450"/>
    <n v="470749365.09816045"/>
    <n v="583374"/>
    <n v="7652403"/>
    <n v="806.94265616595953"/>
  </r>
  <r>
    <x v="17"/>
    <n v="2020"/>
    <n v="2"/>
    <s v="Merchant payments"/>
    <n v="15132"/>
    <n v="19679330.186414924"/>
    <n v="583374"/>
    <n v="7652403"/>
    <n v="33.733642888464217"/>
  </r>
  <r>
    <x v="17"/>
    <n v="2020"/>
    <n v="2"/>
    <s v="Financial Services"/>
    <n v="337"/>
    <n v="786069.16307688178"/>
    <n v="583374"/>
    <n v="7652403"/>
    <n v="1.3474531999658568"/>
  </r>
  <r>
    <x v="17"/>
    <n v="2020"/>
    <n v="2"/>
    <s v="Others"/>
    <n v="490"/>
    <n v="490894.93818109273"/>
    <n v="583374"/>
    <n v="7652403"/>
    <n v="0.84147551687441113"/>
  </r>
  <r>
    <x v="17"/>
    <n v="2020"/>
    <n v="3"/>
    <s v="Peer-to-peer payments"/>
    <n v="108345"/>
    <n v="751333715.28960311"/>
    <n v="642411"/>
    <n v="11172480"/>
    <n v="1169.5530046801862"/>
  </r>
  <r>
    <x v="17"/>
    <n v="2020"/>
    <n v="3"/>
    <s v="Recharge &amp; bill payments"/>
    <n v="81623"/>
    <n v="40380074.550141789"/>
    <n v="642411"/>
    <n v="11172480"/>
    <n v="62.857072108263694"/>
  </r>
  <r>
    <x v="17"/>
    <n v="2020"/>
    <n v="3"/>
    <s v="Merchant payments"/>
    <n v="36861"/>
    <n v="40538778.756517448"/>
    <n v="642411"/>
    <n v="11172480"/>
    <n v="63.104116767174673"/>
  </r>
  <r>
    <x v="17"/>
    <n v="2020"/>
    <n v="3"/>
    <s v="Financial Services"/>
    <n v="621"/>
    <n v="2334917.7832646337"/>
    <n v="642411"/>
    <n v="11172480"/>
    <n v="3.6346167535497269"/>
  </r>
  <r>
    <x v="17"/>
    <n v="2020"/>
    <n v="3"/>
    <s v="Others"/>
    <n v="772"/>
    <n v="900013.67866625905"/>
    <n v="642411"/>
    <n v="11172480"/>
    <n v="1.4009935674611098"/>
  </r>
  <r>
    <x v="17"/>
    <n v="2020"/>
    <n v="4"/>
    <s v="Peer-to-peer payments"/>
    <n v="151582"/>
    <n v="985814864.34291232"/>
    <n v="713383"/>
    <n v="13560327"/>
    <n v="1381.887239172944"/>
  </r>
  <r>
    <x v="17"/>
    <n v="2020"/>
    <n v="4"/>
    <s v="Recharge &amp; bill payments"/>
    <n v="94133"/>
    <n v="44185250.863645099"/>
    <n v="713383"/>
    <n v="13560327"/>
    <n v="61.937627983348492"/>
  </r>
  <r>
    <x v="17"/>
    <n v="2020"/>
    <n v="4"/>
    <s v="Merchant payments"/>
    <n v="83868"/>
    <n v="77511378.307394445"/>
    <n v="713383"/>
    <n v="13560327"/>
    <n v="108.65324560214421"/>
  </r>
  <r>
    <x v="17"/>
    <n v="2020"/>
    <n v="4"/>
    <s v="Financial Services"/>
    <n v="729"/>
    <n v="1965054.5898611392"/>
    <n v="713383"/>
    <n v="13560327"/>
    <n v="2.75455763574565"/>
  </r>
  <r>
    <x v="17"/>
    <n v="2020"/>
    <n v="4"/>
    <s v="Others"/>
    <n v="1822"/>
    <n v="2486922.4041473325"/>
    <n v="713383"/>
    <n v="13560327"/>
    <n v="3.486097095315325"/>
  </r>
  <r>
    <x v="17"/>
    <n v="2021"/>
    <n v="1"/>
    <s v="Peer-to-peer payments"/>
    <n v="141894"/>
    <n v="869999786.15139341"/>
    <n v="769109"/>
    <n v="13026244"/>
    <n v="1131.1787875988884"/>
  </r>
  <r>
    <x v="17"/>
    <n v="2021"/>
    <n v="1"/>
    <s v="Recharge &amp; bill payments"/>
    <n v="72719"/>
    <n v="35459532.412106298"/>
    <n v="769109"/>
    <n v="13026244"/>
    <n v="46.104690508245639"/>
  </r>
  <r>
    <x v="17"/>
    <n v="2021"/>
    <n v="1"/>
    <s v="Merchant payments"/>
    <n v="58875"/>
    <n v="74977913.472374335"/>
    <n v="769109"/>
    <n v="13026244"/>
    <n v="97.486719661809104"/>
  </r>
  <r>
    <x v="17"/>
    <n v="2021"/>
    <n v="1"/>
    <s v="Financial Services"/>
    <n v="629"/>
    <n v="1455016.1482842809"/>
    <n v="769109"/>
    <n v="13026244"/>
    <n v="1.8918204679496415"/>
  </r>
  <r>
    <x v="17"/>
    <n v="2021"/>
    <n v="1"/>
    <s v="Others"/>
    <n v="1298"/>
    <n v="1527565.0627209258"/>
    <n v="769109"/>
    <n v="13026244"/>
    <n v="1.98614898892215"/>
  </r>
  <r>
    <x v="17"/>
    <n v="2021"/>
    <n v="2"/>
    <s v="Peer-to-peer payments"/>
    <n v="209818"/>
    <n v="1259044412.4358737"/>
    <n v="825528"/>
    <n v="48307952"/>
    <n v="1525.1383507717167"/>
  </r>
  <r>
    <x v="17"/>
    <n v="2021"/>
    <n v="2"/>
    <s v="Recharge &amp; bill payments"/>
    <n v="95458"/>
    <n v="44754721.828153409"/>
    <n v="825528"/>
    <n v="48307952"/>
    <n v="54.213451061809423"/>
  </r>
  <r>
    <x v="17"/>
    <n v="2021"/>
    <n v="2"/>
    <s v="Merchant payments"/>
    <n v="92078"/>
    <n v="119608470.04115529"/>
    <n v="825528"/>
    <n v="48307952"/>
    <n v="144.88723585530144"/>
  </r>
  <r>
    <x v="17"/>
    <n v="2021"/>
    <n v="2"/>
    <s v="Financial Services"/>
    <n v="755"/>
    <n v="1756762.1471181023"/>
    <n v="825528"/>
    <n v="48307952"/>
    <n v="2.12804671327696"/>
  </r>
  <r>
    <x v="17"/>
    <n v="2021"/>
    <n v="2"/>
    <s v="Others"/>
    <n v="1607"/>
    <n v="2094729.0180191218"/>
    <n v="825528"/>
    <n v="48307952"/>
    <n v="2.5374415138179707"/>
  </r>
  <r>
    <x v="17"/>
    <n v="2021"/>
    <n v="3"/>
    <s v="Peer-to-peer payments"/>
    <n v="330919"/>
    <n v="1917311078.1287262"/>
    <n v="893310"/>
    <n v="78095050"/>
    <n v="2146.299804243461"/>
  </r>
  <r>
    <x v="17"/>
    <n v="2021"/>
    <n v="3"/>
    <s v="Merchant payments"/>
    <n v="135108"/>
    <n v="233260756.5088715"/>
    <n v="893310"/>
    <n v="78095050"/>
    <n v="261.11960742505011"/>
  </r>
  <r>
    <x v="17"/>
    <n v="2021"/>
    <n v="3"/>
    <s v="Recharge &amp; bill payments"/>
    <n v="121856"/>
    <n v="58750081.815117203"/>
    <n v="893310"/>
    <n v="78095050"/>
    <n v="65.766734745068575"/>
  </r>
  <r>
    <x v="17"/>
    <n v="2021"/>
    <n v="3"/>
    <s v="Financial Services"/>
    <n v="900"/>
    <n v="1911625.5446910746"/>
    <n v="893310"/>
    <n v="78095050"/>
    <n v="2.1399352349028611"/>
  </r>
  <r>
    <x v="17"/>
    <n v="2021"/>
    <n v="3"/>
    <s v="Others"/>
    <n v="2204"/>
    <n v="2751201.9371823343"/>
    <n v="893310"/>
    <n v="78095050"/>
    <n v="3.0797841031470981"/>
  </r>
  <r>
    <x v="17"/>
    <n v="2021"/>
    <n v="4"/>
    <s v="Peer-to-peer payments"/>
    <n v="337120"/>
    <n v="1804428550.1884875"/>
    <n v="957627"/>
    <n v="29317233"/>
    <n v="1884.2707548852397"/>
  </r>
  <r>
    <x v="17"/>
    <n v="2021"/>
    <n v="4"/>
    <s v="Merchant payments"/>
    <n v="169110"/>
    <n v="284786365.92960173"/>
    <n v="957627"/>
    <n v="29317233"/>
    <n v="297.38756940813255"/>
  </r>
  <r>
    <x v="17"/>
    <n v="2021"/>
    <n v="4"/>
    <s v="Recharge &amp; bill payments"/>
    <n v="120607"/>
    <n v="58403893.472532429"/>
    <n v="957627"/>
    <n v="29317233"/>
    <n v="60.988144102591541"/>
  </r>
  <r>
    <x v="17"/>
    <n v="2021"/>
    <n v="4"/>
    <s v="Financial Services"/>
    <n v="912"/>
    <n v="3068708.9471209948"/>
    <n v="957627"/>
    <n v="29317233"/>
    <n v="3.2044929258688351"/>
  </r>
  <r>
    <x v="17"/>
    <n v="2021"/>
    <n v="4"/>
    <s v="Others"/>
    <n v="2438"/>
    <n v="2847620.2425241945"/>
    <n v="957627"/>
    <n v="29317233"/>
    <n v="2.9736215066243896"/>
  </r>
  <r>
    <x v="18"/>
    <n v="2018"/>
    <n v="1"/>
    <s v="Peer-to-peer payments"/>
    <n v="423"/>
    <n v="1860278.2784597143"/>
    <n v="5511"/>
    <n v="0"/>
    <n v="337.55729966607043"/>
  </r>
  <r>
    <x v="18"/>
    <n v="2018"/>
    <n v="1"/>
    <s v="Recharge &amp; bill payments"/>
    <n v="342"/>
    <n v="61432.049385050741"/>
    <n v="5511"/>
    <n v="0"/>
    <n v="11.147169186182316"/>
  </r>
  <r>
    <x v="18"/>
    <n v="2018"/>
    <n v="1"/>
    <s v="Merchant payments"/>
    <n v="5"/>
    <n v="590.7505138175776"/>
    <n v="5511"/>
    <n v="0"/>
    <n v="0.10719479474098668"/>
  </r>
  <r>
    <x v="18"/>
    <n v="2018"/>
    <n v="1"/>
    <s v="Others"/>
    <n v="8"/>
    <n v="6310.1025191577146"/>
    <n v="5511"/>
    <n v="0"/>
    <n v="1.1450013643908028"/>
  </r>
  <r>
    <x v="18"/>
    <n v="2018"/>
    <n v="2"/>
    <s v="Peer-to-peer payments"/>
    <n v="1315"/>
    <n v="5757123.0799193792"/>
    <n v="7546"/>
    <n v="0"/>
    <n v="762.93706333413456"/>
  </r>
  <r>
    <x v="18"/>
    <n v="2018"/>
    <n v="2"/>
    <s v="Recharge &amp; bill payments"/>
    <n v="750"/>
    <n v="353202.79885100422"/>
    <n v="7546"/>
    <n v="0"/>
    <n v="46.806625874768649"/>
  </r>
  <r>
    <x v="18"/>
    <n v="2018"/>
    <n v="2"/>
    <s v="Merchant payments"/>
    <n v="42"/>
    <n v="64568.477892795563"/>
    <n v="7546"/>
    <n v="0"/>
    <n v="8.5566496014836417"/>
  </r>
  <r>
    <x v="18"/>
    <n v="2018"/>
    <n v="2"/>
    <s v="Financial Services"/>
    <n v="6"/>
    <n v="9134.4132231589938"/>
    <n v="7546"/>
    <n v="0"/>
    <n v="1.2104973791623368"/>
  </r>
  <r>
    <x v="18"/>
    <n v="2018"/>
    <n v="2"/>
    <s v="Others"/>
    <n v="19"/>
    <n v="3780.7695141997474"/>
    <n v="7546"/>
    <n v="0"/>
    <n v="0.501029620222601"/>
  </r>
  <r>
    <x v="18"/>
    <n v="2018"/>
    <n v="3"/>
    <s v="Peer-to-peer payments"/>
    <n v="841"/>
    <n v="3926048.7448830502"/>
    <n v="10098"/>
    <n v="0"/>
    <n v="388.79468656001683"/>
  </r>
  <r>
    <x v="18"/>
    <n v="2018"/>
    <n v="3"/>
    <s v="Recharge &amp; bill payments"/>
    <n v="760"/>
    <n v="300978.32420203416"/>
    <n v="10098"/>
    <n v="0"/>
    <n v="29.805736205390588"/>
  </r>
  <r>
    <x v="18"/>
    <n v="2018"/>
    <n v="3"/>
    <s v="Merchant payments"/>
    <n v="87"/>
    <n v="94046.433330342057"/>
    <n v="10098"/>
    <n v="0"/>
    <n v="9.3133722846446876"/>
  </r>
  <r>
    <x v="18"/>
    <n v="2018"/>
    <n v="3"/>
    <s v="Others"/>
    <n v="15"/>
    <n v="17958.809570422687"/>
    <n v="10098"/>
    <n v="0"/>
    <n v="1.7784521262054553"/>
  </r>
  <r>
    <x v="18"/>
    <n v="2018"/>
    <n v="4"/>
    <s v="Recharge &amp; bill payments"/>
    <n v="792"/>
    <n v="351201.08790004038"/>
    <n v="12716"/>
    <n v="0"/>
    <n v="27.618833587609341"/>
  </r>
  <r>
    <x v="18"/>
    <n v="2018"/>
    <n v="4"/>
    <s v="Peer-to-peer payments"/>
    <n v="689"/>
    <n v="3841230.4308709241"/>
    <n v="12716"/>
    <n v="0"/>
    <n v="302.07851768409279"/>
  </r>
  <r>
    <x v="18"/>
    <n v="2018"/>
    <n v="4"/>
    <s v="Merchant payments"/>
    <n v="144"/>
    <n v="262079.85573632165"/>
    <n v="12716"/>
    <n v="0"/>
    <n v="20.610243452054235"/>
  </r>
  <r>
    <x v="18"/>
    <n v="2018"/>
    <n v="4"/>
    <s v="Financial Services"/>
    <n v="6"/>
    <n v="389.89323239199541"/>
    <n v="12716"/>
    <n v="0"/>
    <n v="3.0661625699276142E-2"/>
  </r>
  <r>
    <x v="18"/>
    <n v="2018"/>
    <n v="4"/>
    <s v="Others"/>
    <n v="11"/>
    <n v="8312.430483153179"/>
    <n v="12716"/>
    <n v="0"/>
    <n v="0.65369852808691242"/>
  </r>
  <r>
    <x v="18"/>
    <n v="2019"/>
    <n v="1"/>
    <s v="Peer-to-peer payments"/>
    <n v="1183"/>
    <n v="8221402.3685369287"/>
    <n v="15576"/>
    <n v="0"/>
    <n v="527.82501082029592"/>
  </r>
  <r>
    <x v="18"/>
    <n v="2019"/>
    <n v="1"/>
    <s v="Recharge &amp; bill payments"/>
    <n v="1173"/>
    <n v="353870.52398354514"/>
    <n v="15576"/>
    <n v="0"/>
    <n v="22.718960194115635"/>
  </r>
  <r>
    <x v="18"/>
    <n v="2019"/>
    <n v="1"/>
    <s v="Merchant payments"/>
    <n v="113"/>
    <n v="183062.14559756211"/>
    <n v="15576"/>
    <n v="0"/>
    <n v="11.752834206314979"/>
  </r>
  <r>
    <x v="18"/>
    <n v="2019"/>
    <n v="1"/>
    <s v="Others"/>
    <n v="12"/>
    <n v="27795.441220958"/>
    <n v="15576"/>
    <n v="0"/>
    <n v="1.7845044440779405"/>
  </r>
  <r>
    <x v="18"/>
    <n v="2019"/>
    <n v="2"/>
    <s v="Recharge &amp; bill payments"/>
    <n v="1448"/>
    <n v="436735.1684614296"/>
    <n v="19217"/>
    <n v="50380"/>
    <n v="22.726500934663559"/>
  </r>
  <r>
    <x v="18"/>
    <n v="2019"/>
    <n v="2"/>
    <s v="Peer-to-peer payments"/>
    <n v="1318"/>
    <n v="8602732.1177881956"/>
    <n v="19217"/>
    <n v="50380"/>
    <n v="447.66259654411175"/>
  </r>
  <r>
    <x v="18"/>
    <n v="2019"/>
    <n v="2"/>
    <s v="Merchant payments"/>
    <n v="137"/>
    <n v="190716.54115617339"/>
    <n v="19217"/>
    <n v="50380"/>
    <n v="9.9243659861671123"/>
  </r>
  <r>
    <x v="18"/>
    <n v="2019"/>
    <n v="2"/>
    <s v="Others"/>
    <n v="23"/>
    <n v="12340.309583089191"/>
    <n v="19217"/>
    <n v="50380"/>
    <n v="0.64215588193210127"/>
  </r>
  <r>
    <x v="18"/>
    <n v="2019"/>
    <n v="3"/>
    <s v="Recharge &amp; bill payments"/>
    <n v="1528"/>
    <n v="503049.24119136349"/>
    <n v="23287"/>
    <n v="165418"/>
    <n v="21.602148889567719"/>
  </r>
  <r>
    <x v="18"/>
    <n v="2019"/>
    <n v="3"/>
    <s v="Peer-to-peer payments"/>
    <n v="1455"/>
    <n v="8923273.8629484456"/>
    <n v="23287"/>
    <n v="165418"/>
    <n v="383.18692244378605"/>
  </r>
  <r>
    <x v="18"/>
    <n v="2019"/>
    <n v="3"/>
    <s v="Merchant payments"/>
    <n v="111"/>
    <n v="215159.68119447335"/>
    <n v="23287"/>
    <n v="165418"/>
    <n v="9.2394761538400552"/>
  </r>
  <r>
    <x v="18"/>
    <n v="2019"/>
    <n v="3"/>
    <s v="Others"/>
    <n v="10"/>
    <n v="10278.678434187355"/>
    <n v="23287"/>
    <n v="165418"/>
    <n v="0.4413912669810347"/>
  </r>
  <r>
    <x v="18"/>
    <n v="2019"/>
    <n v="4"/>
    <s v="Recharge &amp; bill payments"/>
    <n v="1801"/>
    <n v="618155.90046447655"/>
    <n v="26697"/>
    <n v="195360"/>
    <n v="23.154508014551318"/>
  </r>
  <r>
    <x v="18"/>
    <n v="2019"/>
    <n v="4"/>
    <s v="Peer-to-peer payments"/>
    <n v="1753"/>
    <n v="10383413.246670496"/>
    <n v="26697"/>
    <n v="195360"/>
    <n v="388.9355825250214"/>
  </r>
  <r>
    <x v="18"/>
    <n v="2019"/>
    <n v="4"/>
    <s v="Merchant payments"/>
    <n v="188"/>
    <n v="211413.62244321496"/>
    <n v="26697"/>
    <n v="195360"/>
    <n v="7.9190029757356619"/>
  </r>
  <r>
    <x v="18"/>
    <n v="2019"/>
    <n v="4"/>
    <s v="Financial Services"/>
    <n v="2"/>
    <n v="34.397211816256558"/>
    <n v="26697"/>
    <n v="195360"/>
    <n v="1.2884298541505246E-3"/>
  </r>
  <r>
    <x v="18"/>
    <n v="2019"/>
    <n v="4"/>
    <s v="Others"/>
    <n v="21"/>
    <n v="56896.23813384895"/>
    <n v="26697"/>
    <n v="195360"/>
    <n v="2.1311847074146515"/>
  </r>
  <r>
    <x v="18"/>
    <n v="2020"/>
    <n v="1"/>
    <s v="Recharge &amp; bill payments"/>
    <n v="2684"/>
    <n v="789255.26461239986"/>
    <n v="30492"/>
    <n v="241802"/>
    <n v="25.884011039367699"/>
  </r>
  <r>
    <x v="18"/>
    <n v="2020"/>
    <n v="1"/>
    <s v="Peer-to-peer payments"/>
    <n v="2068"/>
    <n v="12463327.261836832"/>
    <n v="30492"/>
    <n v="241802"/>
    <n v="408.74089144158575"/>
  </r>
  <r>
    <x v="18"/>
    <n v="2020"/>
    <n v="1"/>
    <s v="Merchant payments"/>
    <n v="387"/>
    <n v="216594.03077193064"/>
    <n v="30492"/>
    <n v="241802"/>
    <n v="7.1033067943044292"/>
  </r>
  <r>
    <x v="18"/>
    <n v="2020"/>
    <n v="1"/>
    <s v="Others"/>
    <n v="12"/>
    <n v="33192.017283045374"/>
    <n v="30492"/>
    <n v="241802"/>
    <n v="1.0885483826264388"/>
  </r>
  <r>
    <x v="18"/>
    <n v="2020"/>
    <n v="2"/>
    <s v="Recharge &amp; bill payments"/>
    <n v="4497"/>
    <n v="1061694.138574572"/>
    <n v="35057"/>
    <n v="321222"/>
    <n v="30.284797289402174"/>
  </r>
  <r>
    <x v="18"/>
    <n v="2020"/>
    <n v="2"/>
    <s v="Peer-to-peer payments"/>
    <n v="2176"/>
    <n v="14718605.188911092"/>
    <n v="35057"/>
    <n v="321222"/>
    <n v="419.84782465445107"/>
  </r>
  <r>
    <x v="18"/>
    <n v="2020"/>
    <n v="2"/>
    <s v="Merchant payments"/>
    <n v="472"/>
    <n v="971609.45835378231"/>
    <n v="35057"/>
    <n v="321222"/>
    <n v="27.715134163042539"/>
  </r>
  <r>
    <x v="18"/>
    <n v="2020"/>
    <n v="2"/>
    <s v="Financial Services"/>
    <n v="60"/>
    <n v="158593.59701229632"/>
    <n v="35057"/>
    <n v="321222"/>
    <n v="4.5238781701884454"/>
  </r>
  <r>
    <x v="18"/>
    <n v="2020"/>
    <n v="2"/>
    <s v="Others"/>
    <n v="15"/>
    <n v="32419.703092655054"/>
    <n v="35057"/>
    <n v="321222"/>
    <n v="0.92477117530464825"/>
  </r>
  <r>
    <x v="18"/>
    <n v="2020"/>
    <n v="3"/>
    <s v="Recharge &amp; bill payments"/>
    <n v="4696"/>
    <n v="1186947.5538162689"/>
    <n v="40084"/>
    <n v="353408"/>
    <n v="29.611504685567031"/>
  </r>
  <r>
    <x v="18"/>
    <n v="2020"/>
    <n v="3"/>
    <s v="Peer-to-peer payments"/>
    <n v="2946"/>
    <n v="19189391.618742835"/>
    <n v="40084"/>
    <n v="353408"/>
    <n v="478.7294586054993"/>
  </r>
  <r>
    <x v="18"/>
    <n v="2020"/>
    <n v="3"/>
    <s v="Merchant payments"/>
    <n v="903"/>
    <n v="842981.16945136595"/>
    <n v="40084"/>
    <n v="353408"/>
    <n v="21.030365468799669"/>
  </r>
  <r>
    <x v="18"/>
    <n v="2020"/>
    <n v="3"/>
    <s v="Financial Services"/>
    <n v="27"/>
    <n v="45457.50970027798"/>
    <n v="40084"/>
    <n v="353408"/>
    <n v="1.1340562244356347"/>
  </r>
  <r>
    <x v="18"/>
    <n v="2020"/>
    <n v="3"/>
    <s v="Others"/>
    <n v="17"/>
    <n v="42055.45694608544"/>
    <n v="40084"/>
    <n v="353408"/>
    <n v="1.0491831390601098"/>
  </r>
  <r>
    <x v="18"/>
    <n v="2020"/>
    <n v="4"/>
    <s v="Recharge &amp; bill payments"/>
    <n v="5187"/>
    <n v="1499298.1127799235"/>
    <n v="45969"/>
    <n v="452584"/>
    <n v="32.615417189408589"/>
  </r>
  <r>
    <x v="18"/>
    <n v="2020"/>
    <n v="4"/>
    <s v="Peer-to-peer payments"/>
    <n v="4741"/>
    <n v="27284123.245664999"/>
    <n v="45969"/>
    <n v="452584"/>
    <n v="593.53310373653983"/>
  </r>
  <r>
    <x v="18"/>
    <n v="2020"/>
    <n v="4"/>
    <s v="Merchant payments"/>
    <n v="1668"/>
    <n v="1227101.6378793938"/>
    <n v="45969"/>
    <n v="452584"/>
    <n v="26.694112072905519"/>
  </r>
  <r>
    <x v="18"/>
    <n v="2020"/>
    <n v="4"/>
    <s v="Financial Services"/>
    <n v="22"/>
    <n v="13968.753996552699"/>
    <n v="45969"/>
    <n v="452584"/>
    <n v="0.30387334935614652"/>
  </r>
  <r>
    <x v="18"/>
    <n v="2020"/>
    <n v="4"/>
    <s v="Others"/>
    <n v="32"/>
    <n v="86826.166759517757"/>
    <n v="45969"/>
    <n v="452584"/>
    <n v="1.8887982501145937"/>
  </r>
  <r>
    <x v="18"/>
    <n v="2021"/>
    <n v="1"/>
    <s v="Peer-to-peer payments"/>
    <n v="3942"/>
    <n v="24823715.017422147"/>
    <n v="50347"/>
    <n v="520113"/>
    <n v="493.05251588817896"/>
  </r>
  <r>
    <x v="18"/>
    <n v="2021"/>
    <n v="1"/>
    <s v="Recharge &amp; bill payments"/>
    <n v="3541"/>
    <n v="1070209.4218526704"/>
    <n v="50347"/>
    <n v="520113"/>
    <n v="21.256667166915019"/>
  </r>
  <r>
    <x v="18"/>
    <n v="2021"/>
    <n v="1"/>
    <s v="Merchant payments"/>
    <n v="1537"/>
    <n v="1040213.7953898906"/>
    <n v="50347"/>
    <n v="520113"/>
    <n v="20.660889335807308"/>
  </r>
  <r>
    <x v="18"/>
    <n v="2021"/>
    <n v="1"/>
    <s v="Financial Services"/>
    <n v="19"/>
    <n v="15929.095105497145"/>
    <n v="50347"/>
    <n v="520113"/>
    <n v="0.31638618200681562"/>
  </r>
  <r>
    <x v="18"/>
    <n v="2021"/>
    <n v="1"/>
    <s v="Others"/>
    <n v="46"/>
    <n v="92715.584310947204"/>
    <n v="50347"/>
    <n v="520113"/>
    <n v="1.8415314579011104"/>
  </r>
  <r>
    <x v="18"/>
    <n v="2021"/>
    <n v="2"/>
    <s v="Recharge &amp; bill payments"/>
    <n v="5499"/>
    <n v="1745295.8280772951"/>
    <n v="53856"/>
    <n v="443311"/>
    <n v="32.406711008565345"/>
  </r>
  <r>
    <x v="18"/>
    <n v="2021"/>
    <n v="2"/>
    <s v="Peer-to-peer payments"/>
    <n v="4069"/>
    <n v="23996417.493664831"/>
    <n v="53856"/>
    <n v="443311"/>
    <n v="445.56627847713963"/>
  </r>
  <r>
    <x v="18"/>
    <n v="2021"/>
    <n v="2"/>
    <s v="Merchant payments"/>
    <n v="1743"/>
    <n v="1525331.9146529401"/>
    <n v="53856"/>
    <n v="443311"/>
    <n v="28.322413745041224"/>
  </r>
  <r>
    <x v="18"/>
    <n v="2021"/>
    <n v="2"/>
    <s v="Financial Services"/>
    <n v="29"/>
    <n v="15052.018496008179"/>
    <n v="53856"/>
    <n v="443311"/>
    <n v="0.27948638027347333"/>
  </r>
  <r>
    <x v="18"/>
    <n v="2021"/>
    <n v="2"/>
    <s v="Others"/>
    <n v="44"/>
    <n v="101366.40306045809"/>
    <n v="53856"/>
    <n v="443311"/>
    <n v="1.8821747448837287"/>
  </r>
  <r>
    <x v="18"/>
    <n v="2021"/>
    <n v="3"/>
    <s v="Peer-to-peer payments"/>
    <n v="5687"/>
    <n v="34142107.520169854"/>
    <n v="58157"/>
    <n v="540397"/>
    <n v="587.06789415151843"/>
  </r>
  <r>
    <x v="18"/>
    <n v="2021"/>
    <n v="3"/>
    <s v="Recharge &amp; bill payments"/>
    <n v="5153"/>
    <n v="1700287.4734963956"/>
    <n v="58157"/>
    <n v="540397"/>
    <n v="29.236162001072884"/>
  </r>
  <r>
    <x v="18"/>
    <n v="2021"/>
    <n v="3"/>
    <s v="Merchant payments"/>
    <n v="2450"/>
    <n v="2750367.0630282219"/>
    <n v="58157"/>
    <n v="540397"/>
    <n v="47.292106935162096"/>
  </r>
  <r>
    <x v="18"/>
    <n v="2021"/>
    <n v="3"/>
    <s v="Financial Services"/>
    <n v="48"/>
    <n v="137227.35390598275"/>
    <n v="58157"/>
    <n v="540397"/>
    <n v="2.3596016628433851"/>
  </r>
  <r>
    <x v="18"/>
    <n v="2021"/>
    <n v="3"/>
    <s v="Others"/>
    <n v="32"/>
    <n v="73174.288167687686"/>
    <n v="58157"/>
    <n v="540397"/>
    <n v="1.2582197872601353"/>
  </r>
  <r>
    <x v="18"/>
    <n v="2021"/>
    <n v="4"/>
    <s v="Peer-to-peer payments"/>
    <n v="7154"/>
    <n v="44696668.861207649"/>
    <n v="62018"/>
    <n v="740520"/>
    <n v="720.70477701969833"/>
  </r>
  <r>
    <x v="18"/>
    <n v="2021"/>
    <n v="4"/>
    <s v="Recharge &amp; bill payments"/>
    <n v="5355"/>
    <n v="2093901.2918026838"/>
    <n v="62018"/>
    <n v="740520"/>
    <n v="33.762799377643326"/>
  </r>
  <r>
    <x v="18"/>
    <n v="2021"/>
    <n v="4"/>
    <s v="Merchant payments"/>
    <n v="2872"/>
    <n v="4071239.0874364958"/>
    <n v="62018"/>
    <n v="740520"/>
    <n v="65.646088029870299"/>
  </r>
  <r>
    <x v="18"/>
    <n v="2021"/>
    <n v="4"/>
    <s v="Financial Services"/>
    <n v="27"/>
    <n v="19994.541946360278"/>
    <n v="62018"/>
    <n v="740520"/>
    <n v="0.32239901232481338"/>
  </r>
  <r>
    <x v="18"/>
    <n v="2021"/>
    <n v="4"/>
    <s v="Others"/>
    <n v="62"/>
    <n v="116381.74598782149"/>
    <n v="62018"/>
    <n v="740520"/>
    <n v="1.8765801217037228"/>
  </r>
  <r>
    <x v="19"/>
    <n v="2018"/>
    <n v="1"/>
    <s v="Recharge &amp; bill payments"/>
    <n v="4404190"/>
    <n v="667057311.45603716"/>
    <n v="28089633"/>
    <n v="0"/>
    <n v="23.747455563269096"/>
  </r>
  <r>
    <x v="19"/>
    <n v="2018"/>
    <n v="1"/>
    <s v="Peer-to-peer payments"/>
    <n v="2848290"/>
    <n v="7590790588.5519028"/>
    <n v="28089633"/>
    <n v="0"/>
    <n v="270.23459468309545"/>
  </r>
  <r>
    <x v="19"/>
    <n v="2018"/>
    <n v="1"/>
    <s v="Financial Services"/>
    <n v="230519"/>
    <n v="43374288.983730227"/>
    <n v="28089633"/>
    <n v="0"/>
    <n v="1.54413868574681"/>
  </r>
  <r>
    <x v="19"/>
    <n v="2018"/>
    <n v="1"/>
    <s v="Merchant payments"/>
    <n v="196394"/>
    <n v="170119673.71275404"/>
    <n v="28089633"/>
    <n v="0"/>
    <n v="6.0563152858833735"/>
  </r>
  <r>
    <x v="19"/>
    <n v="2018"/>
    <n v="1"/>
    <s v="Others"/>
    <n v="346002"/>
    <n v="210261540.74149579"/>
    <n v="28089633"/>
    <n v="0"/>
    <n v="7.4853787068523037"/>
  </r>
  <r>
    <x v="19"/>
    <n v="2018"/>
    <n v="2"/>
    <s v="Recharge &amp; bill payments"/>
    <n v="5324535"/>
    <n v="1132090445.8903365"/>
    <n v="37858282"/>
    <n v="0"/>
    <n v="29.90337611966482"/>
  </r>
  <r>
    <x v="19"/>
    <n v="2018"/>
    <n v="2"/>
    <s v="Peer-to-peer payments"/>
    <n v="4269392"/>
    <n v="14155603482.492638"/>
    <n v="37858282"/>
    <n v="0"/>
    <n v="373.9103502502474"/>
  </r>
  <r>
    <x v="19"/>
    <n v="2018"/>
    <n v="2"/>
    <s v="Merchant payments"/>
    <n v="397135"/>
    <n v="339308203.17074043"/>
    <n v="37858282"/>
    <n v="0"/>
    <n v="8.9625885076015983"/>
  </r>
  <r>
    <x v="19"/>
    <n v="2018"/>
    <n v="2"/>
    <s v="Financial Services"/>
    <n v="305553"/>
    <n v="53860331.805742756"/>
    <n v="37858282"/>
    <n v="0"/>
    <n v="1.422682936477222"/>
  </r>
  <r>
    <x v="19"/>
    <n v="2018"/>
    <n v="2"/>
    <s v="Others"/>
    <n v="264797"/>
    <n v="243218603.31985626"/>
    <n v="37858282"/>
    <n v="0"/>
    <n v="6.4244490365372693"/>
  </r>
  <r>
    <x v="19"/>
    <n v="2018"/>
    <n v="3"/>
    <s v="Peer-to-peer payments"/>
    <n v="9988509"/>
    <n v="22057686208.544342"/>
    <n v="47402399"/>
    <n v="0"/>
    <n v="465.32847859755668"/>
  </r>
  <r>
    <x v="19"/>
    <n v="2018"/>
    <n v="3"/>
    <s v="Recharge &amp; bill payments"/>
    <n v="5733261"/>
    <n v="1367773856.6756551"/>
    <n v="47402399"/>
    <n v="0"/>
    <n v="28.854528157438931"/>
  </r>
  <r>
    <x v="19"/>
    <n v="2018"/>
    <n v="3"/>
    <s v="Merchant payments"/>
    <n v="784995"/>
    <n v="465390819.59013355"/>
    <n v="47402399"/>
    <n v="0"/>
    <n v="9.8178748208531292"/>
  </r>
  <r>
    <x v="19"/>
    <n v="2018"/>
    <n v="3"/>
    <s v="Financial Services"/>
    <n v="359440"/>
    <n v="46120458.63885434"/>
    <n v="47402399"/>
    <n v="0"/>
    <n v="0.97295621343667316"/>
  </r>
  <r>
    <x v="19"/>
    <n v="2018"/>
    <n v="3"/>
    <s v="Others"/>
    <n v="260780"/>
    <n v="212770861.22341695"/>
    <n v="47402399"/>
    <n v="0"/>
    <n v="4.4886095579976226"/>
  </r>
  <r>
    <x v="19"/>
    <n v="2018"/>
    <n v="4"/>
    <s v="Peer-to-peer payments"/>
    <n v="11456555"/>
    <n v="30897348664.905441"/>
    <n v="59019862"/>
    <n v="0"/>
    <n v="523.50763993493308"/>
  </r>
  <r>
    <x v="19"/>
    <n v="2018"/>
    <n v="4"/>
    <s v="Recharge &amp; bill payments"/>
    <n v="7273502"/>
    <n v="1669345516.9413681"/>
    <n v="59019862"/>
    <n v="0"/>
    <n v="28.284470013524736"/>
  </r>
  <r>
    <x v="19"/>
    <n v="2018"/>
    <n v="4"/>
    <s v="Merchant payments"/>
    <n v="2056426"/>
    <n v="1036249753.9278035"/>
    <n v="59019862"/>
    <n v="0"/>
    <n v="17.557644474461895"/>
  </r>
  <r>
    <x v="19"/>
    <n v="2018"/>
    <n v="4"/>
    <s v="Financial Services"/>
    <n v="313540"/>
    <n v="43367243.154430926"/>
    <n v="59019862"/>
    <n v="0"/>
    <n v="0.73479065665099197"/>
  </r>
  <r>
    <x v="19"/>
    <n v="2018"/>
    <n v="4"/>
    <s v="Others"/>
    <n v="297532"/>
    <n v="259296894.03827757"/>
    <n v="59019862"/>
    <n v="0"/>
    <n v="4.3933836042903245"/>
  </r>
  <r>
    <x v="19"/>
    <n v="2019"/>
    <n v="1"/>
    <s v="Peer-to-peer payments"/>
    <n v="23708825"/>
    <n v="44114206183.091858"/>
    <n v="70558433"/>
    <n v="0"/>
    <n v="625.21521960517259"/>
  </r>
  <r>
    <x v="19"/>
    <n v="2019"/>
    <n v="1"/>
    <s v="Recharge &amp; bill payments"/>
    <n v="9966905"/>
    <n v="2423593841.7161422"/>
    <n v="70558433"/>
    <n v="0"/>
    <n v="34.348748103804148"/>
  </r>
  <r>
    <x v="19"/>
    <n v="2019"/>
    <n v="1"/>
    <s v="Merchant payments"/>
    <n v="3018928"/>
    <n v="1263699222.3501081"/>
    <n v="70558433"/>
    <n v="0"/>
    <n v="17.909967223196528"/>
  </r>
  <r>
    <x v="19"/>
    <n v="2019"/>
    <n v="1"/>
    <s v="Financial Services"/>
    <n v="290838"/>
    <n v="28901169.292499043"/>
    <n v="70558433"/>
    <n v="0"/>
    <n v="0.40960616702611641"/>
  </r>
  <r>
    <x v="19"/>
    <n v="2019"/>
    <n v="1"/>
    <s v="Others"/>
    <n v="315553"/>
    <n v="239879105.59723681"/>
    <n v="70558433"/>
    <n v="0"/>
    <n v="3.3997226893805426"/>
  </r>
  <r>
    <x v="19"/>
    <n v="2019"/>
    <n v="2"/>
    <s v="Peer-to-peer payments"/>
    <n v="20868744"/>
    <n v="61758841793.876663"/>
    <n v="80312892"/>
    <n v="557063661"/>
    <n v="768.97793437542589"/>
  </r>
  <r>
    <x v="19"/>
    <n v="2019"/>
    <n v="2"/>
    <s v="Recharge &amp; bill payments"/>
    <n v="12044969"/>
    <n v="3571897178.3031011"/>
    <n v="80312892"/>
    <n v="557063661"/>
    <n v="44.474767242886749"/>
  </r>
  <r>
    <x v="19"/>
    <n v="2019"/>
    <n v="2"/>
    <s v="Merchant payments"/>
    <n v="7331352"/>
    <n v="2671155681.4491549"/>
    <n v="80312892"/>
    <n v="557063661"/>
    <n v="33.259363657943666"/>
  </r>
  <r>
    <x v="19"/>
    <n v="2019"/>
    <n v="2"/>
    <s v="Financial Services"/>
    <n v="149197"/>
    <n v="18869661.513485767"/>
    <n v="80312892"/>
    <n v="557063661"/>
    <n v="0.23495183704112868"/>
  </r>
  <r>
    <x v="19"/>
    <n v="2019"/>
    <n v="2"/>
    <s v="Others"/>
    <n v="451751"/>
    <n v="313802065.4154737"/>
    <n v="80312892"/>
    <n v="557063661"/>
    <n v="3.9072440003215636"/>
  </r>
  <r>
    <x v="19"/>
    <n v="2019"/>
    <n v="3"/>
    <s v="Peer-to-peer payments"/>
    <n v="22631038"/>
    <n v="67648107703.035698"/>
    <n v="89987304"/>
    <n v="2115887180"/>
    <n v="751.75168824966352"/>
  </r>
  <r>
    <x v="19"/>
    <n v="2019"/>
    <n v="3"/>
    <s v="Merchant payments"/>
    <n v="17163551"/>
    <n v="5147459307.1017418"/>
    <n v="89987304"/>
    <n v="2115887180"/>
    <n v="57.202061605287582"/>
  </r>
  <r>
    <x v="19"/>
    <n v="2019"/>
    <n v="3"/>
    <s v="Recharge &amp; bill payments"/>
    <n v="13156616"/>
    <n v="4576521609.4608335"/>
    <n v="89987304"/>
    <n v="2115887180"/>
    <n v="50.857414391043804"/>
  </r>
  <r>
    <x v="19"/>
    <n v="2019"/>
    <n v="3"/>
    <s v="Financial Services"/>
    <n v="192821"/>
    <n v="25654168.600921322"/>
    <n v="89987304"/>
    <n v="2115887180"/>
    <n v="0.28508653399507694"/>
  </r>
  <r>
    <x v="19"/>
    <n v="2019"/>
    <n v="3"/>
    <s v="Others"/>
    <n v="466385"/>
    <n v="278578703.04411173"/>
    <n v="89987304"/>
    <n v="2115887180"/>
    <n v="3.0957556306399816"/>
  </r>
  <r>
    <x v="19"/>
    <n v="2019"/>
    <n v="4"/>
    <s v="Peer-to-peer payments"/>
    <n v="32083162"/>
    <n v="92064471161.989197"/>
    <n v="100817651"/>
    <n v="2616294736"/>
    <n v="913.17810173924011"/>
  </r>
  <r>
    <x v="19"/>
    <n v="2019"/>
    <n v="4"/>
    <s v="Merchant payments"/>
    <n v="19447707"/>
    <n v="7304157801.6129351"/>
    <n v="100817651"/>
    <n v="2616294736"/>
    <n v="72.449196436970496"/>
  </r>
  <r>
    <x v="19"/>
    <n v="2019"/>
    <n v="4"/>
    <s v="Recharge &amp; bill payments"/>
    <n v="16081734"/>
    <n v="5104821720.9990158"/>
    <n v="100817651"/>
    <n v="2616294736"/>
    <n v="50.634206117329754"/>
  </r>
  <r>
    <x v="19"/>
    <n v="2019"/>
    <n v="4"/>
    <s v="Financial Services"/>
    <n v="127116"/>
    <n v="24020060.932133198"/>
    <n v="100817651"/>
    <n v="2616294736"/>
    <n v="0.23825253508567856"/>
  </r>
  <r>
    <x v="19"/>
    <n v="2019"/>
    <n v="4"/>
    <s v="Others"/>
    <n v="392270"/>
    <n v="190456045.32494444"/>
    <n v="100817651"/>
    <n v="2616294736"/>
    <n v="1.8891140929770764"/>
  </r>
  <r>
    <x v="19"/>
    <n v="2020"/>
    <n v="1"/>
    <s v="Peer-to-peer payments"/>
    <n v="34540722"/>
    <n v="110325991607.38477"/>
    <n v="111665081"/>
    <n v="2886977280"/>
    <n v="988.00798440637652"/>
  </r>
  <r>
    <x v="19"/>
    <n v="2020"/>
    <n v="1"/>
    <s v="Merchant payments"/>
    <n v="24618074"/>
    <n v="9898242848.2579308"/>
    <n v="111665081"/>
    <n v="2886977280"/>
    <n v="88.642239450468239"/>
  </r>
  <r>
    <x v="19"/>
    <n v="2020"/>
    <n v="1"/>
    <s v="Recharge &amp; bill payments"/>
    <n v="19788516"/>
    <n v="6311610609.8462248"/>
    <n v="111665081"/>
    <n v="2886977280"/>
    <n v="56.522688680503663"/>
  </r>
  <r>
    <x v="19"/>
    <n v="2020"/>
    <n v="1"/>
    <s v="Financial Services"/>
    <n v="68055"/>
    <n v="30645714.401902914"/>
    <n v="111665081"/>
    <n v="2886977280"/>
    <n v="0.27444313054233055"/>
  </r>
  <r>
    <x v="19"/>
    <n v="2020"/>
    <n v="1"/>
    <s v="Others"/>
    <n v="351379"/>
    <n v="170790656.30339786"/>
    <n v="111665081"/>
    <n v="2886977280"/>
    <n v="1.5294902826730397"/>
  </r>
  <r>
    <x v="19"/>
    <n v="2020"/>
    <n v="2"/>
    <s v="Peer-to-peer payments"/>
    <n v="34860958"/>
    <n v="128184693854.7977"/>
    <n v="125118653"/>
    <n v="2791470484"/>
    <n v="1024.5050660415734"/>
  </r>
  <r>
    <x v="19"/>
    <n v="2020"/>
    <n v="2"/>
    <s v="Recharge &amp; bill payments"/>
    <n v="27497528"/>
    <n v="8904067957.0121193"/>
    <n v="125118653"/>
    <n v="2791470484"/>
    <n v="71.164992137600137"/>
  </r>
  <r>
    <x v="19"/>
    <n v="2020"/>
    <n v="2"/>
    <s v="Merchant payments"/>
    <n v="13685723"/>
    <n v="10666223053.634727"/>
    <n v="125118653"/>
    <n v="2791470484"/>
    <n v="85.248864161243233"/>
  </r>
  <r>
    <x v="19"/>
    <n v="2020"/>
    <n v="2"/>
    <s v="Financial Services"/>
    <n v="80988"/>
    <n v="62073621.443515137"/>
    <n v="125118653"/>
    <n v="2791470484"/>
    <n v="0.49611804439354967"/>
  </r>
  <r>
    <x v="19"/>
    <n v="2020"/>
    <n v="2"/>
    <s v="Others"/>
    <n v="215376"/>
    <n v="104956802.17437972"/>
    <n v="125118653"/>
    <n v="2791470484"/>
    <n v="0.83885815310351619"/>
  </r>
  <r>
    <x v="19"/>
    <n v="2020"/>
    <n v="3"/>
    <s v="Peer-to-peer payments"/>
    <n v="50871564"/>
    <n v="174978985034.2865"/>
    <n v="138206464"/>
    <n v="3573360934"/>
    <n v="1266.0694729465513"/>
  </r>
  <r>
    <x v="19"/>
    <n v="2020"/>
    <n v="3"/>
    <s v="Merchant payments"/>
    <n v="31879804"/>
    <n v="20621273981.65966"/>
    <n v="138206464"/>
    <n v="3573360934"/>
    <n v="149.20629169457413"/>
  </r>
  <r>
    <x v="19"/>
    <n v="2020"/>
    <n v="3"/>
    <s v="Recharge &amp; bill payments"/>
    <n v="25380467"/>
    <n v="9834190567.2055168"/>
    <n v="138206464"/>
    <n v="3573360934"/>
    <n v="71.155793170466453"/>
  </r>
  <r>
    <x v="19"/>
    <n v="2020"/>
    <n v="3"/>
    <s v="Financial Services"/>
    <n v="131725"/>
    <n v="122971108.07060198"/>
    <n v="138206464"/>
    <n v="3573360934"/>
    <n v="0.88976379621869195"/>
  </r>
  <r>
    <x v="19"/>
    <n v="2020"/>
    <n v="3"/>
    <s v="Others"/>
    <n v="316321"/>
    <n v="144259293.31583393"/>
    <n v="138206464"/>
    <n v="3573360934"/>
    <n v="1.043795558765138"/>
  </r>
  <r>
    <x v="19"/>
    <n v="2020"/>
    <n v="4"/>
    <s v="Peer-to-peer payments"/>
    <n v="67972167"/>
    <n v="235584201864.22342"/>
    <n v="151117417"/>
    <n v="4461285906"/>
    <n v="1558.9480454408733"/>
  </r>
  <r>
    <x v="19"/>
    <n v="2020"/>
    <n v="4"/>
    <s v="Merchant payments"/>
    <n v="57707471"/>
    <n v="37315576877.145691"/>
    <n v="151117417"/>
    <n v="4461285906"/>
    <n v="246.93101310185637"/>
  </r>
  <r>
    <x v="19"/>
    <n v="2020"/>
    <n v="4"/>
    <s v="Recharge &amp; bill payments"/>
    <n v="27335834"/>
    <n v="10977774483.325565"/>
    <n v="151117417"/>
    <n v="4461285906"/>
    <n v="72.64400557697175"/>
  </r>
  <r>
    <x v="19"/>
    <n v="2020"/>
    <n v="4"/>
    <s v="Financial Services"/>
    <n v="149532"/>
    <n v="132590450.07074244"/>
    <n v="151117417"/>
    <n v="4461285906"/>
    <n v="0.87740018789986629"/>
  </r>
  <r>
    <x v="19"/>
    <n v="2020"/>
    <n v="4"/>
    <s v="Others"/>
    <n v="487537"/>
    <n v="264996097.6059612"/>
    <n v="151117417"/>
    <n v="4461285906"/>
    <n v="1.7535774688761467"/>
  </r>
  <r>
    <x v="19"/>
    <n v="2021"/>
    <n v="1"/>
    <s v="Merchant payments"/>
    <n v="84812245"/>
    <n v="50098244499.506622"/>
    <n v="163233697"/>
    <n v="5307503036"/>
    <n v="306.91116736458298"/>
  </r>
  <r>
    <x v="19"/>
    <n v="2021"/>
    <n v="1"/>
    <s v="Peer-to-peer payments"/>
    <n v="84070625"/>
    <n v="279938170703.81708"/>
    <n v="163233697"/>
    <n v="5307503036"/>
    <n v="1714.9533205990983"/>
  </r>
  <r>
    <x v="19"/>
    <n v="2021"/>
    <n v="1"/>
    <s v="Recharge &amp; bill payments"/>
    <n v="32500681"/>
    <n v="13060914041.039404"/>
    <n v="163233697"/>
    <n v="5307503036"/>
    <n v="80.01358960239321"/>
  </r>
  <r>
    <x v="19"/>
    <n v="2021"/>
    <n v="1"/>
    <s v="Financial Services"/>
    <n v="169378"/>
    <n v="161838389.79547781"/>
    <n v="163233697"/>
    <n v="5307503036"/>
    <n v="0.99145208844640587"/>
  </r>
  <r>
    <x v="19"/>
    <n v="2021"/>
    <n v="1"/>
    <s v="Others"/>
    <n v="445569"/>
    <n v="274786748.12995231"/>
    <n v="163233697"/>
    <n v="5307503036"/>
    <n v="1.6833947474090005"/>
  </r>
  <r>
    <x v="19"/>
    <n v="2021"/>
    <n v="2"/>
    <s v="Peer-to-peer payments"/>
    <n v="99367521"/>
    <n v="348935762191.10486"/>
    <n v="175350285"/>
    <n v="8005158139"/>
    <n v="1989.9355292813175"/>
  </r>
  <r>
    <x v="19"/>
    <n v="2021"/>
    <n v="2"/>
    <s v="Merchant payments"/>
    <n v="77113464"/>
    <n v="58839392449.993698"/>
    <n v="175350285"/>
    <n v="8005158139"/>
    <n v="335.55344634879663"/>
  </r>
  <r>
    <x v="19"/>
    <n v="2021"/>
    <n v="2"/>
    <s v="Recharge &amp; bill payments"/>
    <n v="46118636"/>
    <n v="17230546398.848663"/>
    <n v="175350285"/>
    <n v="8005158139"/>
    <n v="98.263577951120311"/>
  </r>
  <r>
    <x v="19"/>
    <n v="2021"/>
    <n v="2"/>
    <s v="Financial Services"/>
    <n v="188726"/>
    <n v="177313389.66602695"/>
    <n v="175350285"/>
    <n v="8005158139"/>
    <n v="1.0111953320522231"/>
  </r>
  <r>
    <x v="19"/>
    <n v="2021"/>
    <n v="2"/>
    <s v="Others"/>
    <n v="526333"/>
    <n v="317753606.01156956"/>
    <n v="175350285"/>
    <n v="8005158139"/>
    <n v="1.8121077248980209"/>
  </r>
  <r>
    <x v="19"/>
    <n v="2021"/>
    <n v="3"/>
    <s v="Merchant payments"/>
    <n v="138433772"/>
    <n v="85885669792.432281"/>
    <n v="189312563"/>
    <n v="10225302164"/>
    <n v="453.67126423845565"/>
  </r>
  <r>
    <x v="19"/>
    <n v="2021"/>
    <n v="3"/>
    <s v="Peer-to-peer payments"/>
    <n v="127654821"/>
    <n v="398912712886.4574"/>
    <n v="189312563"/>
    <n v="10225302164"/>
    <n v="2107.1645038499501"/>
  </r>
  <r>
    <x v="19"/>
    <n v="2021"/>
    <n v="3"/>
    <s v="Recharge &amp; bill payments"/>
    <n v="44437315"/>
    <n v="19025346050.627724"/>
    <n v="189312563"/>
    <n v="10225302164"/>
    <n v="100.49700743118524"/>
  </r>
  <r>
    <x v="19"/>
    <n v="2021"/>
    <n v="3"/>
    <s v="Financial Services"/>
    <n v="174454"/>
    <n v="180366422.58245987"/>
    <n v="189312563"/>
    <n v="10225302164"/>
    <n v="0.95274407426653385"/>
  </r>
  <r>
    <x v="19"/>
    <n v="2021"/>
    <n v="3"/>
    <s v="Others"/>
    <n v="742972"/>
    <n v="408508699.43654072"/>
    <n v="189312563"/>
    <n v="10225302164"/>
    <n v="2.1578530920662709"/>
  </r>
  <r>
    <x v="19"/>
    <n v="2021"/>
    <n v="4"/>
    <s v="Merchant payments"/>
    <n v="197193842"/>
    <n v="126461098235.02324"/>
    <n v="203018673"/>
    <n v="10522938591"/>
    <n v="622.90377710735618"/>
  </r>
  <r>
    <x v="19"/>
    <n v="2021"/>
    <n v="4"/>
    <s v="Peer-to-peer payments"/>
    <n v="159649020"/>
    <n v="507118521843.35883"/>
    <n v="203018673"/>
    <n v="10522938591"/>
    <n v="2497.891028197977"/>
  </r>
  <r>
    <x v="19"/>
    <n v="2021"/>
    <n v="4"/>
    <s v="Recharge &amp; bill payments"/>
    <n v="46220966"/>
    <n v="22492766779.156635"/>
    <n v="203018673"/>
    <n v="10522938591"/>
    <n v="110.79161560255413"/>
  </r>
  <r>
    <x v="19"/>
    <n v="2021"/>
    <n v="4"/>
    <s v="Financial Services"/>
    <n v="247925"/>
    <n v="246488171.37792647"/>
    <n v="203018673"/>
    <n v="10522938591"/>
    <n v="1.2141157645037235"/>
  </r>
  <r>
    <x v="19"/>
    <n v="2021"/>
    <n v="4"/>
    <s v="Others"/>
    <n v="996331"/>
    <n v="568617375.5894115"/>
    <n v="203018673"/>
    <n v="10522938591"/>
    <n v="2.8008131822899438"/>
  </r>
  <r>
    <x v="20"/>
    <n v="2018"/>
    <n v="1"/>
    <s v="Recharge &amp; bill payments"/>
    <n v="9670237"/>
    <n v="2283567431.2235351"/>
    <n v="67176934"/>
    <n v="0"/>
    <n v="33.993326209611396"/>
  </r>
  <r>
    <x v="20"/>
    <n v="2018"/>
    <n v="1"/>
    <s v="Peer-to-peer payments"/>
    <n v="5227770"/>
    <n v="18283896464.750908"/>
    <n v="67176934"/>
    <n v="0"/>
    <n v="272.17521515273245"/>
  </r>
  <r>
    <x v="20"/>
    <n v="2018"/>
    <n v="1"/>
    <s v="Merchant payments"/>
    <n v="616779"/>
    <n v="576964070.73668587"/>
    <n v="67176934"/>
    <n v="0"/>
    <n v="8.5887228901617618"/>
  </r>
  <r>
    <x v="20"/>
    <n v="2018"/>
    <n v="1"/>
    <s v="Financial Services"/>
    <n v="235051"/>
    <n v="60997258.060299724"/>
    <n v="67176934"/>
    <n v="0"/>
    <n v="0.90800896123511265"/>
  </r>
  <r>
    <x v="20"/>
    <n v="2018"/>
    <n v="1"/>
    <s v="Others"/>
    <n v="637197"/>
    <n v="506188032.95395643"/>
    <n v="67176934"/>
    <n v="0"/>
    <n v="7.5351464083483837"/>
  </r>
  <r>
    <x v="20"/>
    <n v="2018"/>
    <n v="2"/>
    <s v="Recharge &amp; bill payments"/>
    <n v="12384216"/>
    <n v="3725800358.6814823"/>
    <n v="90446081"/>
    <n v="0"/>
    <n v="41.193607478487458"/>
  </r>
  <r>
    <x v="20"/>
    <n v="2018"/>
    <n v="2"/>
    <s v="Peer-to-peer payments"/>
    <n v="7772336"/>
    <n v="30782831245.6586"/>
    <n v="90446081"/>
    <n v="0"/>
    <n v="340.34455562158189"/>
  </r>
  <r>
    <x v="20"/>
    <n v="2018"/>
    <n v="2"/>
    <s v="Merchant payments"/>
    <n v="1306326"/>
    <n v="1226121649.4989598"/>
    <n v="90446081"/>
    <n v="0"/>
    <n v="13.55638227707135"/>
  </r>
  <r>
    <x v="20"/>
    <n v="2018"/>
    <n v="2"/>
    <s v="Financial Services"/>
    <n v="262875"/>
    <n v="85545909.435288414"/>
    <n v="90446081"/>
    <n v="0"/>
    <n v="0.94582217924166789"/>
  </r>
  <r>
    <x v="20"/>
    <n v="2018"/>
    <n v="2"/>
    <s v="Others"/>
    <n v="559987"/>
    <n v="536758077.84638786"/>
    <n v="90446081"/>
    <n v="0"/>
    <n v="5.9345642388462121"/>
  </r>
  <r>
    <x v="20"/>
    <n v="2018"/>
    <n v="3"/>
    <s v="Recharge &amp; bill payments"/>
    <n v="14371791"/>
    <n v="4547486090.1867371"/>
    <n v="114785363"/>
    <n v="0"/>
    <n v="39.617299378029038"/>
  </r>
  <r>
    <x v="20"/>
    <n v="2018"/>
    <n v="3"/>
    <s v="Peer-to-peer payments"/>
    <n v="13470065"/>
    <n v="45466534003.980484"/>
    <n v="114785363"/>
    <n v="0"/>
    <n v="396.10045057731344"/>
  </r>
  <r>
    <x v="20"/>
    <n v="2018"/>
    <n v="3"/>
    <s v="Merchant payments"/>
    <n v="2797204"/>
    <n v="1702220875.4343855"/>
    <n v="114785363"/>
    <n v="0"/>
    <n v="14.829598748007493"/>
  </r>
  <r>
    <x v="20"/>
    <n v="2018"/>
    <n v="3"/>
    <s v="Financial Services"/>
    <n v="234598"/>
    <n v="52348968.006728604"/>
    <n v="114785363"/>
    <n v="0"/>
    <n v="0.45605961107365756"/>
  </r>
  <r>
    <x v="20"/>
    <n v="2018"/>
    <n v="3"/>
    <s v="Others"/>
    <n v="664880"/>
    <n v="492227795.63869768"/>
    <n v="114785363"/>
    <n v="0"/>
    <n v="4.2882453195595822"/>
  </r>
  <r>
    <x v="20"/>
    <n v="2018"/>
    <n v="4"/>
    <s v="Peer-to-peer payments"/>
    <n v="20824667"/>
    <n v="68974011019.102936"/>
    <n v="147197622"/>
    <n v="0"/>
    <n v="468.58101429860693"/>
  </r>
  <r>
    <x v="20"/>
    <n v="2018"/>
    <n v="4"/>
    <s v="Recharge &amp; bill payments"/>
    <n v="18071025"/>
    <n v="5860865070.470685"/>
    <n v="147197622"/>
    <n v="0"/>
    <n v="39.81630267417421"/>
  </r>
  <r>
    <x v="20"/>
    <n v="2018"/>
    <n v="4"/>
    <s v="Merchant payments"/>
    <n v="6047705"/>
    <n v="3985195742.2480145"/>
    <n v="147197622"/>
    <n v="0"/>
    <n v="27.073778014212856"/>
  </r>
  <r>
    <x v="20"/>
    <n v="2018"/>
    <n v="4"/>
    <s v="Financial Services"/>
    <n v="325121"/>
    <n v="77345546.530124322"/>
    <n v="147197622"/>
    <n v="0"/>
    <n v="0.5254537775761372"/>
  </r>
  <r>
    <x v="20"/>
    <n v="2018"/>
    <n v="4"/>
    <s v="Others"/>
    <n v="821705"/>
    <n v="621519669.48186409"/>
    <n v="147197622"/>
    <n v="0"/>
    <n v="4.2223485749101579"/>
  </r>
  <r>
    <x v="20"/>
    <n v="2019"/>
    <n v="1"/>
    <s v="Peer-to-peer payments"/>
    <n v="37360716"/>
    <n v="97373087988.088715"/>
    <n v="179128961"/>
    <n v="0"/>
    <n v="543.59209948238754"/>
  </r>
  <r>
    <x v="20"/>
    <n v="2019"/>
    <n v="1"/>
    <s v="Recharge &amp; bill payments"/>
    <n v="24540041"/>
    <n v="8256500586.6512823"/>
    <n v="179128961"/>
    <n v="0"/>
    <n v="46.092494148119812"/>
  </r>
  <r>
    <x v="20"/>
    <n v="2019"/>
    <n v="1"/>
    <s v="Merchant payments"/>
    <n v="12069119"/>
    <n v="5172594695.5318003"/>
    <n v="179128961"/>
    <n v="0"/>
    <n v="28.876373014477544"/>
  </r>
  <r>
    <x v="20"/>
    <n v="2019"/>
    <n v="1"/>
    <s v="Financial Services"/>
    <n v="287569"/>
    <n v="49487746.208730564"/>
    <n v="179128961"/>
    <n v="0"/>
    <n v="0.27626881735070502"/>
  </r>
  <r>
    <x v="20"/>
    <n v="2019"/>
    <n v="1"/>
    <s v="Others"/>
    <n v="821624"/>
    <n v="569019903.86049557"/>
    <n v="179128961"/>
    <n v="0"/>
    <n v="3.1765935596561383"/>
  </r>
  <r>
    <x v="20"/>
    <n v="2019"/>
    <n v="2"/>
    <s v="Peer-to-peer payments"/>
    <n v="42546317"/>
    <n v="130558153687.95419"/>
    <n v="206546725"/>
    <n v="1209644755"/>
    <n v="632.09984901941289"/>
  </r>
  <r>
    <x v="20"/>
    <n v="2019"/>
    <n v="2"/>
    <s v="Recharge &amp; bill payments"/>
    <n v="29395661"/>
    <n v="12197234771.434273"/>
    <n v="206546725"/>
    <n v="1209644755"/>
    <n v="59.053150183980271"/>
  </r>
  <r>
    <x v="20"/>
    <n v="2019"/>
    <n v="2"/>
    <s v="Merchant payments"/>
    <n v="27854042"/>
    <n v="9728561726.7671432"/>
    <n v="206546725"/>
    <n v="1209644755"/>
    <n v="47.101021460239288"/>
  </r>
  <r>
    <x v="20"/>
    <n v="2019"/>
    <n v="2"/>
    <s v="Financial Services"/>
    <n v="182840"/>
    <n v="45291636.105074808"/>
    <n v="206546725"/>
    <n v="1209644755"/>
    <n v="0.2192803401025836"/>
  </r>
  <r>
    <x v="20"/>
    <n v="2019"/>
    <n v="2"/>
    <s v="Others"/>
    <n v="1170993"/>
    <n v="765228265.79764724"/>
    <n v="206546725"/>
    <n v="1209644755"/>
    <n v="3.7048675828563598"/>
  </r>
  <r>
    <x v="20"/>
    <n v="2019"/>
    <n v="3"/>
    <s v="Peer-to-peer payments"/>
    <n v="57991699"/>
    <n v="165731686168.5575"/>
    <n v="234443891"/>
    <n v="4839982543"/>
    <n v="706.91407424455986"/>
  </r>
  <r>
    <x v="20"/>
    <n v="2019"/>
    <n v="3"/>
    <s v="Merchant payments"/>
    <n v="54683738"/>
    <n v="17545729507.395977"/>
    <n v="234443891"/>
    <n v="4839982543"/>
    <n v="74.839781205456859"/>
  </r>
  <r>
    <x v="20"/>
    <n v="2019"/>
    <n v="3"/>
    <s v="Recharge &amp; bill payments"/>
    <n v="34309301"/>
    <n v="15471698543.739597"/>
    <n v="234443891"/>
    <n v="4839982543"/>
    <n v="65.993182751516429"/>
  </r>
  <r>
    <x v="20"/>
    <n v="2019"/>
    <n v="3"/>
    <s v="Financial Services"/>
    <n v="231467"/>
    <n v="54108447.394074507"/>
    <n v="234443891"/>
    <n v="4839982543"/>
    <n v="0.23079487020659673"/>
  </r>
  <r>
    <x v="20"/>
    <n v="2019"/>
    <n v="3"/>
    <s v="Others"/>
    <n v="1519376"/>
    <n v="814284077.86375177"/>
    <n v="234443891"/>
    <n v="4839982543"/>
    <n v="3.4732578204127815"/>
  </r>
  <r>
    <x v="20"/>
    <n v="2019"/>
    <n v="4"/>
    <s v="Merchant payments"/>
    <n v="80127804"/>
    <n v="27209874138.487556"/>
    <n v="261198267"/>
    <n v="5980195232"/>
    <n v="104.17325677925557"/>
  </r>
  <r>
    <x v="20"/>
    <n v="2019"/>
    <n v="4"/>
    <s v="Peer-to-peer payments"/>
    <n v="78795871"/>
    <n v="227268054757.21698"/>
    <n v="261198267"/>
    <n v="5980195232"/>
    <n v="870.09786614402378"/>
  </r>
  <r>
    <x v="20"/>
    <n v="2019"/>
    <n v="4"/>
    <s v="Recharge &amp; bill payments"/>
    <n v="40705998"/>
    <n v="17794666215.044445"/>
    <n v="261198267"/>
    <n v="5980195232"/>
    <n v="68.127045479380783"/>
  </r>
  <r>
    <x v="20"/>
    <n v="2019"/>
    <n v="4"/>
    <s v="Financial Services"/>
    <n v="129755"/>
    <n v="49622863.824426055"/>
    <n v="261198267"/>
    <n v="5980195232"/>
    <n v="0.18998159671720202"/>
  </r>
  <r>
    <x v="20"/>
    <n v="2019"/>
    <n v="4"/>
    <s v="Others"/>
    <n v="1501192"/>
    <n v="672210824.9770112"/>
    <n v="261198267"/>
    <n v="5980195232"/>
    <n v="2.5735654095170974"/>
  </r>
  <r>
    <x v="20"/>
    <n v="2020"/>
    <n v="1"/>
    <s v="Merchant payments"/>
    <n v="100337738"/>
    <n v="35200130304.827759"/>
    <n v="287852290"/>
    <n v="6766612248"/>
    <n v="122.28539263949493"/>
  </r>
  <r>
    <x v="20"/>
    <n v="2020"/>
    <n v="1"/>
    <s v="Peer-to-peer payments"/>
    <n v="87067410"/>
    <n v="262541205695.83841"/>
    <n v="287852290"/>
    <n v="6766612248"/>
    <n v="912.06919248701615"/>
  </r>
  <r>
    <x v="20"/>
    <n v="2020"/>
    <n v="1"/>
    <s v="Recharge &amp; bill payments"/>
    <n v="50199498"/>
    <n v="21603565070.425602"/>
    <n v="287852290"/>
    <n v="6766612248"/>
    <n v="75.050870953382386"/>
  </r>
  <r>
    <x v="20"/>
    <n v="2020"/>
    <n v="1"/>
    <s v="Financial Services"/>
    <n v="123476"/>
    <n v="91363684.1276232"/>
    <n v="287852290"/>
    <n v="6766612248"/>
    <n v="0.3173978019338432"/>
  </r>
  <r>
    <x v="20"/>
    <n v="2020"/>
    <n v="1"/>
    <s v="Others"/>
    <n v="1215959"/>
    <n v="558931962.87612498"/>
    <n v="287852290"/>
    <n v="6766612248"/>
    <n v="1.9417318614214429"/>
  </r>
  <r>
    <x v="20"/>
    <n v="2020"/>
    <n v="2"/>
    <s v="Peer-to-peer payments"/>
    <n v="74295930"/>
    <n v="239933338682.69339"/>
    <n v="316415946"/>
    <n v="5569902932"/>
    <n v="758.28459885107497"/>
  </r>
  <r>
    <x v="20"/>
    <n v="2020"/>
    <n v="2"/>
    <s v="Recharge &amp; bill payments"/>
    <n v="60856480"/>
    <n v="23112343247.416145"/>
    <n v="316415946"/>
    <n v="5569902932"/>
    <n v="73.04417978800646"/>
  </r>
  <r>
    <x v="20"/>
    <n v="2020"/>
    <n v="2"/>
    <s v="Merchant payments"/>
    <n v="48965388"/>
    <n v="32859184582.219048"/>
    <n v="316415946"/>
    <n v="5569902932"/>
    <n v="103.84806770205901"/>
  </r>
  <r>
    <x v="20"/>
    <n v="2020"/>
    <n v="2"/>
    <s v="Financial Services"/>
    <n v="206461"/>
    <n v="211733275.7829895"/>
    <n v="316415946"/>
    <n v="5569902932"/>
    <n v="0.66916120524150036"/>
  </r>
  <r>
    <x v="20"/>
    <n v="2020"/>
    <n v="2"/>
    <s v="Others"/>
    <n v="466502"/>
    <n v="242917371.3033281"/>
    <n v="316415946"/>
    <n v="5569902932"/>
    <n v="0.76771532653202024"/>
  </r>
  <r>
    <x v="20"/>
    <n v="2020"/>
    <n v="3"/>
    <s v="Peer-to-peer payments"/>
    <n v="108436214"/>
    <n v="351555554813.21222"/>
    <n v="345504643"/>
    <n v="7350168111"/>
    <n v="1017.5132575952451"/>
  </r>
  <r>
    <x v="20"/>
    <n v="2020"/>
    <n v="3"/>
    <s v="Merchant payments"/>
    <n v="100808237"/>
    <n v="60171102123.948883"/>
    <n v="345504643"/>
    <n v="7350168111"/>
    <n v="174.154250436365"/>
  </r>
  <r>
    <x v="20"/>
    <n v="2020"/>
    <n v="3"/>
    <s v="Recharge &amp; bill payments"/>
    <n v="58082283"/>
    <n v="27915727882.59293"/>
    <n v="345504643"/>
    <n v="7350168111"/>
    <n v="80.796968863289422"/>
  </r>
  <r>
    <x v="20"/>
    <n v="2020"/>
    <n v="3"/>
    <s v="Financial Services"/>
    <n v="325453"/>
    <n v="333669599.61883616"/>
    <n v="345504643"/>
    <n v="7350168111"/>
    <n v="0.96574563143811687"/>
  </r>
  <r>
    <x v="20"/>
    <n v="2020"/>
    <n v="3"/>
    <s v="Others"/>
    <n v="658737"/>
    <n v="331024593.07215291"/>
    <n v="345504643"/>
    <n v="7350168111"/>
    <n v="0.95809014373260659"/>
  </r>
  <r>
    <x v="20"/>
    <n v="2020"/>
    <n v="4"/>
    <s v="Merchant payments"/>
    <n v="189845640"/>
    <n v="103804638603.74611"/>
    <n v="378758941"/>
    <n v="10472074470"/>
    <n v="274.06518333185988"/>
  </r>
  <r>
    <x v="20"/>
    <n v="2020"/>
    <n v="4"/>
    <s v="Peer-to-peer payments"/>
    <n v="151741840"/>
    <n v="485747881733.823"/>
    <n v="378758941"/>
    <n v="10472074470"/>
    <n v="1282.4723832296886"/>
  </r>
  <r>
    <x v="20"/>
    <n v="2020"/>
    <n v="4"/>
    <s v="Recharge &amp; bill payments"/>
    <n v="64556682"/>
    <n v="31556917821.777672"/>
    <n v="378758941"/>
    <n v="10472074470"/>
    <n v="83.316628086616362"/>
  </r>
  <r>
    <x v="20"/>
    <n v="2020"/>
    <n v="4"/>
    <s v="Financial Services"/>
    <n v="398409"/>
    <n v="418399992.53957713"/>
    <n v="378758941"/>
    <n v="10472074470"/>
    <n v="1.1046603716731194"/>
  </r>
  <r>
    <x v="20"/>
    <n v="2020"/>
    <n v="4"/>
    <s v="Others"/>
    <n v="1078433"/>
    <n v="627692680.4078207"/>
    <n v="378758941"/>
    <n v="10472074470"/>
    <n v="1.6572352820255158"/>
  </r>
  <r>
    <x v="20"/>
    <n v="2021"/>
    <n v="1"/>
    <s v="Merchant payments"/>
    <n v="253043309"/>
    <n v="129493046208.15726"/>
    <n v="407852907"/>
    <n v="12121741324"/>
    <n v="317.49938270798509"/>
  </r>
  <r>
    <x v="20"/>
    <n v="2021"/>
    <n v="1"/>
    <s v="Peer-to-peer payments"/>
    <n v="187021609"/>
    <n v="599213284361.79932"/>
    <n v="407852907"/>
    <n v="12121741324"/>
    <n v="1469.1896859810768"/>
  </r>
  <r>
    <x v="20"/>
    <n v="2021"/>
    <n v="1"/>
    <s v="Recharge &amp; bill payments"/>
    <n v="76389103"/>
    <n v="40057211827.159622"/>
    <n v="407852907"/>
    <n v="12121741324"/>
    <n v="98.214849372545046"/>
  </r>
  <r>
    <x v="20"/>
    <n v="2021"/>
    <n v="1"/>
    <s v="Financial Services"/>
    <n v="439551"/>
    <n v="492900202.68315214"/>
    <n v="407852907"/>
    <n v="12121741324"/>
    <n v="1.2085244317828343"/>
  </r>
  <r>
    <x v="20"/>
    <n v="2021"/>
    <n v="1"/>
    <s v="Others"/>
    <n v="966668"/>
    <n v="630909553.45082641"/>
    <n v="407852907"/>
    <n v="12121741324"/>
    <n v="1.5469046379773048"/>
  </r>
  <r>
    <x v="20"/>
    <n v="2021"/>
    <n v="2"/>
    <s v="Merchant payments"/>
    <n v="247194293"/>
    <n v="150864465217.02304"/>
    <n v="436311667"/>
    <n v="13288919512"/>
    <n v="345.77224637227738"/>
  </r>
  <r>
    <x v="20"/>
    <n v="2021"/>
    <n v="2"/>
    <s v="Peer-to-peer payments"/>
    <n v="228551961"/>
    <n v="719859665693.5271"/>
    <n v="436311667"/>
    <n v="13288919512"/>
    <n v="1649.8748948043306"/>
  </r>
  <r>
    <x v="20"/>
    <n v="2021"/>
    <n v="2"/>
    <s v="Recharge &amp; bill payments"/>
    <n v="96271138"/>
    <n v="43154405548.445969"/>
    <n v="436311667"/>
    <n v="13288919512"/>
    <n v="98.907292223395828"/>
  </r>
  <r>
    <x v="20"/>
    <n v="2021"/>
    <n v="2"/>
    <s v="Financial Services"/>
    <n v="504252"/>
    <n v="536780917.03591567"/>
    <n v="436311667"/>
    <n v="13288919512"/>
    <n v="1.2302694556089322"/>
  </r>
  <r>
    <x v="20"/>
    <n v="2021"/>
    <n v="2"/>
    <s v="Others"/>
    <n v="1094842"/>
    <n v="699738247.66956365"/>
    <n v="436311667"/>
    <n v="13288919512"/>
    <n v="1.6037578194524045"/>
  </r>
  <r>
    <x v="20"/>
    <n v="2021"/>
    <n v="3"/>
    <s v="Merchant payments"/>
    <n v="390051884"/>
    <n v="216701984638.98932"/>
    <n v="468393387"/>
    <n v="17219079372"/>
    <n v="462.64953915540514"/>
  </r>
  <r>
    <x v="20"/>
    <n v="2021"/>
    <n v="3"/>
    <s v="Peer-to-peer payments"/>
    <n v="296951706"/>
    <n v="890860873379.55762"/>
    <n v="468393387"/>
    <n v="17219079372"/>
    <n v="1901.9501515284153"/>
  </r>
  <r>
    <x v="20"/>
    <n v="2021"/>
    <n v="3"/>
    <s v="Recharge &amp; bill payments"/>
    <n v="103943973"/>
    <n v="50242023586.056046"/>
    <n v="468393387"/>
    <n v="17219079372"/>
    <n v="107.26458780267973"/>
  </r>
  <r>
    <x v="20"/>
    <n v="2021"/>
    <n v="3"/>
    <s v="Financial Services"/>
    <n v="448646"/>
    <n v="579098938.65831804"/>
    <n v="468393387"/>
    <n v="17219079372"/>
    <n v="1.2363516538253732"/>
  </r>
  <r>
    <x v="20"/>
    <n v="2021"/>
    <n v="3"/>
    <s v="Others"/>
    <n v="1477851"/>
    <n v="873324624.18261766"/>
    <n v="468393387"/>
    <n v="17219079372"/>
    <n v="1.8645110038298163"/>
  </r>
  <r>
    <x v="20"/>
    <n v="2021"/>
    <n v="4"/>
    <s v="Merchant payments"/>
    <n v="540351277"/>
    <n v="305512280091.41571"/>
    <n v="500307566"/>
    <n v="22349131728"/>
    <n v="610.64893048492434"/>
  </r>
  <r>
    <x v="20"/>
    <n v="2021"/>
    <n v="4"/>
    <s v="Peer-to-peer payments"/>
    <n v="361865450"/>
    <n v="1109862480618.2227"/>
    <n v="500307566"/>
    <n v="22349131728"/>
    <n v="2218.3603767811551"/>
  </r>
  <r>
    <x v="20"/>
    <n v="2021"/>
    <n v="4"/>
    <s v="Recharge &amp; bill payments"/>
    <n v="105990417"/>
    <n v="58087950922.438873"/>
    <n v="500307566"/>
    <n v="22349131728"/>
    <n v="116.10448226249466"/>
  </r>
  <r>
    <x v="20"/>
    <n v="2021"/>
    <n v="4"/>
    <s v="Financial Services"/>
    <n v="606265"/>
    <n v="707102765.30589283"/>
    <n v="500307566"/>
    <n v="22349131728"/>
    <n v="1.4133361423238857"/>
  </r>
  <r>
    <x v="20"/>
    <n v="2021"/>
    <n v="4"/>
    <s v="Others"/>
    <n v="1918093"/>
    <n v="1188658731.1175365"/>
    <n v="500307566"/>
    <n v="22349131728"/>
    <n v="2.3758559971838134"/>
  </r>
  <r>
    <x v="21"/>
    <n v="2018"/>
    <n v="1"/>
    <s v="Recharge &amp; bill payments"/>
    <n v="50212"/>
    <n v="6463184.5547116911"/>
    <n v="329175"/>
    <n v="0"/>
    <n v="19.634493976491807"/>
  </r>
  <r>
    <x v="21"/>
    <n v="2018"/>
    <n v="1"/>
    <s v="Peer-to-peer payments"/>
    <n v="26382"/>
    <n v="115495173.55796441"/>
    <n v="329175"/>
    <n v="0"/>
    <n v="350.86253074493635"/>
  </r>
  <r>
    <x v="21"/>
    <n v="2018"/>
    <n v="1"/>
    <s v="Financial Services"/>
    <n v="2660"/>
    <n v="412579.53985461866"/>
    <n v="329175"/>
    <n v="0"/>
    <n v="1.2533744660275496"/>
  </r>
  <r>
    <x v="21"/>
    <n v="2018"/>
    <n v="1"/>
    <s v="Merchant payments"/>
    <n v="1614"/>
    <n v="3616475.6407912206"/>
    <n v="329175"/>
    <n v="0"/>
    <n v="10.98648330156063"/>
  </r>
  <r>
    <x v="21"/>
    <n v="2018"/>
    <n v="1"/>
    <s v="Others"/>
    <n v="3201"/>
    <n v="2058760.6368871084"/>
    <n v="329175"/>
    <n v="0"/>
    <n v="6.2543043575214048"/>
  </r>
  <r>
    <x v="21"/>
    <n v="2018"/>
    <n v="2"/>
    <s v="Recharge &amp; bill payments"/>
    <n v="77991"/>
    <n v="11541247.784420915"/>
    <n v="506605"/>
    <n v="0"/>
    <n v="22.781551276479536"/>
  </r>
  <r>
    <x v="21"/>
    <n v="2018"/>
    <n v="2"/>
    <s v="Peer-to-peer payments"/>
    <n v="60365"/>
    <n v="232157389.7914803"/>
    <n v="506605"/>
    <n v="0"/>
    <n v="458.26114979417952"/>
  </r>
  <r>
    <x v="21"/>
    <n v="2018"/>
    <n v="2"/>
    <s v="Financial Services"/>
    <n v="5992"/>
    <n v="1241901.2660397931"/>
    <n v="506605"/>
    <n v="0"/>
    <n v="2.4514192833465782"/>
  </r>
  <r>
    <x v="21"/>
    <n v="2018"/>
    <n v="2"/>
    <s v="Merchant payments"/>
    <n v="4041"/>
    <n v="5366759.8277298352"/>
    <n v="506605"/>
    <n v="0"/>
    <n v="10.593578483690123"/>
  </r>
  <r>
    <x v="21"/>
    <n v="2018"/>
    <n v="2"/>
    <s v="Others"/>
    <n v="3332"/>
    <n v="2902422.6498233806"/>
    <n v="506605"/>
    <n v="0"/>
    <n v="5.7291630556812123"/>
  </r>
  <r>
    <x v="21"/>
    <n v="2018"/>
    <n v="3"/>
    <s v="Peer-to-peer payments"/>
    <n v="95204"/>
    <n v="357768750.18458962"/>
    <n v="681285"/>
    <n v="0"/>
    <n v="525.13815831053023"/>
  </r>
  <r>
    <x v="21"/>
    <n v="2018"/>
    <n v="3"/>
    <s v="Recharge &amp; bill payments"/>
    <n v="81323"/>
    <n v="13912990.484925149"/>
    <n v="681285"/>
    <n v="0"/>
    <n v="20.421689138796758"/>
  </r>
  <r>
    <x v="21"/>
    <n v="2018"/>
    <n v="3"/>
    <s v="Merchant payments"/>
    <n v="7396"/>
    <n v="9180953.9773583338"/>
    <n v="681285"/>
    <n v="0"/>
    <n v="13.475937349799766"/>
  </r>
  <r>
    <x v="21"/>
    <n v="2018"/>
    <n v="3"/>
    <s v="Financial Services"/>
    <n v="2577"/>
    <n v="333081.63683149999"/>
    <n v="681285"/>
    <n v="0"/>
    <n v="0.48890205542687715"/>
  </r>
  <r>
    <x v="21"/>
    <n v="2018"/>
    <n v="3"/>
    <s v="Others"/>
    <n v="2758"/>
    <n v="2135468.5104177971"/>
    <n v="681285"/>
    <n v="0"/>
    <n v="3.1344716387676188"/>
  </r>
  <r>
    <x v="21"/>
    <n v="2018"/>
    <n v="4"/>
    <s v="Recharge &amp; bill payments"/>
    <n v="113507"/>
    <n v="18898063.282383174"/>
    <n v="908479"/>
    <n v="0"/>
    <n v="20.80187135022733"/>
  </r>
  <r>
    <x v="21"/>
    <n v="2018"/>
    <n v="4"/>
    <s v="Peer-to-peer payments"/>
    <n v="104872"/>
    <n v="562009595.96018887"/>
    <n v="908479"/>
    <n v="0"/>
    <n v="618.62695335851333"/>
  </r>
  <r>
    <x v="21"/>
    <n v="2018"/>
    <n v="4"/>
    <s v="Merchant payments"/>
    <n v="13333"/>
    <n v="20685433.284307171"/>
    <n v="908479"/>
    <n v="0"/>
    <n v="22.76930263033837"/>
  </r>
  <r>
    <x v="21"/>
    <n v="2018"/>
    <n v="4"/>
    <s v="Financial Services"/>
    <n v="1452"/>
    <n v="307325.24377239507"/>
    <n v="908479"/>
    <n v="0"/>
    <n v="0.33828546809821147"/>
  </r>
  <r>
    <x v="21"/>
    <n v="2018"/>
    <n v="4"/>
    <s v="Others"/>
    <n v="2946"/>
    <n v="3783141.5353601985"/>
    <n v="908479"/>
    <n v="0"/>
    <n v="4.1642586513944719"/>
  </r>
  <r>
    <x v="21"/>
    <n v="2019"/>
    <n v="1"/>
    <s v="Peer-to-peer payments"/>
    <n v="127067"/>
    <n v="619919870.74553514"/>
    <n v="1094797"/>
    <n v="0"/>
    <n v="566.24184277590746"/>
  </r>
  <r>
    <x v="21"/>
    <n v="2019"/>
    <n v="1"/>
    <s v="Recharge &amp; bill payments"/>
    <n v="120000"/>
    <n v="22106830.369149238"/>
    <n v="1094797"/>
    <n v="0"/>
    <n v="20.192629655679763"/>
  </r>
  <r>
    <x v="21"/>
    <n v="2019"/>
    <n v="1"/>
    <s v="Merchant payments"/>
    <n v="15190"/>
    <n v="14580183.380707521"/>
    <n v="1094797"/>
    <n v="0"/>
    <n v="13.317704908496754"/>
  </r>
  <r>
    <x v="21"/>
    <n v="2019"/>
    <n v="1"/>
    <s v="Financial Services"/>
    <n v="800"/>
    <n v="174777.17283837448"/>
    <n v="1094797"/>
    <n v="0"/>
    <n v="0.15964345247417966"/>
  </r>
  <r>
    <x v="21"/>
    <n v="2019"/>
    <n v="1"/>
    <s v="Others"/>
    <n v="2352"/>
    <n v="3116398.7558489172"/>
    <n v="1094797"/>
    <n v="0"/>
    <n v="2.846553978362123"/>
  </r>
  <r>
    <x v="21"/>
    <n v="2019"/>
    <n v="2"/>
    <s v="Peer-to-peer payments"/>
    <n v="120153"/>
    <n v="679785849.13986826"/>
    <n v="1295217"/>
    <n v="5113119"/>
    <n v="524.84321093675294"/>
  </r>
  <r>
    <x v="21"/>
    <n v="2019"/>
    <n v="2"/>
    <s v="Recharge &amp; bill payments"/>
    <n v="116500"/>
    <n v="23573234.273060285"/>
    <n v="1295217"/>
    <n v="5113119"/>
    <n v="18.200219942341928"/>
  </r>
  <r>
    <x v="21"/>
    <n v="2019"/>
    <n v="2"/>
    <s v="Merchant payments"/>
    <n v="18044"/>
    <n v="15996651.145700552"/>
    <n v="1295217"/>
    <n v="5113119"/>
    <n v="12.35055681457281"/>
  </r>
  <r>
    <x v="21"/>
    <n v="2019"/>
    <n v="2"/>
    <s v="Financial Services"/>
    <n v="387"/>
    <n v="91955.015382598343"/>
    <n v="1295217"/>
    <n v="5113119"/>
    <n v="7.0995837286414815E-2"/>
  </r>
  <r>
    <x v="21"/>
    <n v="2019"/>
    <n v="2"/>
    <s v="Others"/>
    <n v="2341"/>
    <n v="3342252.5754885403"/>
    <n v="1295217"/>
    <n v="5113119"/>
    <n v="2.5804576186758976"/>
  </r>
  <r>
    <x v="21"/>
    <n v="2019"/>
    <n v="3"/>
    <s v="Recharge &amp; bill payments"/>
    <n v="180057"/>
    <n v="36634657.049143404"/>
    <n v="1499476"/>
    <n v="17536255"/>
    <n v="24.4316394854892"/>
  </r>
  <r>
    <x v="21"/>
    <n v="2019"/>
    <n v="3"/>
    <s v="Peer-to-peer payments"/>
    <n v="144965"/>
    <n v="803335616.63251925"/>
    <n v="1499476"/>
    <n v="17536255"/>
    <n v="535.74423107306768"/>
  </r>
  <r>
    <x v="21"/>
    <n v="2019"/>
    <n v="3"/>
    <s v="Merchant payments"/>
    <n v="17683"/>
    <n v="20490224.443041254"/>
    <n v="1499476"/>
    <n v="17536255"/>
    <n v="13.664923241879999"/>
  </r>
  <r>
    <x v="21"/>
    <n v="2019"/>
    <n v="3"/>
    <s v="Financial Services"/>
    <n v="358"/>
    <n v="367865.78846626211"/>
    <n v="1499476"/>
    <n v="17536255"/>
    <n v="0.24532956077073731"/>
  </r>
  <r>
    <x v="21"/>
    <n v="2019"/>
    <n v="3"/>
    <s v="Others"/>
    <n v="1945"/>
    <n v="2723638.6497642621"/>
    <n v="1499476"/>
    <n v="17536255"/>
    <n v="1.816393626683096"/>
  </r>
  <r>
    <x v="21"/>
    <n v="2019"/>
    <n v="4"/>
    <s v="Recharge &amp; bill payments"/>
    <n v="212136"/>
    <n v="44202546.573960811"/>
    <n v="1708938"/>
    <n v="20410368"/>
    <n v="25.865506281656099"/>
  </r>
  <r>
    <x v="21"/>
    <n v="2019"/>
    <n v="4"/>
    <s v="Peer-to-peer payments"/>
    <n v="211927"/>
    <n v="1123258478.4450691"/>
    <n v="1708938"/>
    <n v="20410368"/>
    <n v="657.28451145978909"/>
  </r>
  <r>
    <x v="21"/>
    <n v="2019"/>
    <n v="4"/>
    <s v="Merchant payments"/>
    <n v="23094"/>
    <n v="30486780.446382143"/>
    <n v="1708938"/>
    <n v="20410368"/>
    <n v="17.839605911029039"/>
  </r>
  <r>
    <x v="21"/>
    <n v="2019"/>
    <n v="4"/>
    <s v="Financial Services"/>
    <n v="548"/>
    <n v="240641.76576834809"/>
    <n v="1708938"/>
    <n v="20410368"/>
    <n v="0.14081363148829745"/>
  </r>
  <r>
    <x v="21"/>
    <n v="2019"/>
    <n v="4"/>
    <s v="Others"/>
    <n v="1639"/>
    <n v="2709234.8574561328"/>
    <n v="1708938"/>
    <n v="20410368"/>
    <n v="1.5853324447441235"/>
  </r>
  <r>
    <x v="21"/>
    <n v="2020"/>
    <n v="1"/>
    <s v="Peer-to-peer payments"/>
    <n v="451733"/>
    <n v="2458093401.7404671"/>
    <n v="1951114"/>
    <n v="23932062"/>
    <n v="1259.8409942937558"/>
  </r>
  <r>
    <x v="21"/>
    <n v="2020"/>
    <n v="1"/>
    <s v="Recharge &amp; bill payments"/>
    <n v="285234"/>
    <n v="62688260.379548095"/>
    <n v="1951114"/>
    <n v="23932062"/>
    <n v="32.129470845654375"/>
  </r>
  <r>
    <x v="21"/>
    <n v="2020"/>
    <n v="1"/>
    <s v="Merchant payments"/>
    <n v="78067"/>
    <n v="74202067.066482604"/>
    <n v="1951114"/>
    <n v="23932062"/>
    <n v="38.030615877125889"/>
  </r>
  <r>
    <x v="21"/>
    <n v="2020"/>
    <n v="1"/>
    <s v="Financial Services"/>
    <n v="622"/>
    <n v="354184.4660589617"/>
    <n v="1951114"/>
    <n v="23932062"/>
    <n v="0.18152935505509246"/>
  </r>
  <r>
    <x v="21"/>
    <n v="2020"/>
    <n v="1"/>
    <s v="Others"/>
    <n v="3145"/>
    <n v="3252467.2243867153"/>
    <n v="1951114"/>
    <n v="23932062"/>
    <n v="1.6669795944197598"/>
  </r>
  <r>
    <x v="21"/>
    <n v="2020"/>
    <n v="2"/>
    <s v="Peer-to-peer payments"/>
    <n v="533206"/>
    <n v="2980242535.0754428"/>
    <n v="2370456"/>
    <n v="33126401"/>
    <n v="1257.244401530947"/>
  </r>
  <r>
    <x v="21"/>
    <n v="2020"/>
    <n v="2"/>
    <s v="Recharge &amp; bill payments"/>
    <n v="450830"/>
    <n v="107589094.29890464"/>
    <n v="2370456"/>
    <n v="33126401"/>
    <n v="45.387509533568497"/>
  </r>
  <r>
    <x v="21"/>
    <n v="2020"/>
    <n v="2"/>
    <s v="Merchant payments"/>
    <n v="92110"/>
    <n v="106540409.29886684"/>
    <n v="2370456"/>
    <n v="33126401"/>
    <n v="44.945111530805399"/>
  </r>
  <r>
    <x v="21"/>
    <n v="2020"/>
    <n v="2"/>
    <s v="Financial Services"/>
    <n v="1676"/>
    <n v="1457570.8004862315"/>
    <n v="2370456"/>
    <n v="33126401"/>
    <n v="0.61489046853695295"/>
  </r>
  <r>
    <x v="21"/>
    <n v="2020"/>
    <n v="2"/>
    <s v="Others"/>
    <n v="5246"/>
    <n v="3106603.3318103859"/>
    <n v="2370456"/>
    <n v="33126401"/>
    <n v="1.3105509369549091"/>
  </r>
  <r>
    <x v="21"/>
    <n v="2020"/>
    <n v="3"/>
    <s v="Peer-to-peer payments"/>
    <n v="774786"/>
    <n v="4301284799.3312922"/>
    <n v="2844193"/>
    <n v="39076125"/>
    <n v="1512.3041225863687"/>
  </r>
  <r>
    <x v="21"/>
    <n v="2020"/>
    <n v="3"/>
    <s v="Recharge &amp; bill payments"/>
    <n v="464659"/>
    <n v="113190539.14969069"/>
    <n v="2844193"/>
    <n v="39076125"/>
    <n v="39.797066918345799"/>
  </r>
  <r>
    <x v="21"/>
    <n v="2020"/>
    <n v="3"/>
    <s v="Merchant payments"/>
    <n v="170653"/>
    <n v="195132026.6311202"/>
    <n v="2844193"/>
    <n v="39076125"/>
    <n v="68.607167878944992"/>
  </r>
  <r>
    <x v="21"/>
    <n v="2020"/>
    <n v="3"/>
    <s v="Financial Services"/>
    <n v="1878"/>
    <n v="1593035.9440662281"/>
    <n v="2844193"/>
    <n v="39076125"/>
    <n v="0.56010121115769151"/>
  </r>
  <r>
    <x v="21"/>
    <n v="2020"/>
    <n v="3"/>
    <s v="Others"/>
    <n v="8192"/>
    <n v="4775719.8143366445"/>
    <n v="2844193"/>
    <n v="39076125"/>
    <n v="1.6791124281427612"/>
  </r>
  <r>
    <x v="21"/>
    <n v="2020"/>
    <n v="4"/>
    <s v="Peer-to-peer payments"/>
    <n v="892853"/>
    <n v="5172499337.5304375"/>
    <n v="3176492"/>
    <n v="41617752"/>
    <n v="1628.3684446648811"/>
  </r>
  <r>
    <x v="21"/>
    <n v="2020"/>
    <n v="4"/>
    <s v="Recharge &amp; bill payments"/>
    <n v="436450"/>
    <n v="114202616.34869762"/>
    <n v="3176492"/>
    <n v="41617752"/>
    <n v="35.952433171151576"/>
  </r>
  <r>
    <x v="21"/>
    <n v="2020"/>
    <n v="4"/>
    <s v="Merchant payments"/>
    <n v="289050"/>
    <n v="307902115.38207734"/>
    <n v="3176492"/>
    <n v="41617752"/>
    <n v="96.931494045027449"/>
  </r>
  <r>
    <x v="21"/>
    <n v="2020"/>
    <n v="4"/>
    <s v="Financial Services"/>
    <n v="1806"/>
    <n v="2448402.9142817147"/>
    <n v="3176492"/>
    <n v="41617752"/>
    <n v="0.77078831436745776"/>
  </r>
  <r>
    <x v="21"/>
    <n v="2020"/>
    <n v="4"/>
    <s v="Others"/>
    <n v="7693"/>
    <n v="5172086.2832605438"/>
    <n v="3176492"/>
    <n v="41617752"/>
    <n v="1.6282384099379263"/>
  </r>
  <r>
    <x v="21"/>
    <n v="2021"/>
    <n v="1"/>
    <s v="Peer-to-peer payments"/>
    <n v="1117829"/>
    <n v="6402367883.6674232"/>
    <n v="3439348"/>
    <n v="40801497"/>
    <n v="1861.5062749298481"/>
  </r>
  <r>
    <x v="21"/>
    <n v="2021"/>
    <n v="1"/>
    <s v="Recharge &amp; bill payments"/>
    <n v="796590"/>
    <n v="223955812.58644393"/>
    <n v="3439348"/>
    <n v="40801497"/>
    <n v="65.115775602365318"/>
  </r>
  <r>
    <x v="21"/>
    <n v="2021"/>
    <n v="1"/>
    <s v="Merchant payments"/>
    <n v="377280"/>
    <n v="433297594.13521522"/>
    <n v="3439348"/>
    <n v="40801497"/>
    <n v="125.98248102117472"/>
  </r>
  <r>
    <x v="21"/>
    <n v="2021"/>
    <n v="1"/>
    <s v="Financial Services"/>
    <n v="3398"/>
    <n v="4385333.1754908115"/>
    <n v="3439348"/>
    <n v="40801497"/>
    <n v="1.2750478217065593"/>
  </r>
  <r>
    <x v="21"/>
    <n v="2021"/>
    <n v="1"/>
    <s v="Others"/>
    <n v="8438"/>
    <n v="6280890.9146698257"/>
    <n v="3439348"/>
    <n v="40801497"/>
    <n v="1.826186508218949"/>
  </r>
  <r>
    <x v="21"/>
    <n v="2021"/>
    <n v="2"/>
    <s v="Peer-to-peer payments"/>
    <n v="1372821"/>
    <n v="7041837917.7851868"/>
    <n v="3689499"/>
    <n v="79959022"/>
    <n v="1908.616296625961"/>
  </r>
  <r>
    <x v="21"/>
    <n v="2021"/>
    <n v="2"/>
    <s v="Recharge &amp; bill payments"/>
    <n v="1187952"/>
    <n v="305103750.5728581"/>
    <n v="3689499"/>
    <n v="79959022"/>
    <n v="82.695170963010995"/>
  </r>
  <r>
    <x v="21"/>
    <n v="2021"/>
    <n v="2"/>
    <s v="Merchant payments"/>
    <n v="510734"/>
    <n v="531484849.49141687"/>
    <n v="3689499"/>
    <n v="79959022"/>
    <n v="144.05339301932779"/>
  </r>
  <r>
    <x v="21"/>
    <n v="2021"/>
    <n v="2"/>
    <s v="Financial Services"/>
    <n v="4165"/>
    <n v="4256098.2322371826"/>
    <n v="3689499"/>
    <n v="79959022"/>
    <n v="1.1535707781021711"/>
  </r>
  <r>
    <x v="21"/>
    <n v="2021"/>
    <n v="2"/>
    <s v="Others"/>
    <n v="10603"/>
    <n v="7145346.3149420116"/>
    <n v="3689499"/>
    <n v="79959022"/>
    <n v="1.9366711618412178"/>
  </r>
  <r>
    <x v="21"/>
    <n v="2021"/>
    <n v="3"/>
    <s v="Peer-to-peer payments"/>
    <n v="1819423"/>
    <n v="9134806594.5281906"/>
    <n v="3979239"/>
    <n v="107181492"/>
    <n v="2295.6164720259803"/>
  </r>
  <r>
    <x v="21"/>
    <n v="2021"/>
    <n v="3"/>
    <s v="Recharge &amp; bill payments"/>
    <n v="1368584"/>
    <n v="367664440.53237265"/>
    <n v="3979239"/>
    <n v="107181492"/>
    <n v="92.395666742402923"/>
  </r>
  <r>
    <x v="21"/>
    <n v="2021"/>
    <n v="3"/>
    <s v="Merchant payments"/>
    <n v="735707"/>
    <n v="889317377.08652604"/>
    <n v="3979239"/>
    <n v="107181492"/>
    <n v="223.48930966110004"/>
  </r>
  <r>
    <x v="21"/>
    <n v="2021"/>
    <n v="3"/>
    <s v="Financial Services"/>
    <n v="3460"/>
    <n v="5625517.9754616488"/>
    <n v="3979239"/>
    <n v="107181492"/>
    <n v="1.4137170387256581"/>
  </r>
  <r>
    <x v="21"/>
    <n v="2021"/>
    <n v="3"/>
    <s v="Others"/>
    <n v="14222"/>
    <n v="9447098.7823033892"/>
    <n v="3979239"/>
    <n v="107181492"/>
    <n v="2.3740968517606982"/>
  </r>
  <r>
    <x v="21"/>
    <n v="2021"/>
    <n v="4"/>
    <s v="Peer-to-peer payments"/>
    <n v="2199970"/>
    <n v="10998828287.529043"/>
    <n v="4265206"/>
    <n v="83636234"/>
    <n v="2578.7331930811883"/>
  </r>
  <r>
    <x v="21"/>
    <n v="2021"/>
    <n v="4"/>
    <s v="Recharge &amp; bill payments"/>
    <n v="1451488"/>
    <n v="412791673.80376643"/>
    <n v="4265206"/>
    <n v="83636234"/>
    <n v="96.781180980183947"/>
  </r>
  <r>
    <x v="21"/>
    <n v="2021"/>
    <n v="4"/>
    <s v="Merchant payments"/>
    <n v="1013985"/>
    <n v="1229517397.4561875"/>
    <n v="4265206"/>
    <n v="83636234"/>
    <n v="288.26682637513579"/>
  </r>
  <r>
    <x v="21"/>
    <n v="2021"/>
    <n v="4"/>
    <s v="Financial Services"/>
    <n v="4671"/>
    <n v="5941100.580610943"/>
    <n v="4265206"/>
    <n v="83636234"/>
    <n v="1.3929223068266674"/>
  </r>
  <r>
    <x v="21"/>
    <n v="2021"/>
    <n v="4"/>
    <s v="Others"/>
    <n v="17325"/>
    <n v="11393578.842227157"/>
    <n v="4265206"/>
    <n v="83636234"/>
    <n v="2.67128453871329"/>
  </r>
  <r>
    <x v="22"/>
    <n v="2018"/>
    <n v="1"/>
    <s v="Recharge &amp; bill payments"/>
    <n v="31857"/>
    <n v="6028476.1490903562"/>
    <n v="203643"/>
    <n v="0"/>
    <n v="29.603159200612623"/>
  </r>
  <r>
    <x v="22"/>
    <n v="2018"/>
    <n v="1"/>
    <s v="Peer-to-peer payments"/>
    <n v="13274"/>
    <n v="55943496.515886314"/>
    <n v="203643"/>
    <n v="0"/>
    <n v="274.71357481419108"/>
  </r>
  <r>
    <x v="22"/>
    <n v="2018"/>
    <n v="1"/>
    <s v="Merchant payments"/>
    <n v="1605"/>
    <n v="2395888.4397623385"/>
    <n v="203643"/>
    <n v="0"/>
    <n v="11.765140170604138"/>
  </r>
  <r>
    <x v="22"/>
    <n v="2018"/>
    <n v="1"/>
    <s v="Financial Services"/>
    <n v="532"/>
    <n v="144318.25455711511"/>
    <n v="203643"/>
    <n v="0"/>
    <n v="0.70868261888262851"/>
  </r>
  <r>
    <x v="22"/>
    <n v="2018"/>
    <n v="1"/>
    <s v="Others"/>
    <n v="2303"/>
    <n v="1738080.4306043901"/>
    <n v="203643"/>
    <n v="0"/>
    <n v="8.5349382527481428"/>
  </r>
  <r>
    <x v="22"/>
    <n v="2018"/>
    <n v="2"/>
    <s v="Recharge &amp; bill payments"/>
    <n v="42625"/>
    <n v="9657896.164724296"/>
    <n v="292798"/>
    <n v="0"/>
    <n v="32.984843355228847"/>
  </r>
  <r>
    <x v="22"/>
    <n v="2018"/>
    <n v="2"/>
    <s v="Peer-to-peer payments"/>
    <n v="19894"/>
    <n v="101140464.66239843"/>
    <n v="292798"/>
    <n v="0"/>
    <n v="345.42744370657732"/>
  </r>
  <r>
    <x v="22"/>
    <n v="2018"/>
    <n v="2"/>
    <s v="Merchant payments"/>
    <n v="2929"/>
    <n v="3663446.4362201309"/>
    <n v="292798"/>
    <n v="0"/>
    <n v="12.511856079003719"/>
  </r>
  <r>
    <x v="22"/>
    <n v="2018"/>
    <n v="2"/>
    <s v="Financial Services"/>
    <n v="592"/>
    <n v="580648.34341321059"/>
    <n v="292798"/>
    <n v="0"/>
    <n v="1.9831021503330302"/>
  </r>
  <r>
    <x v="22"/>
    <n v="2018"/>
    <n v="2"/>
    <s v="Others"/>
    <n v="1817"/>
    <n v="1962212.2350756058"/>
    <n v="292798"/>
    <n v="0"/>
    <n v="6.7015902945908294"/>
  </r>
  <r>
    <x v="22"/>
    <n v="2018"/>
    <n v="3"/>
    <s v="Recharge &amp; bill payments"/>
    <n v="60625"/>
    <n v="14231601.453371253"/>
    <n v="410091"/>
    <n v="0"/>
    <n v="34.703520568291559"/>
  </r>
  <r>
    <x v="22"/>
    <n v="2018"/>
    <n v="3"/>
    <s v="Peer-to-peer payments"/>
    <n v="40832"/>
    <n v="187460582.05754715"/>
    <n v="410091"/>
    <n v="0"/>
    <n v="457.11947362304255"/>
  </r>
  <r>
    <x v="22"/>
    <n v="2018"/>
    <n v="3"/>
    <s v="Merchant payments"/>
    <n v="5802"/>
    <n v="5458930.6893795719"/>
    <n v="410091"/>
    <n v="0"/>
    <n v="13.311510590038727"/>
  </r>
  <r>
    <x v="22"/>
    <n v="2018"/>
    <n v="3"/>
    <s v="Financial Services"/>
    <n v="748"/>
    <n v="552674.57833598764"/>
    <n v="410091"/>
    <n v="0"/>
    <n v="1.3476876555105761"/>
  </r>
  <r>
    <x v="22"/>
    <n v="2018"/>
    <n v="3"/>
    <s v="Others"/>
    <n v="2283"/>
    <n v="2149872.7557602348"/>
    <n v="410091"/>
    <n v="0"/>
    <n v="5.2424285238160184"/>
  </r>
  <r>
    <x v="22"/>
    <n v="2018"/>
    <n v="4"/>
    <s v="Recharge &amp; bill payments"/>
    <n v="82962"/>
    <n v="18100891.637344178"/>
    <n v="545974"/>
    <n v="0"/>
    <n v="33.153394918703412"/>
  </r>
  <r>
    <x v="22"/>
    <n v="2018"/>
    <n v="4"/>
    <s v="Peer-to-peer payments"/>
    <n v="58952"/>
    <n v="301941442.7059927"/>
    <n v="545974"/>
    <n v="0"/>
    <n v="553.03264020996005"/>
  </r>
  <r>
    <x v="22"/>
    <n v="2018"/>
    <n v="4"/>
    <s v="Merchant payments"/>
    <n v="15768"/>
    <n v="14434314.193342488"/>
    <n v="545974"/>
    <n v="0"/>
    <n v="26.43773182119018"/>
  </r>
  <r>
    <x v="22"/>
    <n v="2018"/>
    <n v="4"/>
    <s v="Financial Services"/>
    <n v="763"/>
    <n v="190875.18848979956"/>
    <n v="545974"/>
    <n v="0"/>
    <n v="0.34960490515995185"/>
  </r>
  <r>
    <x v="22"/>
    <n v="2018"/>
    <n v="4"/>
    <s v="Others"/>
    <n v="2687"/>
    <n v="2918155.2795046642"/>
    <n v="545974"/>
    <n v="0"/>
    <n v="5.3448612562222086"/>
  </r>
  <r>
    <x v="22"/>
    <n v="2019"/>
    <n v="1"/>
    <s v="Recharge &amp; bill payments"/>
    <n v="98817"/>
    <n v="23006751.795504905"/>
    <n v="676357"/>
    <n v="0"/>
    <n v="34.015692593563614"/>
  </r>
  <r>
    <x v="22"/>
    <n v="2019"/>
    <n v="1"/>
    <s v="Peer-to-peer payments"/>
    <n v="90694"/>
    <n v="358932132.10468978"/>
    <n v="676357"/>
    <n v="0"/>
    <n v="530.68443455850945"/>
  </r>
  <r>
    <x v="22"/>
    <n v="2019"/>
    <n v="1"/>
    <s v="Merchant payments"/>
    <n v="16073"/>
    <n v="14297275.230527855"/>
    <n v="676357"/>
    <n v="0"/>
    <n v="21.138651970080677"/>
  </r>
  <r>
    <x v="22"/>
    <n v="2019"/>
    <n v="1"/>
    <s v="Financial Services"/>
    <n v="659"/>
    <n v="62335.064750311045"/>
    <n v="676357"/>
    <n v="0"/>
    <n v="9.2162962385709091E-2"/>
  </r>
  <r>
    <x v="22"/>
    <n v="2019"/>
    <n v="1"/>
    <s v="Others"/>
    <n v="2498"/>
    <n v="2738667.9579621488"/>
    <n v="676357"/>
    <n v="0"/>
    <n v="4.0491455813455746"/>
  </r>
  <r>
    <x v="22"/>
    <n v="2019"/>
    <n v="2"/>
    <s v="Recharge &amp; bill payments"/>
    <n v="108812"/>
    <n v="27248605.429233357"/>
    <n v="822206"/>
    <n v="4353404"/>
    <n v="33.140849652317492"/>
  </r>
  <r>
    <x v="22"/>
    <n v="2019"/>
    <n v="2"/>
    <s v="Peer-to-peer payments"/>
    <n v="97407"/>
    <n v="446537199.17356837"/>
    <n v="822206"/>
    <n v="4353404"/>
    <n v="543.09649792578546"/>
  </r>
  <r>
    <x v="22"/>
    <n v="2019"/>
    <n v="2"/>
    <s v="Merchant payments"/>
    <n v="22588"/>
    <n v="15600927.006629137"/>
    <n v="822206"/>
    <n v="4353404"/>
    <n v="18.974474774726939"/>
  </r>
  <r>
    <x v="22"/>
    <n v="2019"/>
    <n v="2"/>
    <s v="Financial Services"/>
    <n v="460"/>
    <n v="106800.75308155928"/>
    <n v="822206"/>
    <n v="4353404"/>
    <n v="0.12989537060245154"/>
  </r>
  <r>
    <x v="22"/>
    <n v="2019"/>
    <n v="2"/>
    <s v="Others"/>
    <n v="3019"/>
    <n v="3437756.744766518"/>
    <n v="822206"/>
    <n v="4353404"/>
    <n v="4.1811379931142776"/>
  </r>
  <r>
    <x v="22"/>
    <n v="2019"/>
    <n v="3"/>
    <s v="Recharge &amp; bill payments"/>
    <n v="155949"/>
    <n v="38916251.421657138"/>
    <n v="961345"/>
    <n v="15265954"/>
    <n v="40.481046265031949"/>
  </r>
  <r>
    <x v="22"/>
    <n v="2019"/>
    <n v="3"/>
    <s v="Peer-to-peer payments"/>
    <n v="116168"/>
    <n v="546221812.68893147"/>
    <n v="961345"/>
    <n v="15265954"/>
    <n v="568.18500401929737"/>
  </r>
  <r>
    <x v="22"/>
    <n v="2019"/>
    <n v="3"/>
    <s v="Merchant payments"/>
    <n v="31201"/>
    <n v="23461321.889810227"/>
    <n v="961345"/>
    <n v="15265954"/>
    <n v="24.404684988022225"/>
  </r>
  <r>
    <x v="22"/>
    <n v="2019"/>
    <n v="3"/>
    <s v="Financial Services"/>
    <n v="421"/>
    <n v="584192.94881087739"/>
    <n v="961345"/>
    <n v="15265954"/>
    <n v="0.60768293256934547"/>
  </r>
  <r>
    <x v="22"/>
    <n v="2019"/>
    <n v="3"/>
    <s v="Others"/>
    <n v="2811"/>
    <n v="3035023.2043234711"/>
    <n v="961345"/>
    <n v="15265954"/>
    <n v="3.1570593328341761"/>
  </r>
  <r>
    <x v="22"/>
    <n v="2019"/>
    <n v="4"/>
    <s v="Recharge &amp; bill payments"/>
    <n v="175084"/>
    <n v="43611775.02621875"/>
    <n v="1100330"/>
    <n v="16395962"/>
    <n v="39.635177652357704"/>
  </r>
  <r>
    <x v="22"/>
    <n v="2019"/>
    <n v="4"/>
    <s v="Peer-to-peer payments"/>
    <n v="163734"/>
    <n v="670870023.42976964"/>
    <n v="1100330"/>
    <n v="16395962"/>
    <n v="609.69892980266798"/>
  </r>
  <r>
    <x v="22"/>
    <n v="2019"/>
    <n v="4"/>
    <s v="Merchant payments"/>
    <n v="24430"/>
    <n v="25344714.505578939"/>
    <n v="1100330"/>
    <n v="16395962"/>
    <n v="23.0337394286977"/>
  </r>
  <r>
    <x v="22"/>
    <n v="2019"/>
    <n v="4"/>
    <s v="Financial Services"/>
    <n v="382"/>
    <n v="124511.63613216748"/>
    <n v="1100330"/>
    <n v="16395962"/>
    <n v="0.11315844894910389"/>
  </r>
  <r>
    <x v="22"/>
    <n v="2019"/>
    <n v="4"/>
    <s v="Others"/>
    <n v="2351"/>
    <n v="2485447.1925193951"/>
    <n v="1100330"/>
    <n v="16395962"/>
    <n v="2.2588198018043633"/>
  </r>
  <r>
    <x v="22"/>
    <n v="2020"/>
    <n v="1"/>
    <s v="Recharge &amp; bill payments"/>
    <n v="226214"/>
    <n v="59666071.215307929"/>
    <n v="1251954"/>
    <n v="18878321"/>
    <n v="47.658357427915028"/>
  </r>
  <r>
    <x v="22"/>
    <n v="2020"/>
    <n v="1"/>
    <s v="Peer-to-peer payments"/>
    <n v="216022"/>
    <n v="1013733312.3935763"/>
    <n v="1251954"/>
    <n v="18878321"/>
    <n v="809.72089421302724"/>
  </r>
  <r>
    <x v="22"/>
    <n v="2020"/>
    <n v="1"/>
    <s v="Merchant payments"/>
    <n v="57245"/>
    <n v="44125206.347559452"/>
    <n v="1251954"/>
    <n v="18878321"/>
    <n v="35.245069984647557"/>
  </r>
  <r>
    <x v="22"/>
    <n v="2020"/>
    <n v="1"/>
    <s v="Financial Services"/>
    <n v="473"/>
    <n v="402779.89033132966"/>
    <n v="1251954"/>
    <n v="18878321"/>
    <n v="0.32172099800098858"/>
  </r>
  <r>
    <x v="22"/>
    <n v="2020"/>
    <n v="1"/>
    <s v="Others"/>
    <n v="2329"/>
    <n v="2207471.0610390808"/>
    <n v="1251954"/>
    <n v="18878321"/>
    <n v="1.7632205824168308"/>
  </r>
  <r>
    <x v="22"/>
    <n v="2020"/>
    <n v="2"/>
    <s v="Recharge &amp; bill payments"/>
    <n v="382662"/>
    <n v="100570200.25271696"/>
    <n v="1498321"/>
    <n v="24257783"/>
    <n v="67.121931984345778"/>
  </r>
  <r>
    <x v="22"/>
    <n v="2020"/>
    <n v="2"/>
    <s v="Peer-to-peer payments"/>
    <n v="202270"/>
    <n v="998750895.91115928"/>
    <n v="1498321"/>
    <n v="24257783"/>
    <n v="666.58005588332492"/>
  </r>
  <r>
    <x v="22"/>
    <n v="2020"/>
    <n v="2"/>
    <s v="Merchant payments"/>
    <n v="46014"/>
    <n v="48980521.415951177"/>
    <n v="1498321"/>
    <n v="24257783"/>
    <n v="32.690272255378638"/>
  </r>
  <r>
    <x v="22"/>
    <n v="2020"/>
    <n v="2"/>
    <s v="Financial Services"/>
    <n v="1186"/>
    <n v="2944583.1147373449"/>
    <n v="1498321"/>
    <n v="24257783"/>
    <n v="1.9652551854624909"/>
  </r>
  <r>
    <x v="22"/>
    <n v="2020"/>
    <n v="2"/>
    <s v="Others"/>
    <n v="3263"/>
    <n v="2488953.643832149"/>
    <n v="1498321"/>
    <n v="24257783"/>
    <n v="1.661161823022002"/>
  </r>
  <r>
    <x v="22"/>
    <n v="2020"/>
    <n v="3"/>
    <s v="Recharge &amp; bill payments"/>
    <n v="342484"/>
    <n v="97662913.134086743"/>
    <n v="1735151"/>
    <n v="26229874"/>
    <n v="56.284964901663741"/>
  </r>
  <r>
    <x v="22"/>
    <n v="2020"/>
    <n v="3"/>
    <s v="Peer-to-peer payments"/>
    <n v="194448"/>
    <n v="1065012681.7126106"/>
    <n v="1735151"/>
    <n v="26229874"/>
    <n v="613.78674346648256"/>
  </r>
  <r>
    <x v="22"/>
    <n v="2020"/>
    <n v="3"/>
    <s v="Merchant payments"/>
    <n v="55595"/>
    <n v="67511647.134948701"/>
    <n v="1735151"/>
    <n v="26229874"/>
    <n v="38.908225932468532"/>
  </r>
  <r>
    <x v="22"/>
    <n v="2020"/>
    <n v="3"/>
    <s v="Financial Services"/>
    <n v="1587"/>
    <n v="4049966.8133478058"/>
    <n v="1735151"/>
    <n v="26229874"/>
    <n v="2.3340716821462832"/>
  </r>
  <r>
    <x v="22"/>
    <n v="2020"/>
    <n v="3"/>
    <s v="Others"/>
    <n v="3465"/>
    <n v="2821792.5880408054"/>
    <n v="1735151"/>
    <n v="26229874"/>
    <n v="1.6262518870350795"/>
  </r>
  <r>
    <x v="22"/>
    <n v="2020"/>
    <n v="4"/>
    <s v="Recharge &amp; bill payments"/>
    <n v="350006"/>
    <n v="102794647.7641504"/>
    <n v="1940917"/>
    <n v="30205087"/>
    <n v="52.961897785505712"/>
  </r>
  <r>
    <x v="22"/>
    <n v="2020"/>
    <n v="4"/>
    <s v="Peer-to-peer payments"/>
    <n v="286252"/>
    <n v="1579858348.0670543"/>
    <n v="1940917"/>
    <n v="30205087"/>
    <n v="813.97522308633199"/>
  </r>
  <r>
    <x v="22"/>
    <n v="2020"/>
    <n v="4"/>
    <s v="Merchant payments"/>
    <n v="111471"/>
    <n v="115136797.58942303"/>
    <n v="1940917"/>
    <n v="30205087"/>
    <n v="59.320824944818881"/>
  </r>
  <r>
    <x v="22"/>
    <n v="2020"/>
    <n v="4"/>
    <s v="Financial Services"/>
    <n v="1809"/>
    <n v="2774557.1120706168"/>
    <n v="1940917"/>
    <n v="30205087"/>
    <n v="1.42950837777742"/>
  </r>
  <r>
    <x v="22"/>
    <n v="2020"/>
    <n v="4"/>
    <s v="Others"/>
    <n v="4470"/>
    <n v="3678221.6662721671"/>
    <n v="1940917"/>
    <n v="30205087"/>
    <n v="1.8950947754448888"/>
  </r>
  <r>
    <x v="22"/>
    <n v="2021"/>
    <n v="1"/>
    <s v="Peer-to-peer payments"/>
    <n v="326993"/>
    <n v="1794745857.3188953"/>
    <n v="2099559"/>
    <n v="32329286"/>
    <n v="854.82039672088058"/>
  </r>
  <r>
    <x v="22"/>
    <n v="2021"/>
    <n v="1"/>
    <s v="Recharge &amp; bill payments"/>
    <n v="306634"/>
    <n v="106098525.65614726"/>
    <n v="2099559"/>
    <n v="32329286"/>
    <n v="50.533719536410864"/>
  </r>
  <r>
    <x v="22"/>
    <n v="2021"/>
    <n v="1"/>
    <s v="Merchant payments"/>
    <n v="108805"/>
    <n v="147747773.01896822"/>
    <n v="2099559"/>
    <n v="32329286"/>
    <n v="70.3708602706417"/>
  </r>
  <r>
    <x v="22"/>
    <n v="2021"/>
    <n v="1"/>
    <s v="Financial Services"/>
    <n v="1777"/>
    <n v="3981898.0457751974"/>
    <n v="2099559"/>
    <n v="32329286"/>
    <n v="1.8965402000016183"/>
  </r>
  <r>
    <x v="22"/>
    <n v="2021"/>
    <n v="1"/>
    <s v="Others"/>
    <n v="3437"/>
    <n v="2941223.9500499051"/>
    <n v="2099559"/>
    <n v="32329286"/>
    <n v="1.4008770175307792"/>
  </r>
  <r>
    <x v="22"/>
    <n v="2021"/>
    <n v="2"/>
    <s v="Recharge &amp; bill payments"/>
    <n v="389959"/>
    <n v="129031455.70772579"/>
    <n v="2262546"/>
    <n v="80198844"/>
    <n v="57.029318169763528"/>
  </r>
  <r>
    <x v="22"/>
    <n v="2021"/>
    <n v="2"/>
    <s v="Peer-to-peer payments"/>
    <n v="366411"/>
    <n v="1885041503.7970467"/>
    <n v="2262546"/>
    <n v="80198844"/>
    <n v="833.15057629636999"/>
  </r>
  <r>
    <x v="22"/>
    <n v="2021"/>
    <n v="2"/>
    <s v="Merchant payments"/>
    <n v="147406"/>
    <n v="173894963.00439677"/>
    <n v="2262546"/>
    <n v="80198844"/>
    <n v="76.858089517029384"/>
  </r>
  <r>
    <x v="22"/>
    <n v="2021"/>
    <n v="2"/>
    <s v="Financial Services"/>
    <n v="1766"/>
    <n v="2306496.8545958619"/>
    <n v="2262546"/>
    <n v="80198844"/>
    <n v="1.0194253971392677"/>
  </r>
  <r>
    <x v="22"/>
    <n v="2021"/>
    <n v="2"/>
    <s v="Others"/>
    <n v="4052"/>
    <n v="3342835.5268340455"/>
    <n v="2262546"/>
    <n v="80198844"/>
    <n v="1.4774663263571417"/>
  </r>
  <r>
    <x v="22"/>
    <n v="2021"/>
    <n v="3"/>
    <s v="Peer-to-peer payments"/>
    <n v="473274"/>
    <n v="2348008593.2164402"/>
    <n v="2453715"/>
    <n v="109482516"/>
    <n v="956.91985141568614"/>
  </r>
  <r>
    <x v="22"/>
    <n v="2021"/>
    <n v="3"/>
    <s v="Recharge &amp; bill payments"/>
    <n v="418429"/>
    <n v="144363692.75220004"/>
    <n v="2453715"/>
    <n v="109482516"/>
    <n v="58.834743542832008"/>
  </r>
  <r>
    <x v="22"/>
    <n v="2021"/>
    <n v="3"/>
    <s v="Merchant payments"/>
    <n v="199427"/>
    <n v="270311210.89072227"/>
    <n v="2453715"/>
    <n v="109482516"/>
    <n v="110.16406179638722"/>
  </r>
  <r>
    <x v="22"/>
    <n v="2021"/>
    <n v="3"/>
    <s v="Financial Services"/>
    <n v="1556"/>
    <n v="2379067.1150075165"/>
    <n v="2453715"/>
    <n v="109482516"/>
    <n v="0.96957760579672714"/>
  </r>
  <r>
    <x v="22"/>
    <n v="2021"/>
    <n v="3"/>
    <s v="Others"/>
    <n v="5045"/>
    <n v="3937887.5536006838"/>
    <n v="2453715"/>
    <n v="109482516"/>
    <n v="1.6048675390584008"/>
  </r>
  <r>
    <x v="22"/>
    <n v="2021"/>
    <n v="4"/>
    <s v="Peer-to-peer payments"/>
    <n v="669693"/>
    <n v="3233210261.7281971"/>
    <n v="2642948"/>
    <n v="66534534"/>
    <n v="1223.3347995224262"/>
  </r>
  <r>
    <x v="22"/>
    <n v="2021"/>
    <n v="4"/>
    <s v="Recharge &amp; bill payments"/>
    <n v="447310"/>
    <n v="165277548.45940137"/>
    <n v="2642948"/>
    <n v="66534534"/>
    <n v="62.535300906185583"/>
  </r>
  <r>
    <x v="22"/>
    <n v="2021"/>
    <n v="4"/>
    <s v="Merchant payments"/>
    <n v="314445"/>
    <n v="442464385.03779328"/>
    <n v="2642948"/>
    <n v="66534534"/>
    <n v="167.41320110641348"/>
  </r>
  <r>
    <x v="22"/>
    <n v="2021"/>
    <n v="4"/>
    <s v="Financial Services"/>
    <n v="1989"/>
    <n v="2464327.9242311358"/>
    <n v="2642948"/>
    <n v="66534534"/>
    <n v="0.93241634880108715"/>
  </r>
  <r>
    <x v="22"/>
    <n v="2021"/>
    <n v="4"/>
    <s v="Others"/>
    <n v="6756"/>
    <n v="5348877.0365314661"/>
    <n v="2642948"/>
    <n v="66534534"/>
    <n v="2.0238298432399979"/>
  </r>
  <r>
    <x v="23"/>
    <n v="2018"/>
    <n v="1"/>
    <s v="Recharge &amp; bill payments"/>
    <n v="10155"/>
    <n v="2199565.2589137438"/>
    <n v="83523"/>
    <n v="0"/>
    <n v="26.334844999745506"/>
  </r>
  <r>
    <x v="23"/>
    <n v="2018"/>
    <n v="1"/>
    <s v="Peer-to-peer payments"/>
    <n v="6845"/>
    <n v="41186717.278001666"/>
    <n v="83523"/>
    <n v="0"/>
    <n v="493.1182701531514"/>
  </r>
  <r>
    <x v="23"/>
    <n v="2018"/>
    <n v="1"/>
    <s v="Merchant payments"/>
    <n v="616"/>
    <n v="1066002.1670622267"/>
    <n v="83523"/>
    <n v="0"/>
    <n v="12.762977468029485"/>
  </r>
  <r>
    <x v="23"/>
    <n v="2018"/>
    <n v="1"/>
    <s v="Financial Services"/>
    <n v="260"/>
    <n v="65022.498968406893"/>
    <n v="83523"/>
    <n v="0"/>
    <n v="0.77849812588636536"/>
  </r>
  <r>
    <x v="23"/>
    <n v="2018"/>
    <n v="1"/>
    <s v="Others"/>
    <n v="685"/>
    <n v="709912.77284479095"/>
    <n v="83523"/>
    <n v="0"/>
    <n v="8.4996081659517859"/>
  </r>
  <r>
    <x v="23"/>
    <n v="2018"/>
    <n v="2"/>
    <s v="Recharge &amp; bill payments"/>
    <n v="13550"/>
    <n v="3107406.5016166861"/>
    <n v="114642"/>
    <n v="0"/>
    <n v="27.105306097387398"/>
  </r>
  <r>
    <x v="23"/>
    <n v="2018"/>
    <n v="2"/>
    <s v="Peer-to-peer payments"/>
    <n v="11427"/>
    <n v="77040044.252915114"/>
    <n v="114642"/>
    <n v="0"/>
    <n v="672.0054103462528"/>
  </r>
  <r>
    <x v="23"/>
    <n v="2018"/>
    <n v="2"/>
    <s v="Merchant payments"/>
    <n v="1310"/>
    <n v="2368711.9758926411"/>
    <n v="114642"/>
    <n v="0"/>
    <n v="20.661816575885286"/>
  </r>
  <r>
    <x v="23"/>
    <n v="2018"/>
    <n v="2"/>
    <s v="Financial Services"/>
    <n v="167"/>
    <n v="60939.773046271031"/>
    <n v="114642"/>
    <n v="0"/>
    <n v="0.5315658575938228"/>
  </r>
  <r>
    <x v="23"/>
    <n v="2018"/>
    <n v="2"/>
    <s v="Others"/>
    <n v="597"/>
    <n v="931303.05426362343"/>
    <n v="114642"/>
    <n v="0"/>
    <n v="8.1235764751454393"/>
  </r>
  <r>
    <x v="23"/>
    <n v="2018"/>
    <n v="3"/>
    <s v="Peer-to-peer payments"/>
    <n v="18564"/>
    <n v="108783543.9098094"/>
    <n v="159522"/>
    <n v="0"/>
    <n v="681.93442854157672"/>
  </r>
  <r>
    <x v="23"/>
    <n v="2018"/>
    <n v="3"/>
    <s v="Recharge &amp; bill payments"/>
    <n v="17610"/>
    <n v="4050433.5962071815"/>
    <n v="159522"/>
    <n v="0"/>
    <n v="25.391065785328554"/>
  </r>
  <r>
    <x v="23"/>
    <n v="2018"/>
    <n v="3"/>
    <s v="Merchant payments"/>
    <n v="2310"/>
    <n v="2952533.8004545765"/>
    <n v="159522"/>
    <n v="0"/>
    <n v="18.508630787318218"/>
  </r>
  <r>
    <x v="23"/>
    <n v="2018"/>
    <n v="3"/>
    <s v="Financial Services"/>
    <n v="240"/>
    <n v="43891.23943201654"/>
    <n v="159522"/>
    <n v="0"/>
    <n v="0.27514223387380138"/>
  </r>
  <r>
    <x v="23"/>
    <n v="2018"/>
    <n v="3"/>
    <s v="Others"/>
    <n v="592"/>
    <n v="770335.57948722679"/>
    <n v="159522"/>
    <n v="0"/>
    <n v="4.8290240812378658"/>
  </r>
  <r>
    <x v="23"/>
    <n v="2018"/>
    <n v="4"/>
    <s v="Peer-to-peer payments"/>
    <n v="26212"/>
    <n v="177049162.13058332"/>
    <n v="213015"/>
    <n v="0"/>
    <n v="831.15819135076549"/>
  </r>
  <r>
    <x v="23"/>
    <n v="2018"/>
    <n v="4"/>
    <s v="Recharge &amp; bill payments"/>
    <n v="24533"/>
    <n v="5523702.9764348874"/>
    <n v="213015"/>
    <n v="0"/>
    <n v="25.931051693237038"/>
  </r>
  <r>
    <x v="23"/>
    <n v="2018"/>
    <n v="4"/>
    <s v="Merchant payments"/>
    <n v="3699"/>
    <n v="6911586.608122997"/>
    <n v="213015"/>
    <n v="0"/>
    <n v="32.446478455146334"/>
  </r>
  <r>
    <x v="23"/>
    <n v="2018"/>
    <n v="4"/>
    <s v="Financial Services"/>
    <n v="145"/>
    <n v="35654.183378788934"/>
    <n v="213015"/>
    <n v="0"/>
    <n v="0.16737874505921618"/>
  </r>
  <r>
    <x v="23"/>
    <n v="2018"/>
    <n v="4"/>
    <s v="Others"/>
    <n v="653"/>
    <n v="906746.63100957219"/>
    <n v="213015"/>
    <n v="0"/>
    <n v="4.256726667181054"/>
  </r>
  <r>
    <x v="23"/>
    <n v="2019"/>
    <n v="1"/>
    <s v="Peer-to-peer payments"/>
    <n v="35126"/>
    <n v="204183867.41165379"/>
    <n v="260370"/>
    <n v="0"/>
    <n v="784.20658068000841"/>
  </r>
  <r>
    <x v="23"/>
    <n v="2019"/>
    <n v="1"/>
    <s v="Recharge &amp; bill payments"/>
    <n v="30327"/>
    <n v="6760113.704148788"/>
    <n v="260370"/>
    <n v="0"/>
    <n v="25.963489281210538"/>
  </r>
  <r>
    <x v="23"/>
    <n v="2019"/>
    <n v="1"/>
    <s v="Merchant payments"/>
    <n v="3984"/>
    <n v="6470456.0318978233"/>
    <n v="260370"/>
    <n v="0"/>
    <n v="24.851004462487321"/>
  </r>
  <r>
    <x v="23"/>
    <n v="2019"/>
    <n v="1"/>
    <s v="Financial Services"/>
    <n v="133"/>
    <n v="33512.396067361173"/>
    <n v="260370"/>
    <n v="0"/>
    <n v="0.12871066584998722"/>
  </r>
  <r>
    <x v="23"/>
    <n v="2019"/>
    <n v="1"/>
    <s v="Others"/>
    <n v="736"/>
    <n v="712945.85363475559"/>
    <n v="260370"/>
    <n v="0"/>
    <n v="2.7382027638927511"/>
  </r>
  <r>
    <x v="23"/>
    <n v="2019"/>
    <n v="2"/>
    <s v="Peer-to-peer payments"/>
    <n v="37364"/>
    <n v="233471780.00357005"/>
    <n v="315656"/>
    <n v="1463275"/>
    <n v="739.63992448605461"/>
  </r>
  <r>
    <x v="23"/>
    <n v="2019"/>
    <n v="2"/>
    <s v="Recharge &amp; bill payments"/>
    <n v="31903"/>
    <n v="7823562.3977025058"/>
    <n v="315656"/>
    <n v="1463275"/>
    <n v="24.785090090802981"/>
  </r>
  <r>
    <x v="23"/>
    <n v="2019"/>
    <n v="2"/>
    <s v="Merchant payments"/>
    <n v="5646"/>
    <n v="5889316.8612284632"/>
    <n v="315656"/>
    <n v="1463275"/>
    <n v="18.65738925041331"/>
  </r>
  <r>
    <x v="23"/>
    <n v="2019"/>
    <n v="2"/>
    <s v="Financial Services"/>
    <n v="80"/>
    <n v="14455.380988399309"/>
    <n v="315656"/>
    <n v="1463275"/>
    <n v="4.5794729035403443E-2"/>
  </r>
  <r>
    <x v="23"/>
    <n v="2019"/>
    <n v="2"/>
    <s v="Others"/>
    <n v="678"/>
    <n v="817593.4915248882"/>
    <n v="315656"/>
    <n v="1463275"/>
    <n v="2.5901408226832001"/>
  </r>
  <r>
    <x v="23"/>
    <n v="2019"/>
    <n v="3"/>
    <s v="Recharge &amp; bill payments"/>
    <n v="49073"/>
    <n v="12966806.696277115"/>
    <n v="375474"/>
    <n v="5036174"/>
    <n v="34.534499582599899"/>
  </r>
  <r>
    <x v="23"/>
    <n v="2019"/>
    <n v="3"/>
    <s v="Peer-to-peer payments"/>
    <n v="42645"/>
    <n v="257538220.22775066"/>
    <n v="375474"/>
    <n v="5036174"/>
    <n v="685.90160764194229"/>
  </r>
  <r>
    <x v="23"/>
    <n v="2019"/>
    <n v="3"/>
    <s v="Merchant payments"/>
    <n v="5560"/>
    <n v="7397529.0213269964"/>
    <n v="375474"/>
    <n v="5036174"/>
    <n v="19.701840929936552"/>
  </r>
  <r>
    <x v="23"/>
    <n v="2019"/>
    <n v="3"/>
    <s v="Financial Services"/>
    <n v="94"/>
    <n v="72985.311512948887"/>
    <n v="375474"/>
    <n v="5036174"/>
    <n v="0.1943817987742131"/>
  </r>
  <r>
    <x v="23"/>
    <n v="2019"/>
    <n v="3"/>
    <s v="Others"/>
    <n v="722"/>
    <n v="818358.69447444624"/>
    <n v="375474"/>
    <n v="5036174"/>
    <n v="2.1795349197932379"/>
  </r>
  <r>
    <x v="23"/>
    <n v="2019"/>
    <n v="4"/>
    <s v="Recharge &amp; bill payments"/>
    <n v="60511"/>
    <n v="16857122.3073061"/>
    <n v="437899"/>
    <n v="5820848"/>
    <n v="38.495457416678505"/>
  </r>
  <r>
    <x v="23"/>
    <n v="2019"/>
    <n v="4"/>
    <s v="Peer-to-peer payments"/>
    <n v="57109"/>
    <n v="341664291.49368542"/>
    <n v="437899"/>
    <n v="5820848"/>
    <n v="780.2353773214495"/>
  </r>
  <r>
    <x v="23"/>
    <n v="2019"/>
    <n v="4"/>
    <s v="Merchant payments"/>
    <n v="6939"/>
    <n v="9451111.1393528245"/>
    <n v="437899"/>
    <n v="5820848"/>
    <n v="21.582856182253956"/>
  </r>
  <r>
    <x v="23"/>
    <n v="2019"/>
    <n v="4"/>
    <s v="Financial Services"/>
    <n v="100"/>
    <n v="20966.3333050078"/>
    <n v="437899"/>
    <n v="5820848"/>
    <n v="4.7879381558322352E-2"/>
  </r>
  <r>
    <x v="23"/>
    <n v="2019"/>
    <n v="4"/>
    <s v="Others"/>
    <n v="580"/>
    <n v="695859.36083911394"/>
    <n v="437899"/>
    <n v="5820848"/>
    <n v="1.5890864350891734"/>
  </r>
  <r>
    <x v="23"/>
    <n v="2020"/>
    <n v="1"/>
    <s v="Recharge &amp; bill payments"/>
    <n v="85067"/>
    <n v="24356294.585232861"/>
    <n v="511489"/>
    <n v="7091513"/>
    <n v="47.61841327033985"/>
  </r>
  <r>
    <x v="23"/>
    <n v="2020"/>
    <n v="1"/>
    <s v="Peer-to-peer payments"/>
    <n v="57916"/>
    <n v="356260523.23262954"/>
    <n v="511489"/>
    <n v="7091513"/>
    <n v="696.51649054550444"/>
  </r>
  <r>
    <x v="23"/>
    <n v="2020"/>
    <n v="1"/>
    <s v="Merchant payments"/>
    <n v="9961"/>
    <n v="10404414.592504771"/>
    <n v="511489"/>
    <n v="7091513"/>
    <n v="20.341423945587827"/>
  </r>
  <r>
    <x v="23"/>
    <n v="2020"/>
    <n v="1"/>
    <s v="Financial Services"/>
    <n v="119"/>
    <n v="283854.31883811468"/>
    <n v="511489"/>
    <n v="7091513"/>
    <n v="0.55495683942003582"/>
  </r>
  <r>
    <x v="23"/>
    <n v="2020"/>
    <n v="1"/>
    <s v="Others"/>
    <n v="546"/>
    <n v="772492.62043177639"/>
    <n v="511489"/>
    <n v="7091513"/>
    <n v="1.510281981492811"/>
  </r>
  <r>
    <x v="23"/>
    <n v="2020"/>
    <n v="2"/>
    <s v="Recharge &amp; bill payments"/>
    <n v="127592"/>
    <n v="37504550.777320907"/>
    <n v="611314"/>
    <n v="8132388"/>
    <n v="61.35071465289672"/>
  </r>
  <r>
    <x v="23"/>
    <n v="2020"/>
    <n v="2"/>
    <s v="Peer-to-peer payments"/>
    <n v="60021"/>
    <n v="404110075.08639592"/>
    <n v="611314"/>
    <n v="8132388"/>
    <n v="661.0515628406938"/>
  </r>
  <r>
    <x v="23"/>
    <n v="2020"/>
    <n v="2"/>
    <s v="Merchant payments"/>
    <n v="10056"/>
    <n v="14627463.664270937"/>
    <n v="611314"/>
    <n v="8132388"/>
    <n v="23.927905567794845"/>
  </r>
  <r>
    <x v="23"/>
    <n v="2020"/>
    <n v="2"/>
    <s v="Financial Services"/>
    <n v="244"/>
    <n v="434960.2799078573"/>
    <n v="611314"/>
    <n v="8132388"/>
    <n v="0.71151696167249123"/>
  </r>
  <r>
    <x v="23"/>
    <n v="2020"/>
    <n v="2"/>
    <s v="Others"/>
    <n v="549"/>
    <n v="516383.63442262856"/>
    <n v="611314"/>
    <n v="8132388"/>
    <n v="0.84471095774451188"/>
  </r>
  <r>
    <x v="23"/>
    <n v="2020"/>
    <n v="3"/>
    <s v="Recharge &amp; bill payments"/>
    <n v="132664"/>
    <n v="40941077.032856956"/>
    <n v="751465"/>
    <n v="10173515"/>
    <n v="54.481681825310503"/>
  </r>
  <r>
    <x v="23"/>
    <n v="2020"/>
    <n v="3"/>
    <s v="Peer-to-peer payments"/>
    <n v="99644"/>
    <n v="634560147.35069013"/>
    <n v="751465"/>
    <n v="10173515"/>
    <n v="844.43074175203117"/>
  </r>
  <r>
    <x v="23"/>
    <n v="2020"/>
    <n v="3"/>
    <s v="Merchant payments"/>
    <n v="20934"/>
    <n v="30693648.236451425"/>
    <n v="751465"/>
    <n v="10173515"/>
    <n v="40.845080258496971"/>
  </r>
  <r>
    <x v="23"/>
    <n v="2020"/>
    <n v="3"/>
    <s v="Financial Services"/>
    <n v="535"/>
    <n v="824864.51312728703"/>
    <n v="751465"/>
    <n v="10173515"/>
    <n v="1.0976752252297672"/>
  </r>
  <r>
    <x v="23"/>
    <n v="2020"/>
    <n v="3"/>
    <s v="Others"/>
    <n v="926"/>
    <n v="924438.37147471716"/>
    <n v="751465"/>
    <n v="10173515"/>
    <n v="1.2301815406901415"/>
  </r>
  <r>
    <x v="23"/>
    <n v="2020"/>
    <n v="4"/>
    <s v="Peer-to-peer payments"/>
    <n v="141038"/>
    <n v="887252744.06766796"/>
    <n v="866041"/>
    <n v="12058002"/>
    <n v="1024.4927712055987"/>
  </r>
  <r>
    <x v="23"/>
    <n v="2020"/>
    <n v="4"/>
    <s v="Recharge &amp; bill payments"/>
    <n v="140297"/>
    <n v="45386403.172815919"/>
    <n v="866041"/>
    <n v="12058002"/>
    <n v="52.40676038757509"/>
  </r>
  <r>
    <x v="23"/>
    <n v="2020"/>
    <n v="4"/>
    <s v="Merchant payments"/>
    <n v="39676"/>
    <n v="52094800.565094605"/>
    <n v="866041"/>
    <n v="12058002"/>
    <n v="60.152810969797741"/>
  </r>
  <r>
    <x v="23"/>
    <n v="2020"/>
    <n v="4"/>
    <s v="Financial Services"/>
    <n v="607"/>
    <n v="855201.58811572369"/>
    <n v="866041"/>
    <n v="12058002"/>
    <n v="0.98748395066252481"/>
  </r>
  <r>
    <x v="23"/>
    <n v="2020"/>
    <n v="4"/>
    <s v="Others"/>
    <n v="989"/>
    <n v="932966.30026349518"/>
    <n v="866041"/>
    <n v="12058002"/>
    <n v="1.0772772885619679"/>
  </r>
  <r>
    <x v="23"/>
    <n v="2021"/>
    <n v="1"/>
    <s v="Peer-to-peer payments"/>
    <n v="156386"/>
    <n v="982955112.18927789"/>
    <n v="943250"/>
    <n v="13125354"/>
    <n v="1042.0939434818742"/>
  </r>
  <r>
    <x v="23"/>
    <n v="2021"/>
    <n v="1"/>
    <s v="Recharge &amp; bill payments"/>
    <n v="128055"/>
    <n v="45558278.223239534"/>
    <n v="943250"/>
    <n v="13125354"/>
    <n v="48.29926130213574"/>
  </r>
  <r>
    <x v="23"/>
    <n v="2021"/>
    <n v="1"/>
    <s v="Merchant payments"/>
    <n v="43511"/>
    <n v="70289687.946227476"/>
    <n v="943250"/>
    <n v="13125354"/>
    <n v="74.518619609040528"/>
  </r>
  <r>
    <x v="23"/>
    <n v="2021"/>
    <n v="1"/>
    <s v="Financial Services"/>
    <n v="648"/>
    <n v="1330632.9787811027"/>
    <n v="943250"/>
    <n v="13125354"/>
    <n v="1.4106896143982006"/>
  </r>
  <r>
    <x v="23"/>
    <n v="2021"/>
    <n v="1"/>
    <s v="Others"/>
    <n v="975"/>
    <n v="971875.60841171024"/>
    <n v="943250"/>
    <n v="13125354"/>
    <n v="1.030347848832982"/>
  </r>
  <r>
    <x v="23"/>
    <n v="2021"/>
    <n v="2"/>
    <s v="Peer-to-peer payments"/>
    <n v="173064"/>
    <n v="995581952.90340495"/>
    <n v="1018072"/>
    <n v="44160567"/>
    <n v="977.9091782343537"/>
  </r>
  <r>
    <x v="23"/>
    <n v="2021"/>
    <n v="2"/>
    <s v="Recharge &amp; bill payments"/>
    <n v="161763"/>
    <n v="56059844.239659324"/>
    <n v="1018072"/>
    <n v="44160567"/>
    <n v="55.064714715323987"/>
  </r>
  <r>
    <x v="23"/>
    <n v="2021"/>
    <n v="2"/>
    <s v="Merchant payments"/>
    <n v="57877"/>
    <n v="69528721.401561022"/>
    <n v="1018072"/>
    <n v="44160567"/>
    <n v="68.294503140800472"/>
  </r>
  <r>
    <x v="23"/>
    <n v="2021"/>
    <n v="2"/>
    <s v="Financial Services"/>
    <n v="611"/>
    <n v="710657.50656448293"/>
    <n v="1018072"/>
    <n v="44160567"/>
    <n v="0.69804248281504933"/>
  </r>
  <r>
    <x v="23"/>
    <n v="2021"/>
    <n v="2"/>
    <s v="Others"/>
    <n v="1025"/>
    <n v="993297.250902934"/>
    <n v="1018072"/>
    <n v="44160567"/>
    <n v="0.9756650324367373"/>
  </r>
  <r>
    <x v="23"/>
    <n v="2021"/>
    <n v="3"/>
    <s v="Peer-to-peer payments"/>
    <n v="224873"/>
    <n v="1290523196.2592211"/>
    <n v="1107117"/>
    <n v="59242898"/>
    <n v="1165.6610785122268"/>
  </r>
  <r>
    <x v="23"/>
    <n v="2021"/>
    <n v="3"/>
    <s v="Recharge &amp; bill payments"/>
    <n v="177281"/>
    <n v="67493206.623943478"/>
    <n v="1107117"/>
    <n v="59242898"/>
    <n v="60.963029764644098"/>
  </r>
  <r>
    <x v="23"/>
    <n v="2021"/>
    <n v="3"/>
    <s v="Merchant payments"/>
    <n v="74553"/>
    <n v="113697005.89820999"/>
    <n v="1107117"/>
    <n v="59242898"/>
    <n v="102.69646830299777"/>
  </r>
  <r>
    <x v="23"/>
    <n v="2021"/>
    <n v="3"/>
    <s v="Financial Services"/>
    <n v="522"/>
    <n v="806905.97294228384"/>
    <n v="1107117"/>
    <n v="59242898"/>
    <n v="0.72883531997276152"/>
  </r>
  <r>
    <x v="23"/>
    <n v="2021"/>
    <n v="3"/>
    <s v="Others"/>
    <n v="1300"/>
    <n v="1228335.4576346257"/>
    <n v="1107117"/>
    <n v="59242898"/>
    <n v="1.1094901962797299"/>
  </r>
  <r>
    <x v="23"/>
    <n v="2021"/>
    <n v="4"/>
    <s v="Peer-to-peer payments"/>
    <n v="272209"/>
    <n v="1545255603.4119103"/>
    <n v="1192455"/>
    <n v="23035298"/>
    <n v="1295.8607271653104"/>
  </r>
  <r>
    <x v="23"/>
    <n v="2021"/>
    <n v="4"/>
    <s v="Recharge &amp; bill payments"/>
    <n v="179405"/>
    <n v="67548806.847545817"/>
    <n v="1192455"/>
    <n v="23035298"/>
    <n v="56.646839375528486"/>
  </r>
  <r>
    <x v="23"/>
    <n v="2021"/>
    <n v="4"/>
    <s v="Merchant payments"/>
    <n v="99265"/>
    <n v="154183940.72826496"/>
    <n v="1192455"/>
    <n v="23035298"/>
    <n v="129.2995884358445"/>
  </r>
  <r>
    <x v="23"/>
    <n v="2021"/>
    <n v="4"/>
    <s v="Financial Services"/>
    <n v="695"/>
    <n v="2202285.707728365"/>
    <n v="1192455"/>
    <n v="23035298"/>
    <n v="1.846850160155616"/>
  </r>
  <r>
    <x v="23"/>
    <n v="2021"/>
    <n v="4"/>
    <s v="Others"/>
    <n v="1755"/>
    <n v="1475104.8275919389"/>
    <n v="1192455"/>
    <n v="23035298"/>
    <n v="1.2370318608181767"/>
  </r>
  <r>
    <x v="24"/>
    <n v="2018"/>
    <n v="1"/>
    <s v="Recharge &amp; bill payments"/>
    <n v="28198"/>
    <n v="5361675.5496233152"/>
    <n v="165814"/>
    <n v="0"/>
    <n v="32.335481621716596"/>
  </r>
  <r>
    <x v="24"/>
    <n v="2018"/>
    <n v="1"/>
    <s v="Peer-to-peer payments"/>
    <n v="11631"/>
    <n v="69830122.020638764"/>
    <n v="165814"/>
    <n v="0"/>
    <n v="421.13526011457878"/>
  </r>
  <r>
    <x v="24"/>
    <n v="2018"/>
    <n v="1"/>
    <s v="Merchant payments"/>
    <n v="822"/>
    <n v="1170667.4151649117"/>
    <n v="165814"/>
    <n v="0"/>
    <n v="7.060124085812487"/>
  </r>
  <r>
    <x v="24"/>
    <n v="2018"/>
    <n v="1"/>
    <s v="Financial Services"/>
    <n v="399"/>
    <n v="299016.73456207372"/>
    <n v="165814"/>
    <n v="0"/>
    <n v="1.8033262243361461"/>
  </r>
  <r>
    <x v="24"/>
    <n v="2018"/>
    <n v="1"/>
    <s v="Others"/>
    <n v="1795"/>
    <n v="1344409.3661360394"/>
    <n v="165814"/>
    <n v="0"/>
    <n v="8.107936399435749"/>
  </r>
  <r>
    <x v="24"/>
    <n v="2018"/>
    <n v="2"/>
    <s v="Recharge &amp; bill payments"/>
    <n v="41959"/>
    <n v="9139467.7039800975"/>
    <n v="246796"/>
    <n v="0"/>
    <n v="37.032479067651408"/>
  </r>
  <r>
    <x v="24"/>
    <n v="2018"/>
    <n v="2"/>
    <s v="Peer-to-peer payments"/>
    <n v="20099"/>
    <n v="140193107.69683594"/>
    <n v="246796"/>
    <n v="0"/>
    <n v="568.05259281688495"/>
  </r>
  <r>
    <x v="24"/>
    <n v="2018"/>
    <n v="2"/>
    <s v="Merchant payments"/>
    <n v="1529"/>
    <n v="2293935.4908359242"/>
    <n v="246796"/>
    <n v="0"/>
    <n v="9.2948649525759102"/>
  </r>
  <r>
    <x v="24"/>
    <n v="2018"/>
    <n v="2"/>
    <s v="Financial Services"/>
    <n v="379"/>
    <n v="153458.52316261371"/>
    <n v="246796"/>
    <n v="0"/>
    <n v="0.62180312145502237"/>
  </r>
  <r>
    <x v="24"/>
    <n v="2018"/>
    <n v="2"/>
    <s v="Others"/>
    <n v="1633"/>
    <n v="1545608.465487119"/>
    <n v="246796"/>
    <n v="0"/>
    <n v="6.2626965813348638"/>
  </r>
  <r>
    <x v="24"/>
    <n v="2018"/>
    <n v="3"/>
    <s v="Recharge &amp; bill payments"/>
    <n v="54885"/>
    <n v="12664922.724117381"/>
    <n v="352990"/>
    <n v="0"/>
    <n v="35.878984458815779"/>
  </r>
  <r>
    <x v="24"/>
    <n v="2018"/>
    <n v="3"/>
    <s v="Peer-to-peer payments"/>
    <n v="33930"/>
    <n v="223964723.15160483"/>
    <n v="352990"/>
    <n v="0"/>
    <n v="634.47894600868244"/>
  </r>
  <r>
    <x v="24"/>
    <n v="2018"/>
    <n v="3"/>
    <s v="Merchant payments"/>
    <n v="3518"/>
    <n v="3631042.2777308393"/>
    <n v="352990"/>
    <n v="0"/>
    <n v="10.286530150233263"/>
  </r>
  <r>
    <x v="24"/>
    <n v="2018"/>
    <n v="3"/>
    <s v="Financial Services"/>
    <n v="460"/>
    <n v="125171.61850935029"/>
    <n v="352990"/>
    <n v="0"/>
    <n v="0.35460386557508794"/>
  </r>
  <r>
    <x v="24"/>
    <n v="2018"/>
    <n v="3"/>
    <s v="Others"/>
    <n v="1578"/>
    <n v="1406883.1646908007"/>
    <n v="352990"/>
    <n v="0"/>
    <n v="3.9856176228527742"/>
  </r>
  <r>
    <x v="24"/>
    <n v="2018"/>
    <n v="4"/>
    <s v="Recharge &amp; bill payments"/>
    <n v="72881"/>
    <n v="16615511.42043031"/>
    <n v="472967"/>
    <n v="0"/>
    <n v="35.130382078306333"/>
  </r>
  <r>
    <x v="24"/>
    <n v="2018"/>
    <n v="4"/>
    <s v="Peer-to-peer payments"/>
    <n v="53723"/>
    <n v="358926253.43094724"/>
    <n v="472967"/>
    <n v="0"/>
    <n v="758.88223370963988"/>
  </r>
  <r>
    <x v="24"/>
    <n v="2018"/>
    <n v="4"/>
    <s v="Merchant payments"/>
    <n v="10350"/>
    <n v="10500634.794542974"/>
    <n v="472967"/>
    <n v="0"/>
    <n v="22.201622511809436"/>
  </r>
  <r>
    <x v="24"/>
    <n v="2018"/>
    <n v="4"/>
    <s v="Financial Services"/>
    <n v="587"/>
    <n v="216127.40846239947"/>
    <n v="472967"/>
    <n v="0"/>
    <n v="0.45696086294054228"/>
  </r>
  <r>
    <x v="24"/>
    <n v="2018"/>
    <n v="4"/>
    <s v="Others"/>
    <n v="1792"/>
    <n v="1754940.4912408509"/>
    <n v="472967"/>
    <n v="0"/>
    <n v="3.7104924682712555"/>
  </r>
  <r>
    <x v="24"/>
    <n v="2019"/>
    <n v="1"/>
    <s v="Recharge &amp; bill payments"/>
    <n v="87596"/>
    <n v="20020458.076388802"/>
    <n v="593021"/>
    <n v="0"/>
    <n v="33.760116549647989"/>
  </r>
  <r>
    <x v="24"/>
    <n v="2019"/>
    <n v="1"/>
    <s v="Peer-to-peer payments"/>
    <n v="71642"/>
    <n v="411855878.24982238"/>
    <n v="593021"/>
    <n v="0"/>
    <n v="694.50471104703274"/>
  </r>
  <r>
    <x v="24"/>
    <n v="2019"/>
    <n v="1"/>
    <s v="Merchant payments"/>
    <n v="7306"/>
    <n v="8187940.3220922127"/>
    <n v="593021"/>
    <n v="0"/>
    <n v="13.807167574322348"/>
  </r>
  <r>
    <x v="24"/>
    <n v="2019"/>
    <n v="1"/>
    <s v="Financial Services"/>
    <n v="430"/>
    <n v="101072.89773317604"/>
    <n v="593021"/>
    <n v="0"/>
    <n v="0.17043729940959265"/>
  </r>
  <r>
    <x v="24"/>
    <n v="2019"/>
    <n v="1"/>
    <s v="Others"/>
    <n v="1605"/>
    <n v="1776362.8662935253"/>
    <n v="593021"/>
    <n v="0"/>
    <n v="2.9954468160377545"/>
  </r>
  <r>
    <x v="24"/>
    <n v="2019"/>
    <n v="2"/>
    <s v="Recharge &amp; bill payments"/>
    <n v="92492"/>
    <n v="21350211.077814259"/>
    <n v="735801"/>
    <n v="3987467"/>
    <n v="29.016284400013397"/>
  </r>
  <r>
    <x v="24"/>
    <n v="2019"/>
    <n v="2"/>
    <s v="Peer-to-peer payments"/>
    <n v="81065"/>
    <n v="487705354.46570444"/>
    <n v="735801"/>
    <n v="3987467"/>
    <n v="662.82235885205978"/>
  </r>
  <r>
    <x v="24"/>
    <n v="2019"/>
    <n v="2"/>
    <s v="Merchant payments"/>
    <n v="12949"/>
    <n v="8990954.079767609"/>
    <n v="735801"/>
    <n v="3987467"/>
    <n v="12.219274069711252"/>
  </r>
  <r>
    <x v="24"/>
    <n v="2019"/>
    <n v="2"/>
    <s v="Financial Services"/>
    <n v="286"/>
    <n v="129758.00259777348"/>
    <n v="735801"/>
    <n v="3987467"/>
    <n v="0.1763493153689292"/>
  </r>
  <r>
    <x v="24"/>
    <n v="2019"/>
    <n v="2"/>
    <s v="Others"/>
    <n v="1961"/>
    <n v="1890404.5326202572"/>
    <n v="735801"/>
    <n v="3987467"/>
    <n v="2.569179075076355"/>
  </r>
  <r>
    <x v="24"/>
    <n v="2019"/>
    <n v="3"/>
    <s v="Recharge &amp; bill payments"/>
    <n v="145812"/>
    <n v="33293527.932100531"/>
    <n v="880847"/>
    <n v="13684242"/>
    <n v="37.797174687659187"/>
  </r>
  <r>
    <x v="24"/>
    <n v="2019"/>
    <n v="3"/>
    <s v="Peer-to-peer payments"/>
    <n v="100736"/>
    <n v="601803135.4703114"/>
    <n v="880847"/>
    <n v="13684242"/>
    <n v="683.20961014831335"/>
  </r>
  <r>
    <x v="24"/>
    <n v="2019"/>
    <n v="3"/>
    <s v="Merchant payments"/>
    <n v="13031"/>
    <n v="13381591.199777838"/>
    <n v="880847"/>
    <n v="13684242"/>
    <n v="15.19173159445152"/>
  </r>
  <r>
    <x v="24"/>
    <n v="2019"/>
    <n v="3"/>
    <s v="Financial Services"/>
    <n v="210"/>
    <n v="229319.84921986386"/>
    <n v="880847"/>
    <n v="13684242"/>
    <n v="0.26034016034551272"/>
  </r>
  <r>
    <x v="24"/>
    <n v="2019"/>
    <n v="3"/>
    <s v="Others"/>
    <n v="2089"/>
    <n v="2248897.2620018576"/>
    <n v="880847"/>
    <n v="13684242"/>
    <n v="2.5531077042912762"/>
  </r>
  <r>
    <x v="24"/>
    <n v="2019"/>
    <n v="4"/>
    <s v="Recharge &amp; bill payments"/>
    <n v="172761"/>
    <n v="39720745.597670965"/>
    <n v="1024364"/>
    <n v="16000061"/>
    <n v="38.776006964000068"/>
  </r>
  <r>
    <x v="24"/>
    <n v="2019"/>
    <n v="4"/>
    <s v="Peer-to-peer payments"/>
    <n v="128674"/>
    <n v="777298578.6127516"/>
    <n v="1024364"/>
    <n v="16000061"/>
    <n v="758.81090961098948"/>
  </r>
  <r>
    <x v="24"/>
    <n v="2019"/>
    <n v="4"/>
    <s v="Merchant payments"/>
    <n v="13578"/>
    <n v="15460907.228900284"/>
    <n v="1024364"/>
    <n v="16000061"/>
    <n v="15.093177062938842"/>
  </r>
  <r>
    <x v="24"/>
    <n v="2019"/>
    <n v="4"/>
    <s v="Financial Services"/>
    <n v="499"/>
    <n v="283291.77408421872"/>
    <n v="1024364"/>
    <n v="16000061"/>
    <n v="0.27655381688952241"/>
  </r>
  <r>
    <x v="24"/>
    <n v="2019"/>
    <n v="4"/>
    <s v="Others"/>
    <n v="1658"/>
    <n v="1773615.1353679793"/>
    <n v="1024364"/>
    <n v="16000061"/>
    <n v="1.7314305611754994"/>
  </r>
  <r>
    <x v="24"/>
    <n v="2020"/>
    <n v="1"/>
    <s v="Recharge &amp; bill payments"/>
    <n v="221741"/>
    <n v="53662023.320165433"/>
    <n v="1178573"/>
    <n v="18529720"/>
    <n v="45.531353017730282"/>
  </r>
  <r>
    <x v="24"/>
    <n v="2020"/>
    <n v="1"/>
    <s v="Peer-to-peer payments"/>
    <n v="135966"/>
    <n v="821508819.58939075"/>
    <n v="1178573"/>
    <n v="18529720"/>
    <n v="697.03685693579507"/>
  </r>
  <r>
    <x v="24"/>
    <n v="2020"/>
    <n v="1"/>
    <s v="Merchant payments"/>
    <n v="18249"/>
    <n v="17663339.369894989"/>
    <n v="1178573"/>
    <n v="18529720"/>
    <n v="14.987055846260681"/>
  </r>
  <r>
    <x v="24"/>
    <n v="2020"/>
    <n v="1"/>
    <s v="Financial Services"/>
    <n v="528"/>
    <n v="215066.78349539996"/>
    <n v="1178573"/>
    <n v="18529720"/>
    <n v="0.18248066390066628"/>
  </r>
  <r>
    <x v="24"/>
    <n v="2020"/>
    <n v="1"/>
    <s v="Others"/>
    <n v="1567"/>
    <n v="1730779.6714233835"/>
    <n v="1178573"/>
    <n v="18529720"/>
    <n v="1.4685383692171665"/>
  </r>
  <r>
    <x v="24"/>
    <n v="2020"/>
    <n v="2"/>
    <s v="Recharge &amp; bill payments"/>
    <n v="328269"/>
    <n v="85264116.117793739"/>
    <n v="1432255"/>
    <n v="23312069"/>
    <n v="59.531379620105177"/>
  </r>
  <r>
    <x v="24"/>
    <n v="2020"/>
    <n v="2"/>
    <s v="Peer-to-peer payments"/>
    <n v="166866"/>
    <n v="1025000209.9574311"/>
    <n v="1432255"/>
    <n v="23312069"/>
    <n v="715.65483098849791"/>
  </r>
  <r>
    <x v="24"/>
    <n v="2020"/>
    <n v="2"/>
    <s v="Merchant payments"/>
    <n v="20004"/>
    <n v="25214703.910237495"/>
    <n v="1432255"/>
    <n v="23312069"/>
    <n v="17.604898506367579"/>
  </r>
  <r>
    <x v="24"/>
    <n v="2020"/>
    <n v="2"/>
    <s v="Financial Services"/>
    <n v="860"/>
    <n v="989239.96719383122"/>
    <n v="1432255"/>
    <n v="23312069"/>
    <n v="0.69068704050174812"/>
  </r>
  <r>
    <x v="24"/>
    <n v="2020"/>
    <n v="2"/>
    <s v="Others"/>
    <n v="1567"/>
    <n v="1206234.3951445608"/>
    <n v="1432255"/>
    <n v="23312069"/>
    <n v="0.8421924832830473"/>
  </r>
  <r>
    <x v="24"/>
    <n v="2020"/>
    <n v="3"/>
    <s v="Recharge &amp; bill payments"/>
    <n v="347494"/>
    <n v="91214897.187445223"/>
    <n v="1904166"/>
    <n v="31555062"/>
    <n v="47.902807416709059"/>
  </r>
  <r>
    <x v="24"/>
    <n v="2020"/>
    <n v="3"/>
    <s v="Peer-to-peer payments"/>
    <n v="330638"/>
    <n v="1851638119.5398221"/>
    <n v="1904166"/>
    <n v="31555062"/>
    <n v="972.41423255106019"/>
  </r>
  <r>
    <x v="24"/>
    <n v="2020"/>
    <n v="3"/>
    <s v="Merchant payments"/>
    <n v="51912"/>
    <n v="62568884.132165708"/>
    <n v="1904166"/>
    <n v="31555062"/>
    <n v="32.858944090045568"/>
  </r>
  <r>
    <x v="24"/>
    <n v="2020"/>
    <n v="3"/>
    <s v="Financial Services"/>
    <n v="2544"/>
    <n v="2136903.0242114514"/>
    <n v="1904166"/>
    <n v="31555062"/>
    <n v="1.122225175857279"/>
  </r>
  <r>
    <x v="24"/>
    <n v="2020"/>
    <n v="3"/>
    <s v="Others"/>
    <n v="3731"/>
    <n v="2090339.2711506593"/>
    <n v="1904166"/>
    <n v="31555062"/>
    <n v="1.0977715551851357"/>
  </r>
  <r>
    <x v="24"/>
    <n v="2020"/>
    <n v="4"/>
    <s v="Peer-to-peer payments"/>
    <n v="417393"/>
    <n v="2563827858.0487146"/>
    <n v="2114068"/>
    <n v="32143331"/>
    <n v="1212.7461642902285"/>
  </r>
  <r>
    <x v="24"/>
    <n v="2020"/>
    <n v="4"/>
    <s v="Recharge &amp; bill payments"/>
    <n v="335297"/>
    <n v="91929581.877302676"/>
    <n v="2114068"/>
    <n v="32143331"/>
    <n v="43.484685392003797"/>
  </r>
  <r>
    <x v="24"/>
    <n v="2020"/>
    <n v="4"/>
    <s v="Merchant payments"/>
    <n v="90496"/>
    <n v="113115660.17405558"/>
    <n v="2114068"/>
    <n v="32143331"/>
    <n v="53.506159770667537"/>
  </r>
  <r>
    <x v="24"/>
    <n v="2020"/>
    <n v="4"/>
    <s v="Financial Services"/>
    <n v="1068"/>
    <n v="1017278.309874404"/>
    <n v="2114068"/>
    <n v="32143331"/>
    <n v="0.48119469661070696"/>
  </r>
  <r>
    <x v="24"/>
    <n v="2020"/>
    <n v="4"/>
    <s v="Others"/>
    <n v="3571"/>
    <n v="3194492.1527384534"/>
    <n v="2114068"/>
    <n v="32143331"/>
    <n v="1.5110640493770557"/>
  </r>
  <r>
    <x v="24"/>
    <n v="2021"/>
    <n v="1"/>
    <s v="Peer-to-peer payments"/>
    <n v="477346"/>
    <n v="2841021698.4844904"/>
    <n v="2285888"/>
    <n v="32786391"/>
    <n v="1242.8525362942062"/>
  </r>
  <r>
    <x v="24"/>
    <n v="2021"/>
    <n v="1"/>
    <s v="Recharge &amp; bill payments"/>
    <n v="376473"/>
    <n v="110095189.59316181"/>
    <n v="2285888"/>
    <n v="32786391"/>
    <n v="48.162985060143718"/>
  </r>
  <r>
    <x v="24"/>
    <n v="2021"/>
    <n v="1"/>
    <s v="Merchant payments"/>
    <n v="116846"/>
    <n v="151202427.14605337"/>
    <n v="2285888"/>
    <n v="32786391"/>
    <n v="66.146034777755247"/>
  </r>
  <r>
    <x v="24"/>
    <n v="2021"/>
    <n v="1"/>
    <s v="Financial Services"/>
    <n v="1511"/>
    <n v="1929643.694251965"/>
    <n v="2285888"/>
    <n v="32786391"/>
    <n v="0.8441549604582399"/>
  </r>
  <r>
    <x v="24"/>
    <n v="2021"/>
    <n v="1"/>
    <s v="Others"/>
    <n v="3721"/>
    <n v="3201525.6952415062"/>
    <n v="2285888"/>
    <n v="32786391"/>
    <n v="1.4005610490284328"/>
  </r>
  <r>
    <x v="24"/>
    <n v="2021"/>
    <n v="2"/>
    <s v="Peer-to-peer payments"/>
    <n v="526966"/>
    <n v="2847731457.5714788"/>
    <n v="2456707"/>
    <n v="73885812"/>
    <n v="1159.1660941135751"/>
  </r>
  <r>
    <x v="24"/>
    <n v="2021"/>
    <n v="2"/>
    <s v="Recharge &amp; bill payments"/>
    <n v="453979"/>
    <n v="126962524.74536937"/>
    <n v="2456707"/>
    <n v="73885812"/>
    <n v="51.679962138492449"/>
  </r>
  <r>
    <x v="24"/>
    <n v="2021"/>
    <n v="2"/>
    <s v="Merchant payments"/>
    <n v="144413"/>
    <n v="176831583.13676447"/>
    <n v="2456707"/>
    <n v="73885812"/>
    <n v="71.979109896607312"/>
  </r>
  <r>
    <x v="24"/>
    <n v="2021"/>
    <n v="2"/>
    <s v="Financial Services"/>
    <n v="1624"/>
    <n v="1785915.6371230448"/>
    <n v="2456707"/>
    <n v="73885812"/>
    <n v="0.72695508138457077"/>
  </r>
  <r>
    <x v="24"/>
    <n v="2021"/>
    <n v="2"/>
    <s v="Others"/>
    <n v="3809"/>
    <n v="2982482.691132756"/>
    <n v="2456707"/>
    <n v="73885812"/>
    <n v="1.2140164419821964"/>
  </r>
  <r>
    <x v="24"/>
    <n v="2021"/>
    <n v="3"/>
    <s v="Peer-to-peer payments"/>
    <n v="667633"/>
    <n v="3536780176.7792263"/>
    <n v="2659767"/>
    <n v="95281901"/>
    <n v="1329.7330844315409"/>
  </r>
  <r>
    <x v="24"/>
    <n v="2021"/>
    <n v="3"/>
    <s v="Recharge &amp; bill payments"/>
    <n v="474693"/>
    <n v="141172028.23897478"/>
    <n v="2659767"/>
    <n v="95281901"/>
    <n v="53.076840279233025"/>
  </r>
  <r>
    <x v="24"/>
    <n v="2021"/>
    <n v="3"/>
    <s v="Merchant payments"/>
    <n v="208387"/>
    <n v="304493279.81583571"/>
    <n v="2659767"/>
    <n v="95281901"/>
    <n v="114.48118568875985"/>
  </r>
  <r>
    <x v="24"/>
    <n v="2021"/>
    <n v="3"/>
    <s v="Financial Services"/>
    <n v="1437"/>
    <n v="1634878.888862805"/>
    <n v="2659767"/>
    <n v="95281901"/>
    <n v="0.6146699650243066"/>
  </r>
  <r>
    <x v="24"/>
    <n v="2021"/>
    <n v="3"/>
    <s v="Others"/>
    <n v="4642"/>
    <n v="3336484.2825483214"/>
    <n v="2659767"/>
    <n v="95281901"/>
    <n v="1.2544272797385341"/>
  </r>
  <r>
    <x v="24"/>
    <n v="2021"/>
    <n v="4"/>
    <s v="Peer-to-peer payments"/>
    <n v="819452"/>
    <n v="4335295237.9809065"/>
    <n v="2859890"/>
    <n v="70216707"/>
    <n v="1515.8957994821153"/>
  </r>
  <r>
    <x v="24"/>
    <n v="2021"/>
    <n v="4"/>
    <s v="Recharge &amp; bill payments"/>
    <n v="492411"/>
    <n v="154359432.07659015"/>
    <n v="2859890"/>
    <n v="70216707"/>
    <n v="53.973905316844409"/>
  </r>
  <r>
    <x v="24"/>
    <n v="2021"/>
    <n v="4"/>
    <s v="Merchant payments"/>
    <n v="311673"/>
    <n v="442578210.0882374"/>
    <n v="2859890"/>
    <n v="70216707"/>
    <n v="154.75357796566911"/>
  </r>
  <r>
    <x v="24"/>
    <n v="2021"/>
    <n v="4"/>
    <s v="Financial Services"/>
    <n v="1790"/>
    <n v="2263055.5218537706"/>
    <n v="2859890"/>
    <n v="70216707"/>
    <n v="0.7913085894400731"/>
  </r>
  <r>
    <x v="24"/>
    <n v="2021"/>
    <n v="4"/>
    <s v="Others"/>
    <n v="6157"/>
    <n v="4587848.4688887224"/>
    <n v="2859890"/>
    <n v="70216707"/>
    <n v="1.6042045214636655"/>
  </r>
  <r>
    <x v="25"/>
    <n v="2018"/>
    <n v="1"/>
    <s v="Recharge &amp; bill payments"/>
    <n v="2874109"/>
    <n v="331254466.15086609"/>
    <n v="17534165"/>
    <n v="0"/>
    <n v="18.89194416448494"/>
  </r>
  <r>
    <x v="25"/>
    <n v="2018"/>
    <n v="1"/>
    <s v="Peer-to-peer payments"/>
    <n v="2305610"/>
    <n v="4033548999.1932316"/>
    <n v="17534165"/>
    <n v="0"/>
    <n v="230.03941158265772"/>
  </r>
  <r>
    <x v="25"/>
    <n v="2018"/>
    <n v="1"/>
    <s v="Financial Services"/>
    <n v="323352"/>
    <n v="58099674.945761368"/>
    <n v="17534165"/>
    <n v="0"/>
    <n v="3.3135125023496337"/>
  </r>
  <r>
    <x v="25"/>
    <n v="2018"/>
    <n v="1"/>
    <s v="Merchant payments"/>
    <n v="129659"/>
    <n v="112301341.66618621"/>
    <n v="17534165"/>
    <n v="0"/>
    <n v="6.4047156888386878"/>
  </r>
  <r>
    <x v="25"/>
    <n v="2018"/>
    <n v="1"/>
    <s v="Others"/>
    <n v="177091"/>
    <n v="92427728.931437269"/>
    <n v="17534165"/>
    <n v="0"/>
    <n v="5.271293439490119"/>
  </r>
  <r>
    <x v="25"/>
    <n v="2018"/>
    <n v="2"/>
    <s v="Peer-to-peer payments"/>
    <n v="3989202"/>
    <n v="7621288195.5657024"/>
    <n v="24043591"/>
    <n v="0"/>
    <n v="316.97795040539921"/>
  </r>
  <r>
    <x v="25"/>
    <n v="2018"/>
    <n v="2"/>
    <s v="Recharge &amp; bill payments"/>
    <n v="3307545"/>
    <n v="482823290.3527084"/>
    <n v="24043591"/>
    <n v="0"/>
    <n v="20.081163847476379"/>
  </r>
  <r>
    <x v="25"/>
    <n v="2018"/>
    <n v="2"/>
    <s v="Financial Services"/>
    <n v="472304"/>
    <n v="67829259.917879373"/>
    <n v="24043591"/>
    <n v="0"/>
    <n v="2.8210952314851543"/>
  </r>
  <r>
    <x v="25"/>
    <n v="2018"/>
    <n v="2"/>
    <s v="Merchant payments"/>
    <n v="257628"/>
    <n v="213530873.35371211"/>
    <n v="24043591"/>
    <n v="0"/>
    <n v="8.8809892562933754"/>
  </r>
  <r>
    <x v="25"/>
    <n v="2018"/>
    <n v="2"/>
    <s v="Others"/>
    <n v="131465"/>
    <n v="102838720.42969128"/>
    <n v="24043591"/>
    <n v="0"/>
    <n v="4.2771780816638945"/>
  </r>
  <r>
    <x v="25"/>
    <n v="2018"/>
    <n v="3"/>
    <s v="Peer-to-peer payments"/>
    <n v="24472139"/>
    <n v="22029087498.562176"/>
    <n v="30752898"/>
    <n v="0"/>
    <n v="716.32558006605348"/>
  </r>
  <r>
    <x v="25"/>
    <n v="2018"/>
    <n v="3"/>
    <s v="Recharge &amp; bill payments"/>
    <n v="3886392"/>
    <n v="605721781.52850425"/>
    <n v="30752898"/>
    <n v="0"/>
    <n v="19.696413051170143"/>
  </r>
  <r>
    <x v="25"/>
    <n v="2018"/>
    <n v="3"/>
    <s v="Financial Services"/>
    <n v="836547"/>
    <n v="97292154.491176575"/>
    <n v="30752898"/>
    <n v="0"/>
    <n v="3.1636743467616149"/>
  </r>
  <r>
    <x v="25"/>
    <n v="2018"/>
    <n v="3"/>
    <s v="Merchant payments"/>
    <n v="729995"/>
    <n v="275532813.41930753"/>
    <n v="30752898"/>
    <n v="0"/>
    <n v="8.9595723115040258"/>
  </r>
  <r>
    <x v="25"/>
    <n v="2018"/>
    <n v="3"/>
    <s v="Others"/>
    <n v="127082"/>
    <n v="86881527.583668485"/>
    <n v="30752898"/>
    <n v="0"/>
    <n v="2.8251492780832717"/>
  </r>
  <r>
    <x v="25"/>
    <n v="2018"/>
    <n v="4"/>
    <s v="Peer-to-peer payments"/>
    <n v="12285028"/>
    <n v="21804268077.596016"/>
    <n v="39863021"/>
    <n v="0"/>
    <n v="546.9798206612594"/>
  </r>
  <r>
    <x v="25"/>
    <n v="2018"/>
    <n v="4"/>
    <s v="Recharge &amp; bill payments"/>
    <n v="5142124"/>
    <n v="773017649.59161294"/>
    <n v="39863021"/>
    <n v="0"/>
    <n v="19.391848138945939"/>
  </r>
  <r>
    <x v="25"/>
    <n v="2018"/>
    <n v="4"/>
    <s v="Merchant payments"/>
    <n v="3061813"/>
    <n v="682181415.87299848"/>
    <n v="39863021"/>
    <n v="0"/>
    <n v="17.113138913204757"/>
  </r>
  <r>
    <x v="25"/>
    <n v="2018"/>
    <n v="4"/>
    <s v="Financial Services"/>
    <n v="495495"/>
    <n v="55534399.309051722"/>
    <n v="39863021"/>
    <n v="0"/>
    <n v="1.3931307240625772"/>
  </r>
  <r>
    <x v="25"/>
    <n v="2018"/>
    <n v="4"/>
    <s v="Others"/>
    <n v="158338"/>
    <n v="114868029.19162312"/>
    <n v="39863021"/>
    <n v="0"/>
    <n v="2.8815685893857146"/>
  </r>
  <r>
    <x v="25"/>
    <n v="2019"/>
    <n v="1"/>
    <s v="Peer-to-peer payments"/>
    <n v="24117274"/>
    <n v="33342321630.613514"/>
    <n v="47528184"/>
    <n v="0"/>
    <n v="701.52736386085178"/>
  </r>
  <r>
    <x v="25"/>
    <n v="2019"/>
    <n v="1"/>
    <s v="Recharge &amp; bill payments"/>
    <n v="6713747"/>
    <n v="1120730273.3482153"/>
    <n v="47528184"/>
    <n v="0"/>
    <n v="23.580330217292026"/>
  </r>
  <r>
    <x v="25"/>
    <n v="2019"/>
    <n v="1"/>
    <s v="Merchant payments"/>
    <n v="2690762"/>
    <n v="821493664.58064198"/>
    <n v="47528184"/>
    <n v="0"/>
    <n v="17.284347842548371"/>
  </r>
  <r>
    <x v="25"/>
    <n v="2019"/>
    <n v="1"/>
    <s v="Financial Services"/>
    <n v="375910"/>
    <n v="34542738.889085874"/>
    <n v="47528184"/>
    <n v="0"/>
    <n v="0.72678431999602333"/>
  </r>
  <r>
    <x v="25"/>
    <n v="2019"/>
    <n v="1"/>
    <s v="Others"/>
    <n v="134249"/>
    <n v="108039623.26819064"/>
    <n v="47528184"/>
    <n v="0"/>
    <n v="2.2731696053901542"/>
  </r>
  <r>
    <x v="25"/>
    <n v="2019"/>
    <n v="2"/>
    <s v="Peer-to-peer payments"/>
    <n v="16455353"/>
    <n v="41423292021.956635"/>
    <n v="53298949"/>
    <n v="373510995"/>
    <n v="777.18778323296078"/>
  </r>
  <r>
    <x v="25"/>
    <n v="2019"/>
    <n v="2"/>
    <s v="Recharge &amp; bill payments"/>
    <n v="7845252"/>
    <n v="1506620072.6624596"/>
    <n v="53298949"/>
    <n v="373510995"/>
    <n v="28.267350499959381"/>
  </r>
  <r>
    <x v="25"/>
    <n v="2019"/>
    <n v="2"/>
    <s v="Merchant payments"/>
    <n v="4827067"/>
    <n v="1664621261.2600245"/>
    <n v="53298949"/>
    <n v="373510995"/>
    <n v="31.231783974952762"/>
  </r>
  <r>
    <x v="25"/>
    <n v="2019"/>
    <n v="2"/>
    <s v="Financial Services"/>
    <n v="202705"/>
    <n v="20424212.30787918"/>
    <n v="53298949"/>
    <n v="373510995"/>
    <n v="0.38320103287363472"/>
  </r>
  <r>
    <x v="25"/>
    <n v="2019"/>
    <n v="2"/>
    <s v="Others"/>
    <n v="181647"/>
    <n v="139897303.48684609"/>
    <n v="53298949"/>
    <n v="373510995"/>
    <n v="2.6247666438384383"/>
  </r>
  <r>
    <x v="25"/>
    <n v="2019"/>
    <n v="3"/>
    <s v="Peer-to-peer payments"/>
    <n v="18490877"/>
    <n v="51447586885.480347"/>
    <n v="59259299"/>
    <n v="1431996016"/>
    <n v="868.17744647098084"/>
  </r>
  <r>
    <x v="25"/>
    <n v="2019"/>
    <n v="3"/>
    <s v="Merchant payments"/>
    <n v="13984738"/>
    <n v="3895753253.3344541"/>
    <n v="59259299"/>
    <n v="1431996016"/>
    <n v="65.740792062600235"/>
  </r>
  <r>
    <x v="25"/>
    <n v="2019"/>
    <n v="3"/>
    <s v="Recharge &amp; bill payments"/>
    <n v="8565917"/>
    <n v="1806123698.4609375"/>
    <n v="59259299"/>
    <n v="1431996016"/>
    <n v="30.478316972007001"/>
  </r>
  <r>
    <x v="25"/>
    <n v="2019"/>
    <n v="3"/>
    <s v="Financial Services"/>
    <n v="195034"/>
    <n v="31079934.758642014"/>
    <n v="59259299"/>
    <n v="1431996016"/>
    <n v="0.52447354732701135"/>
  </r>
  <r>
    <x v="25"/>
    <n v="2019"/>
    <n v="3"/>
    <s v="Others"/>
    <n v="185706"/>
    <n v="124033587.18883926"/>
    <n v="59259299"/>
    <n v="1431996016"/>
    <n v="2.0930653801496919"/>
  </r>
  <r>
    <x v="25"/>
    <n v="2019"/>
    <n v="4"/>
    <s v="Peer-to-peer payments"/>
    <n v="43284477"/>
    <n v="72966050937.295044"/>
    <n v="67270907"/>
    <n v="2088962909"/>
    <n v="1084.6598357488333"/>
  </r>
  <r>
    <x v="25"/>
    <n v="2019"/>
    <n v="4"/>
    <s v="Recharge &amp; bill payments"/>
    <n v="10629461"/>
    <n v="2290841668.3045249"/>
    <n v="67270907"/>
    <n v="2088962909"/>
    <n v="34.053973262238387"/>
  </r>
  <r>
    <x v="25"/>
    <n v="2019"/>
    <n v="4"/>
    <s v="Merchant payments"/>
    <n v="10601703"/>
    <n v="4395710870.1542511"/>
    <n v="67270907"/>
    <n v="2088962909"/>
    <n v="65.343416139078528"/>
  </r>
  <r>
    <x v="25"/>
    <n v="2019"/>
    <n v="4"/>
    <s v="Financial Services"/>
    <n v="323887"/>
    <n v="38782542.045898683"/>
    <n v="67270907"/>
    <n v="2088962909"/>
    <n v="0.57651284597513575"/>
  </r>
  <r>
    <x v="25"/>
    <n v="2019"/>
    <n v="4"/>
    <s v="Others"/>
    <n v="156105"/>
    <n v="77987614.250833705"/>
    <n v="67270907"/>
    <n v="2088962909"/>
    <n v="1.1593067156182941"/>
  </r>
  <r>
    <x v="25"/>
    <n v="2020"/>
    <n v="1"/>
    <s v="Peer-to-peer payments"/>
    <n v="27110930"/>
    <n v="82863844732.494095"/>
    <n v="73182670"/>
    <n v="1935104842"/>
    <n v="1132.2878043735504"/>
  </r>
  <r>
    <x v="25"/>
    <n v="2020"/>
    <n v="1"/>
    <s v="Merchant payments"/>
    <n v="13269709"/>
    <n v="5738217250.0625687"/>
    <n v="73182670"/>
    <n v="1935104842"/>
    <n v="78.409509383335816"/>
  </r>
  <r>
    <x v="25"/>
    <n v="2020"/>
    <n v="1"/>
    <s v="Recharge &amp; bill payments"/>
    <n v="13083524"/>
    <n v="3253609732.8992968"/>
    <n v="73182670"/>
    <n v="1935104842"/>
    <n v="44.458745942164953"/>
  </r>
  <r>
    <x v="25"/>
    <n v="2020"/>
    <n v="1"/>
    <s v="Financial Services"/>
    <n v="84037"/>
    <n v="27641460.905009564"/>
    <n v="73182670"/>
    <n v="1935104842"/>
    <n v="0.37770500727849315"/>
  </r>
  <r>
    <x v="25"/>
    <n v="2020"/>
    <n v="1"/>
    <s v="Others"/>
    <n v="134107"/>
    <n v="73485022.97217913"/>
    <n v="73182670"/>
    <n v="1935104842"/>
    <n v="1.0041314832074195"/>
  </r>
  <r>
    <x v="25"/>
    <n v="2020"/>
    <n v="2"/>
    <s v="Peer-to-peer payments"/>
    <n v="24520938"/>
    <n v="80990080777.892517"/>
    <n v="79841465"/>
    <n v="1701510492"/>
    <n v="1014.3862061886329"/>
  </r>
  <r>
    <x v="25"/>
    <n v="2020"/>
    <n v="2"/>
    <s v="Recharge &amp; bill payments"/>
    <n v="17040333"/>
    <n v="4551061364.3448095"/>
    <n v="79841465"/>
    <n v="1701510492"/>
    <n v="57.00122567070644"/>
  </r>
  <r>
    <x v="25"/>
    <n v="2020"/>
    <n v="2"/>
    <s v="Merchant payments"/>
    <n v="8313965"/>
    <n v="6092753944.9481163"/>
    <n v="79841465"/>
    <n v="1701510492"/>
    <n v="76.310648169445741"/>
  </r>
  <r>
    <x v="25"/>
    <n v="2020"/>
    <n v="2"/>
    <s v="Financial Services"/>
    <n v="66787"/>
    <n v="50322080.338512495"/>
    <n v="79841465"/>
    <n v="1701510492"/>
    <n v="0.63027501234493244"/>
  </r>
  <r>
    <x v="25"/>
    <n v="2020"/>
    <n v="2"/>
    <s v="Others"/>
    <n v="86553"/>
    <n v="48818444.572588921"/>
    <n v="79841465"/>
    <n v="1701510492"/>
    <n v="0.61144224461047803"/>
  </r>
  <r>
    <x v="25"/>
    <n v="2020"/>
    <n v="3"/>
    <s v="Peer-to-peer payments"/>
    <n v="34182172"/>
    <n v="107064668710.39911"/>
    <n v="86919305"/>
    <n v="2261574326"/>
    <n v="1231.7708788674634"/>
  </r>
  <r>
    <x v="25"/>
    <n v="2020"/>
    <n v="3"/>
    <s v="Recharge &amp; bill payments"/>
    <n v="17126851"/>
    <n v="5015719823.5144787"/>
    <n v="86919305"/>
    <n v="2261574326"/>
    <n v="57.705475481131366"/>
  </r>
  <r>
    <x v="25"/>
    <n v="2020"/>
    <n v="3"/>
    <s v="Merchant payments"/>
    <n v="14519265"/>
    <n v="10242496366.436386"/>
    <n v="86919305"/>
    <n v="2261574326"/>
    <n v="117.83914248320768"/>
  </r>
  <r>
    <x v="25"/>
    <n v="2020"/>
    <n v="3"/>
    <s v="Financial Services"/>
    <n v="90736"/>
    <n v="84971747.757552683"/>
    <n v="86919305"/>
    <n v="2261574326"/>
    <n v="0.9775935018987173"/>
  </r>
  <r>
    <x v="25"/>
    <n v="2020"/>
    <n v="3"/>
    <s v="Others"/>
    <n v="114805"/>
    <n v="56087156.185133971"/>
    <n v="86919305"/>
    <n v="2261574326"/>
    <n v="0.64527847047481535"/>
  </r>
  <r>
    <x v="25"/>
    <n v="2020"/>
    <n v="4"/>
    <s v="Peer-to-peer payments"/>
    <n v="47588728"/>
    <n v="153208735347.12689"/>
    <n v="94586261"/>
    <n v="2970938223"/>
    <n v="1619.7779014346163"/>
  </r>
  <r>
    <x v="25"/>
    <n v="2020"/>
    <n v="4"/>
    <s v="Merchant payments"/>
    <n v="27124765"/>
    <n v="19347472702.804092"/>
    <n v="94586261"/>
    <n v="2970938223"/>
    <n v="204.5484460243554"/>
  </r>
  <r>
    <x v="25"/>
    <n v="2020"/>
    <n v="4"/>
    <s v="Recharge &amp; bill payments"/>
    <n v="17318073"/>
    <n v="5532179002.0027885"/>
    <n v="94586261"/>
    <n v="2970938223"/>
    <n v="58.48818785640325"/>
  </r>
  <r>
    <x v="25"/>
    <n v="2020"/>
    <n v="4"/>
    <s v="Financial Services"/>
    <n v="106189"/>
    <n v="104419909.66526456"/>
    <n v="94586261"/>
    <n v="2970938223"/>
    <n v="1.103964873558799"/>
  </r>
  <r>
    <x v="25"/>
    <n v="2020"/>
    <n v="4"/>
    <s v="Others"/>
    <n v="187195"/>
    <n v="109856053.01820508"/>
    <n v="94586261"/>
    <n v="2970938223"/>
    <n v="1.1614377379628642"/>
  </r>
  <r>
    <x v="25"/>
    <n v="2021"/>
    <n v="1"/>
    <s v="Peer-to-peer payments"/>
    <n v="54417515"/>
    <n v="181450436291.91052"/>
    <n v="101563099"/>
    <n v="3314470214"/>
    <n v="1786.5783742174954"/>
  </r>
  <r>
    <x v="25"/>
    <n v="2021"/>
    <n v="1"/>
    <s v="Merchant payments"/>
    <n v="38180718"/>
    <n v="25201936762.205833"/>
    <n v="101563099"/>
    <n v="3314470214"/>
    <n v="248.14068308614563"/>
  </r>
  <r>
    <x v="25"/>
    <n v="2021"/>
    <n v="1"/>
    <s v="Recharge &amp; bill payments"/>
    <n v="18633830"/>
    <n v="6552605937.5455427"/>
    <n v="101563099"/>
    <n v="3314470214"/>
    <n v="64.517585639500254"/>
  </r>
  <r>
    <x v="25"/>
    <n v="2021"/>
    <n v="1"/>
    <s v="Financial Services"/>
    <n v="87263"/>
    <n v="95064023.948443666"/>
    <n v="101563099"/>
    <n v="3314470214"/>
    <n v="0.93600948459089128"/>
  </r>
  <r>
    <x v="25"/>
    <n v="2021"/>
    <n v="1"/>
    <s v="Others"/>
    <n v="141032"/>
    <n v="97693172.730528504"/>
    <n v="101563099"/>
    <n v="3314470214"/>
    <n v="0.96189633530706364"/>
  </r>
  <r>
    <x v="25"/>
    <n v="2021"/>
    <n v="2"/>
    <s v="Peer-to-peer payments"/>
    <n v="66929109"/>
    <n v="208405882369.05441"/>
    <n v="108801319"/>
    <n v="4043341434"/>
    <n v="1915.4720207854687"/>
  </r>
  <r>
    <x v="25"/>
    <n v="2021"/>
    <n v="2"/>
    <s v="Merchant payments"/>
    <n v="39402607"/>
    <n v="29208847674.899841"/>
    <n v="108801319"/>
    <n v="4043341434"/>
    <n v="268.46041889344963"/>
  </r>
  <r>
    <x v="25"/>
    <n v="2021"/>
    <n v="2"/>
    <s v="Recharge &amp; bill payments"/>
    <n v="25183699"/>
    <n v="8024323050.14009"/>
    <n v="108801319"/>
    <n v="4043341434"/>
    <n v="73.752075102509465"/>
  </r>
  <r>
    <x v="25"/>
    <n v="2021"/>
    <n v="2"/>
    <s v="Financial Services"/>
    <n v="102474"/>
    <n v="102761986.97553992"/>
    <n v="108801319"/>
    <n v="4043341434"/>
    <n v="0.94449210652988425"/>
  </r>
  <r>
    <x v="25"/>
    <n v="2021"/>
    <n v="2"/>
    <s v="Others"/>
    <n v="206448"/>
    <n v="122302396.20450994"/>
    <n v="108801319"/>
    <n v="4043341434"/>
    <n v="1.1240892787752872"/>
  </r>
  <r>
    <x v="25"/>
    <n v="2021"/>
    <n v="3"/>
    <s v="Peer-to-peer payments"/>
    <n v="85728576"/>
    <n v="251150860524.22568"/>
    <n v="117177390"/>
    <n v="5421676744"/>
    <n v="2143.3389199420271"/>
  </r>
  <r>
    <x v="25"/>
    <n v="2021"/>
    <n v="3"/>
    <s v="Merchant payments"/>
    <n v="64268830"/>
    <n v="43316348173.180038"/>
    <n v="117177390"/>
    <n v="5421676744"/>
    <n v="369.66472946000965"/>
  </r>
  <r>
    <x v="25"/>
    <n v="2021"/>
    <n v="3"/>
    <s v="Recharge &amp; bill payments"/>
    <n v="26943670"/>
    <n v="9025674783.4041977"/>
    <n v="117177390"/>
    <n v="5421676744"/>
    <n v="77.025736649401367"/>
  </r>
  <r>
    <x v="25"/>
    <n v="2021"/>
    <n v="3"/>
    <s v="Financial Services"/>
    <n v="97213"/>
    <n v="112383446.87807697"/>
    <n v="117177390"/>
    <n v="5421676744"/>
    <n v="0.95908815581296847"/>
  </r>
  <r>
    <x v="25"/>
    <n v="2021"/>
    <n v="3"/>
    <s v="Others"/>
    <n v="324385"/>
    <n v="175452005.35341299"/>
    <n v="117177390"/>
    <n v="5421676744"/>
    <n v="1.4973196224409246"/>
  </r>
  <r>
    <x v="25"/>
    <n v="2021"/>
    <n v="4"/>
    <s v="Peer-to-peer payments"/>
    <n v="107560893"/>
    <n v="310704112799.89081"/>
    <n v="125391585"/>
    <n v="6240865906"/>
    <n v="2477.8705269567395"/>
  </r>
  <r>
    <x v="25"/>
    <n v="2021"/>
    <n v="4"/>
    <s v="Merchant payments"/>
    <n v="99512650"/>
    <n v="63383870318.301788"/>
    <n v="125391585"/>
    <n v="6240865906"/>
    <n v="505.48743217738087"/>
  </r>
  <r>
    <x v="25"/>
    <n v="2021"/>
    <n v="4"/>
    <s v="Recharge &amp; bill payments"/>
    <n v="26302130"/>
    <n v="10728834440.697895"/>
    <n v="125391585"/>
    <n v="6240865906"/>
    <n v="85.562635169639933"/>
  </r>
  <r>
    <x v="25"/>
    <n v="2021"/>
    <n v="4"/>
    <s v="Financial Services"/>
    <n v="133004"/>
    <n v="147526652.49426866"/>
    <n v="125391585"/>
    <n v="6240865906"/>
    <n v="1.1765275356736951"/>
  </r>
  <r>
    <x v="25"/>
    <n v="2021"/>
    <n v="4"/>
    <s v="Others"/>
    <n v="416689"/>
    <n v="286705478.53455383"/>
    <n v="125391585"/>
    <n v="6240865906"/>
    <n v="2.2864810149305779"/>
  </r>
  <r>
    <x v="26"/>
    <n v="2018"/>
    <n v="1"/>
    <s v="Recharge &amp; bill payments"/>
    <n v="53125"/>
    <n v="9704752.6489832364"/>
    <n v="542498"/>
    <n v="0"/>
    <n v="17.889010925354999"/>
  </r>
  <r>
    <x v="26"/>
    <n v="2018"/>
    <n v="1"/>
    <s v="Peer-to-peer payments"/>
    <n v="40303"/>
    <n v="147834476.16250613"/>
    <n v="542498"/>
    <n v="0"/>
    <n v="272.50695147725179"/>
  </r>
  <r>
    <x v="26"/>
    <n v="2018"/>
    <n v="1"/>
    <s v="Merchant payments"/>
    <n v="4163"/>
    <n v="4427034.0315394765"/>
    <n v="542498"/>
    <n v="0"/>
    <n v="8.1604614791934278"/>
  </r>
  <r>
    <x v="26"/>
    <n v="2018"/>
    <n v="1"/>
    <s v="Financial Services"/>
    <n v="2086"/>
    <n v="565799.45534425718"/>
    <n v="542498"/>
    <n v="0"/>
    <n v="1.0429521497669247"/>
  </r>
  <r>
    <x v="26"/>
    <n v="2018"/>
    <n v="1"/>
    <s v="Others"/>
    <n v="4535"/>
    <n v="3293909.0714630377"/>
    <n v="542498"/>
    <n v="0"/>
    <n v="6.0717441750256"/>
  </r>
  <r>
    <x v="26"/>
    <n v="2018"/>
    <n v="2"/>
    <s v="Recharge &amp; bill payments"/>
    <n v="59867"/>
    <n v="14607336.895731753"/>
    <n v="721380"/>
    <n v="0"/>
    <n v="20.249157026437874"/>
  </r>
  <r>
    <x v="26"/>
    <n v="2018"/>
    <n v="2"/>
    <s v="Peer-to-peer payments"/>
    <n v="57751"/>
    <n v="261299695.1891191"/>
    <n v="721380"/>
    <n v="0"/>
    <n v="362.22198451456808"/>
  </r>
  <r>
    <x v="26"/>
    <n v="2018"/>
    <n v="2"/>
    <s v="Merchant payments"/>
    <n v="6904"/>
    <n v="6103101.528770715"/>
    <n v="721380"/>
    <n v="0"/>
    <n v="8.4603142986646631"/>
  </r>
  <r>
    <x v="26"/>
    <n v="2018"/>
    <n v="2"/>
    <s v="Financial Services"/>
    <n v="2105"/>
    <n v="822585.95719086996"/>
    <n v="721380"/>
    <n v="0"/>
    <n v="1.1402949308143697"/>
  </r>
  <r>
    <x v="26"/>
    <n v="2018"/>
    <n v="2"/>
    <s v="Others"/>
    <n v="3634"/>
    <n v="2968399.9616244407"/>
    <n v="721380"/>
    <n v="0"/>
    <n v="4.1148908503485551"/>
  </r>
  <r>
    <x v="26"/>
    <n v="2018"/>
    <n v="3"/>
    <s v="Peer-to-peer payments"/>
    <n v="101817"/>
    <n v="378368361.36171496"/>
    <n v="897006"/>
    <n v="0"/>
    <n v="421.812520051945"/>
  </r>
  <r>
    <x v="26"/>
    <n v="2018"/>
    <n v="3"/>
    <s v="Recharge &amp; bill payments"/>
    <n v="67909"/>
    <n v="19654338.114449568"/>
    <n v="897006"/>
    <n v="0"/>
    <n v="21.911044200874429"/>
  </r>
  <r>
    <x v="26"/>
    <n v="2018"/>
    <n v="3"/>
    <s v="Merchant payments"/>
    <n v="14384"/>
    <n v="16102024.2759922"/>
    <n v="897006"/>
    <n v="0"/>
    <n v="17.950854594051989"/>
  </r>
  <r>
    <x v="26"/>
    <n v="2018"/>
    <n v="3"/>
    <s v="Financial Services"/>
    <n v="1766"/>
    <n v="395306.64210759662"/>
    <n v="897006"/>
    <n v="0"/>
    <n v="0.44069564987034271"/>
  </r>
  <r>
    <x v="26"/>
    <n v="2018"/>
    <n v="3"/>
    <s v="Others"/>
    <n v="4395"/>
    <n v="3138045.0999426576"/>
    <n v="897006"/>
    <n v="0"/>
    <n v="3.4983546374747299"/>
  </r>
  <r>
    <x v="26"/>
    <n v="2018"/>
    <n v="4"/>
    <s v="Peer-to-peer payments"/>
    <n v="173170"/>
    <n v="569825171.33697593"/>
    <n v="1204434"/>
    <n v="0"/>
    <n v="473.10618210460342"/>
  </r>
  <r>
    <x v="26"/>
    <n v="2018"/>
    <n v="4"/>
    <s v="Recharge &amp; bill payments"/>
    <n v="95788"/>
    <n v="25159891.51570208"/>
    <n v="1204434"/>
    <n v="0"/>
    <n v="20.889389967156422"/>
  </r>
  <r>
    <x v="26"/>
    <n v="2018"/>
    <n v="4"/>
    <s v="Merchant payments"/>
    <n v="29470"/>
    <n v="25999609.758757301"/>
    <n v="1204434"/>
    <n v="0"/>
    <n v="21.586579056019094"/>
  </r>
  <r>
    <x v="26"/>
    <n v="2018"/>
    <n v="4"/>
    <s v="Financial Services"/>
    <n v="3490"/>
    <n v="689170.07268646813"/>
    <n v="1204434"/>
    <n v="0"/>
    <n v="0.57219413657076112"/>
  </r>
  <r>
    <x v="26"/>
    <n v="2018"/>
    <n v="4"/>
    <s v="Others"/>
    <n v="6046"/>
    <n v="4017822.7393730418"/>
    <n v="1204434"/>
    <n v="0"/>
    <n v="3.335859614867267"/>
  </r>
  <r>
    <x v="26"/>
    <n v="2019"/>
    <n v="1"/>
    <s v="Peer-to-peer payments"/>
    <n v="313822"/>
    <n v="835983054.25464296"/>
    <n v="1463649"/>
    <n v="0"/>
    <n v="571.16361522102841"/>
  </r>
  <r>
    <x v="26"/>
    <n v="2019"/>
    <n v="1"/>
    <s v="Recharge &amp; bill payments"/>
    <n v="124092"/>
    <n v="32635247.523153085"/>
    <n v="1463649"/>
    <n v="0"/>
    <n v="22.297181580524487"/>
  </r>
  <r>
    <x v="26"/>
    <n v="2019"/>
    <n v="1"/>
    <s v="Merchant payments"/>
    <n v="54518"/>
    <n v="33763704.680837251"/>
    <n v="1463649"/>
    <n v="0"/>
    <n v="23.068170497733576"/>
  </r>
  <r>
    <x v="26"/>
    <n v="2019"/>
    <n v="1"/>
    <s v="Financial Services"/>
    <n v="3165"/>
    <n v="337570.32284238498"/>
    <n v="1463649"/>
    <n v="0"/>
    <n v="0.23063611756806787"/>
  </r>
  <r>
    <x v="26"/>
    <n v="2019"/>
    <n v="1"/>
    <s v="Others"/>
    <n v="5495"/>
    <n v="3753447.525046112"/>
    <n v="1463649"/>
    <n v="0"/>
    <n v="2.5644451128966796"/>
  </r>
  <r>
    <x v="26"/>
    <n v="2019"/>
    <n v="2"/>
    <s v="Peer-to-peer payments"/>
    <n v="331248"/>
    <n v="1109343371.746654"/>
    <n v="1721038"/>
    <n v="7281252"/>
    <n v="644.57808121996959"/>
  </r>
  <r>
    <x v="26"/>
    <n v="2019"/>
    <n v="2"/>
    <s v="Recharge &amp; bill payments"/>
    <n v="147585"/>
    <n v="46876569.36325147"/>
    <n v="1721038"/>
    <n v="7281252"/>
    <n v="27.237381953943764"/>
  </r>
  <r>
    <x v="26"/>
    <n v="2019"/>
    <n v="2"/>
    <s v="Merchant payments"/>
    <n v="92941"/>
    <n v="49963601.615546763"/>
    <n v="1721038"/>
    <n v="7281252"/>
    <n v="29.031085667804408"/>
  </r>
  <r>
    <x v="26"/>
    <n v="2019"/>
    <n v="2"/>
    <s v="Financial Services"/>
    <n v="1524"/>
    <n v="469351.54819677607"/>
    <n v="1721038"/>
    <n v="7281252"/>
    <n v="0.2727142272261136"/>
  </r>
  <r>
    <x v="26"/>
    <n v="2019"/>
    <n v="2"/>
    <s v="Others"/>
    <n v="6779"/>
    <n v="4794015.8541584257"/>
    <n v="1721038"/>
    <n v="7281252"/>
    <n v="2.785537480380111"/>
  </r>
  <r>
    <x v="26"/>
    <n v="2019"/>
    <n v="3"/>
    <s v="Peer-to-peer payments"/>
    <n v="394866"/>
    <n v="1316118199.6720929"/>
    <n v="1956548"/>
    <n v="27246142"/>
    <n v="672.67360661332759"/>
  </r>
  <r>
    <x v="26"/>
    <n v="2019"/>
    <n v="3"/>
    <s v="Recharge &amp; bill payments"/>
    <n v="158483"/>
    <n v="57003044.295498252"/>
    <n v="1956548"/>
    <n v="27246142"/>
    <n v="29.134498256878057"/>
  </r>
  <r>
    <x v="26"/>
    <n v="2019"/>
    <n v="3"/>
    <s v="Merchant payments"/>
    <n v="156137"/>
    <n v="82601335.478254139"/>
    <n v="1956548"/>
    <n v="27246142"/>
    <n v="42.217893697601156"/>
  </r>
  <r>
    <x v="26"/>
    <n v="2019"/>
    <n v="3"/>
    <s v="Financial Services"/>
    <n v="1090"/>
    <n v="528680.89759528893"/>
    <n v="1956548"/>
    <n v="27246142"/>
    <n v="0.27021105416033181"/>
  </r>
  <r>
    <x v="26"/>
    <n v="2019"/>
    <n v="3"/>
    <s v="Others"/>
    <n v="6250"/>
    <n v="4457097.1119702151"/>
    <n v="1956548"/>
    <n v="27246142"/>
    <n v="2.2780412808529182"/>
  </r>
  <r>
    <x v="26"/>
    <n v="2019"/>
    <n v="4"/>
    <s v="Peer-to-peer payments"/>
    <n v="559670"/>
    <n v="1725523873.442102"/>
    <n v="2247212"/>
    <n v="35894342"/>
    <n v="767.85095195384417"/>
  </r>
  <r>
    <x v="26"/>
    <n v="2019"/>
    <n v="4"/>
    <s v="Merchant payments"/>
    <n v="249621"/>
    <n v="128039884.38667427"/>
    <n v="2247212"/>
    <n v="35894342"/>
    <n v="56.977216384869017"/>
  </r>
  <r>
    <x v="26"/>
    <n v="2019"/>
    <n v="4"/>
    <s v="Recharge &amp; bill payments"/>
    <n v="195707"/>
    <n v="74383571.675933748"/>
    <n v="2247212"/>
    <n v="35894342"/>
    <n v="33.10038023823909"/>
  </r>
  <r>
    <x v="26"/>
    <n v="2019"/>
    <n v="4"/>
    <s v="Financial Services"/>
    <n v="1481"/>
    <n v="391196.12844819052"/>
    <n v="2247212"/>
    <n v="35894342"/>
    <n v="0.17408065124616215"/>
  </r>
  <r>
    <x v="26"/>
    <n v="2019"/>
    <n v="4"/>
    <s v="Others"/>
    <n v="6176"/>
    <n v="3689792.2457444831"/>
    <n v="2247212"/>
    <n v="35894342"/>
    <n v="1.6419422136160198"/>
  </r>
  <r>
    <x v="26"/>
    <n v="2020"/>
    <n v="1"/>
    <s v="Peer-to-peer payments"/>
    <n v="600290"/>
    <n v="1919499665.8834748"/>
    <n v="2539988"/>
    <n v="42030373"/>
    <n v="755.71210016877046"/>
  </r>
  <r>
    <x v="26"/>
    <n v="2020"/>
    <n v="1"/>
    <s v="Merchant payments"/>
    <n v="349788"/>
    <n v="184925417.68654612"/>
    <n v="2539988"/>
    <n v="42030373"/>
    <n v="72.805626517348159"/>
  </r>
  <r>
    <x v="26"/>
    <n v="2020"/>
    <n v="1"/>
    <s v="Recharge &amp; bill payments"/>
    <n v="251115"/>
    <n v="96515615.435203537"/>
    <n v="2539988"/>
    <n v="42030373"/>
    <n v="37.998453313639097"/>
  </r>
  <r>
    <x v="26"/>
    <n v="2020"/>
    <n v="1"/>
    <s v="Financial Services"/>
    <n v="1527"/>
    <n v="858236.54982346343"/>
    <n v="2539988"/>
    <n v="42030373"/>
    <n v="0.33789000177302547"/>
  </r>
  <r>
    <x v="26"/>
    <n v="2020"/>
    <n v="1"/>
    <s v="Others"/>
    <n v="5201"/>
    <n v="3478541.5245353868"/>
    <n v="2539988"/>
    <n v="42030373"/>
    <n v="1.3695110073493997"/>
  </r>
  <r>
    <x v="26"/>
    <n v="2020"/>
    <n v="2"/>
    <s v="Peer-to-peer payments"/>
    <n v="468789"/>
    <n v="1680190117.5830743"/>
    <n v="2811600"/>
    <n v="33633688"/>
    <n v="597.59216018746417"/>
  </r>
  <r>
    <x v="26"/>
    <n v="2020"/>
    <n v="2"/>
    <s v="Recharge &amp; bill payments"/>
    <n v="310746"/>
    <n v="115223074.03158064"/>
    <n v="2811600"/>
    <n v="33633688"/>
    <n v="40.981318121916573"/>
  </r>
  <r>
    <x v="26"/>
    <n v="2020"/>
    <n v="2"/>
    <s v="Merchant payments"/>
    <n v="249951"/>
    <n v="160931601.28167117"/>
    <n v="2811600"/>
    <n v="33633688"/>
    <n v="57.238441201334176"/>
  </r>
  <r>
    <x v="26"/>
    <n v="2020"/>
    <n v="2"/>
    <s v="Financial Services"/>
    <n v="1555"/>
    <n v="2339469.0036580288"/>
    <n v="2811600"/>
    <n v="33633688"/>
    <n v="0.83207746608978117"/>
  </r>
  <r>
    <x v="26"/>
    <n v="2020"/>
    <n v="2"/>
    <s v="Others"/>
    <n v="2342"/>
    <n v="1346718.5876069884"/>
    <n v="2811600"/>
    <n v="33633688"/>
    <n v="0.47898655129000867"/>
  </r>
  <r>
    <x v="26"/>
    <n v="2020"/>
    <n v="3"/>
    <s v="Peer-to-peer payments"/>
    <n v="855511"/>
    <n v="3116583524.6597652"/>
    <n v="3136903"/>
    <n v="46443749"/>
    <n v="993.52244065556545"/>
  </r>
  <r>
    <x v="26"/>
    <n v="2020"/>
    <n v="3"/>
    <s v="Merchant payments"/>
    <n v="560420"/>
    <n v="335583369.65612602"/>
    <n v="3136903"/>
    <n v="46443749"/>
    <n v="106.97919880089567"/>
  </r>
  <r>
    <x v="26"/>
    <n v="2020"/>
    <n v="3"/>
    <s v="Recharge &amp; bill payments"/>
    <n v="306852"/>
    <n v="138925436.52727452"/>
    <n v="3136903"/>
    <n v="46443749"/>
    <n v="44.287450561038874"/>
  </r>
  <r>
    <x v="26"/>
    <n v="2020"/>
    <n v="3"/>
    <s v="Financial Services"/>
    <n v="3039"/>
    <n v="4788490.3633704996"/>
    <n v="3136903"/>
    <n v="46443749"/>
    <n v="1.5265025292049195"/>
  </r>
  <r>
    <x v="26"/>
    <n v="2020"/>
    <n v="3"/>
    <s v="Others"/>
    <n v="5080"/>
    <n v="2199408.2280669413"/>
    <n v="3136903"/>
    <n v="46443749"/>
    <n v="0.70114001869580966"/>
  </r>
  <r>
    <x v="26"/>
    <n v="2020"/>
    <n v="4"/>
    <s v="Peer-to-peer payments"/>
    <n v="1211359"/>
    <n v="4090057482.9812045"/>
    <n v="3515886"/>
    <n v="70148496"/>
    <n v="1163.3077645239932"/>
  </r>
  <r>
    <x v="26"/>
    <n v="2020"/>
    <n v="4"/>
    <s v="Merchant payments"/>
    <n v="1108292"/>
    <n v="647985607.5763036"/>
    <n v="3515886"/>
    <n v="70148496"/>
    <n v="184.30222355796053"/>
  </r>
  <r>
    <x v="26"/>
    <n v="2020"/>
    <n v="4"/>
    <s v="Recharge &amp; bill payments"/>
    <n v="383707"/>
    <n v="184037245.74375987"/>
    <n v="3515886"/>
    <n v="70148496"/>
    <n v="52.344486068023784"/>
  </r>
  <r>
    <x v="26"/>
    <n v="2020"/>
    <n v="4"/>
    <s v="Financial Services"/>
    <n v="3783"/>
    <n v="3888988.2367634568"/>
    <n v="3515886"/>
    <n v="70148496"/>
    <n v="1.1061189801840723"/>
  </r>
  <r>
    <x v="26"/>
    <n v="2020"/>
    <n v="4"/>
    <s v="Others"/>
    <n v="8862"/>
    <n v="4556893.1331745479"/>
    <n v="3515886"/>
    <n v="70148496"/>
    <n v="1.2960867141808774"/>
  </r>
  <r>
    <x v="26"/>
    <n v="2021"/>
    <n v="1"/>
    <s v="Peer-to-peer payments"/>
    <n v="1406958"/>
    <n v="4798646712.5019426"/>
    <n v="3809069"/>
    <n v="87059577"/>
    <n v="1259.7951658271202"/>
  </r>
  <r>
    <x v="26"/>
    <n v="2021"/>
    <n v="1"/>
    <s v="Merchant payments"/>
    <n v="1385444"/>
    <n v="857787315.62927616"/>
    <n v="3809069"/>
    <n v="87059577"/>
    <n v="225.19605594681434"/>
  </r>
  <r>
    <x v="26"/>
    <n v="2021"/>
    <n v="1"/>
    <s v="Recharge &amp; bill payments"/>
    <n v="504499"/>
    <n v="231829246.92353857"/>
    <n v="3809069"/>
    <n v="87059577"/>
    <n v="60.862443532406097"/>
  </r>
  <r>
    <x v="26"/>
    <n v="2021"/>
    <n v="1"/>
    <s v="Financial Services"/>
    <n v="5073"/>
    <n v="5953397.4349969355"/>
    <n v="3809069"/>
    <n v="87059577"/>
    <n v="1.562953423788578"/>
  </r>
  <r>
    <x v="26"/>
    <n v="2021"/>
    <n v="1"/>
    <s v="Others"/>
    <n v="7458"/>
    <n v="5092899.2538959524"/>
    <n v="3809069"/>
    <n v="87059577"/>
    <n v="1.3370456806888908"/>
  </r>
  <r>
    <x v="26"/>
    <n v="2021"/>
    <n v="2"/>
    <s v="Peer-to-peer payments"/>
    <n v="1581221"/>
    <n v="5266478797.1422634"/>
    <n v="4069571"/>
    <n v="56968076"/>
    <n v="1294.1115407845848"/>
  </r>
  <r>
    <x v="26"/>
    <n v="2021"/>
    <n v="2"/>
    <s v="Merchant payments"/>
    <n v="1437110"/>
    <n v="932602617.31696916"/>
    <n v="4069571"/>
    <n v="56968076"/>
    <n v="229.16484742911948"/>
  </r>
  <r>
    <x v="26"/>
    <n v="2021"/>
    <n v="2"/>
    <s v="Recharge &amp; bill payments"/>
    <n v="719252"/>
    <n v="289799593.15714782"/>
    <n v="4069571"/>
    <n v="56968076"/>
    <n v="71.21133730242029"/>
  </r>
  <r>
    <x v="26"/>
    <n v="2021"/>
    <n v="2"/>
    <s v="Financial Services"/>
    <n v="4851"/>
    <n v="4980243.907969391"/>
    <n v="4069571"/>
    <n v="56968076"/>
    <n v="1.223776144455863"/>
  </r>
  <r>
    <x v="26"/>
    <n v="2021"/>
    <n v="2"/>
    <s v="Others"/>
    <n v="8953"/>
    <n v="4973445.0195440706"/>
    <n v="4069571"/>
    <n v="56968076"/>
    <n v="1.2221054798021882"/>
  </r>
  <r>
    <x v="26"/>
    <n v="2021"/>
    <n v="3"/>
    <s v="Merchant payments"/>
    <n v="2273996"/>
    <n v="1443176801.0606492"/>
    <n v="4362699"/>
    <n v="75895512"/>
    <n v="330.79907668639277"/>
  </r>
  <r>
    <x v="26"/>
    <n v="2021"/>
    <n v="3"/>
    <s v="Peer-to-peer payments"/>
    <n v="2089199"/>
    <n v="6918396493.7784309"/>
    <n v="4362699"/>
    <n v="75895512"/>
    <n v="1585.8065142193927"/>
  </r>
  <r>
    <x v="26"/>
    <n v="2021"/>
    <n v="3"/>
    <s v="Recharge &amp; bill payments"/>
    <n v="741388"/>
    <n v="356068931.74410951"/>
    <n v="4362699"/>
    <n v="75895512"/>
    <n v="81.616662470665403"/>
  </r>
  <r>
    <x v="26"/>
    <n v="2021"/>
    <n v="3"/>
    <s v="Financial Services"/>
    <n v="4733"/>
    <n v="5523949.081350253"/>
    <n v="4362699"/>
    <n v="75895512"/>
    <n v="1.2661769884537653"/>
  </r>
  <r>
    <x v="26"/>
    <n v="2021"/>
    <n v="3"/>
    <s v="Others"/>
    <n v="12410"/>
    <n v="6808255.3499292061"/>
    <n v="4362699"/>
    <n v="75895512"/>
    <n v="1.5605604122423311"/>
  </r>
  <r>
    <x v="26"/>
    <n v="2021"/>
    <n v="4"/>
    <s v="Merchant payments"/>
    <n v="3052713"/>
    <n v="1864951565.9282069"/>
    <n v="4654837"/>
    <n v="156833248"/>
    <n v="400.64809271048739"/>
  </r>
  <r>
    <x v="26"/>
    <n v="2021"/>
    <n v="4"/>
    <s v="Peer-to-peer payments"/>
    <n v="2530821"/>
    <n v="8113722339.4470339"/>
    <n v="4654837"/>
    <n v="156833248"/>
    <n v="1743.0733534701717"/>
  </r>
  <r>
    <x v="26"/>
    <n v="2021"/>
    <n v="4"/>
    <s v="Recharge &amp; bill payments"/>
    <n v="762641"/>
    <n v="428453211.31208152"/>
    <n v="4654837"/>
    <n v="156833248"/>
    <n v="92.044729238012309"/>
  </r>
  <r>
    <x v="26"/>
    <n v="2021"/>
    <n v="4"/>
    <s v="Financial Services"/>
    <n v="5995"/>
    <n v="7655925.1085546799"/>
    <n v="4654837"/>
    <n v="156833248"/>
    <n v="1.6447246398863546"/>
  </r>
  <r>
    <x v="26"/>
    <n v="2021"/>
    <n v="4"/>
    <s v="Others"/>
    <n v="16640"/>
    <n v="8868759.4346358906"/>
    <n v="4654837"/>
    <n v="156833248"/>
    <n v="1.9052781944106507"/>
  </r>
  <r>
    <x v="27"/>
    <n v="2018"/>
    <n v="1"/>
    <s v="Recharge &amp; bill payments"/>
    <n v="946338"/>
    <n v="196018621.35851485"/>
    <n v="9318562"/>
    <n v="0"/>
    <n v="21.035286491468838"/>
  </r>
  <r>
    <x v="27"/>
    <n v="2018"/>
    <n v="1"/>
    <s v="Peer-to-peer payments"/>
    <n v="690684"/>
    <n v="2412434633.5413933"/>
    <n v="9318562"/>
    <n v="0"/>
    <n v="258.88486158501638"/>
  </r>
  <r>
    <x v="27"/>
    <n v="2018"/>
    <n v="1"/>
    <s v="Merchant payments"/>
    <n v="87477"/>
    <n v="83873893.962043241"/>
    <n v="9318562"/>
    <n v="0"/>
    <n v="9.0007335855084989"/>
  </r>
  <r>
    <x v="27"/>
    <n v="2018"/>
    <n v="1"/>
    <s v="Financial Services"/>
    <n v="60688"/>
    <n v="11162488.423236402"/>
    <n v="9318562"/>
    <n v="0"/>
    <n v="1.1978767135139952"/>
  </r>
  <r>
    <x v="27"/>
    <n v="2018"/>
    <n v="1"/>
    <s v="Others"/>
    <n v="85246"/>
    <n v="77268587.569207966"/>
    <n v="9318562"/>
    <n v="0"/>
    <n v="8.2919003564292399"/>
  </r>
  <r>
    <x v="27"/>
    <n v="2018"/>
    <n v="2"/>
    <s v="Recharge &amp; bill payments"/>
    <n v="1262450"/>
    <n v="395417027.84974498"/>
    <n v="12674090"/>
    <n v="0"/>
    <n v="31.198849609695447"/>
  </r>
  <r>
    <x v="27"/>
    <n v="2018"/>
    <n v="2"/>
    <s v="Peer-to-peer payments"/>
    <n v="1017159"/>
    <n v="4036457553.7177477"/>
    <n v="12674090"/>
    <n v="0"/>
    <n v="318.48105494893503"/>
  </r>
  <r>
    <x v="27"/>
    <n v="2018"/>
    <n v="2"/>
    <s v="Merchant payments"/>
    <n v="147667"/>
    <n v="159406610.2632674"/>
    <n v="12674090"/>
    <n v="0"/>
    <n v="12.577361393462363"/>
  </r>
  <r>
    <x v="27"/>
    <n v="2018"/>
    <n v="2"/>
    <s v="Financial Services"/>
    <n v="82256"/>
    <n v="17719391.411258094"/>
    <n v="12674090"/>
    <n v="0"/>
    <n v="1.3980799734938045"/>
  </r>
  <r>
    <x v="27"/>
    <n v="2018"/>
    <n v="2"/>
    <s v="Others"/>
    <n v="71631"/>
    <n v="75671628.765017703"/>
    <n v="12674090"/>
    <n v="0"/>
    <n v="5.9705768828387447"/>
  </r>
  <r>
    <x v="27"/>
    <n v="2018"/>
    <n v="3"/>
    <s v="Peer-to-peer payments"/>
    <n v="1684209"/>
    <n v="6173898400.5591173"/>
    <n v="16204628"/>
    <n v="0"/>
    <n v="380.99599698056119"/>
  </r>
  <r>
    <x v="27"/>
    <n v="2018"/>
    <n v="3"/>
    <s v="Recharge &amp; bill payments"/>
    <n v="1381730"/>
    <n v="622737633.75249183"/>
    <n v="16204628"/>
    <n v="0"/>
    <n v="38.429616141295675"/>
  </r>
  <r>
    <x v="27"/>
    <n v="2018"/>
    <n v="3"/>
    <s v="Merchant payments"/>
    <n v="274458"/>
    <n v="194883994.57571086"/>
    <n v="16204628"/>
    <n v="0"/>
    <n v="12.026440506731216"/>
  </r>
  <r>
    <x v="27"/>
    <n v="2018"/>
    <n v="3"/>
    <s v="Financial Services"/>
    <n v="54285"/>
    <n v="9429174.5346892495"/>
    <n v="16204628"/>
    <n v="0"/>
    <n v="0.58188157942837371"/>
  </r>
  <r>
    <x v="27"/>
    <n v="2018"/>
    <n v="3"/>
    <s v="Others"/>
    <n v="67426"/>
    <n v="64737840.399184637"/>
    <n v="16204628"/>
    <n v="0"/>
    <n v="3.9950216937522192"/>
  </r>
  <r>
    <x v="27"/>
    <n v="2018"/>
    <n v="4"/>
    <s v="Peer-to-peer payments"/>
    <n v="2269375"/>
    <n v="9404088424.4898911"/>
    <n v="20522865"/>
    <n v="0"/>
    <n v="458.22493226408159"/>
  </r>
  <r>
    <x v="27"/>
    <n v="2018"/>
    <n v="4"/>
    <s v="Recharge &amp; bill payments"/>
    <n v="1817964"/>
    <n v="825449591.24103105"/>
    <n v="20522865"/>
    <n v="0"/>
    <n v="40.220972619613832"/>
  </r>
  <r>
    <x v="27"/>
    <n v="2018"/>
    <n v="4"/>
    <s v="Merchant payments"/>
    <n v="648096"/>
    <n v="455091549.59187788"/>
    <n v="20522865"/>
    <n v="0"/>
    <n v="22.174854709217154"/>
  </r>
  <r>
    <x v="27"/>
    <n v="2018"/>
    <n v="4"/>
    <s v="Financial Services"/>
    <n v="62453"/>
    <n v="11832962.875482317"/>
    <n v="20522865"/>
    <n v="0"/>
    <n v="0.57657460961139284"/>
  </r>
  <r>
    <x v="27"/>
    <n v="2018"/>
    <n v="4"/>
    <s v="Others"/>
    <n v="89249"/>
    <n v="85520045.451507092"/>
    <n v="20522865"/>
    <n v="0"/>
    <n v="4.1670617358496047"/>
  </r>
  <r>
    <x v="27"/>
    <n v="2019"/>
    <n v="1"/>
    <s v="Peer-to-peer payments"/>
    <n v="4026294"/>
    <n v="12027441595.712797"/>
    <n v="24492490"/>
    <n v="0"/>
    <n v="491.0665104165725"/>
  </r>
  <r>
    <x v="27"/>
    <n v="2019"/>
    <n v="1"/>
    <s v="Recharge &amp; bill payments"/>
    <n v="2304690"/>
    <n v="986004867.80724442"/>
    <n v="24492490"/>
    <n v="0"/>
    <n v="40.257436781937827"/>
  </r>
  <r>
    <x v="27"/>
    <n v="2019"/>
    <n v="1"/>
    <s v="Merchant payments"/>
    <n v="711152"/>
    <n v="478382600.61751902"/>
    <n v="24492490"/>
    <n v="0"/>
    <n v="19.531807530288631"/>
  </r>
  <r>
    <x v="27"/>
    <n v="2019"/>
    <n v="1"/>
    <s v="Financial Services"/>
    <n v="45621"/>
    <n v="6871295.9547105785"/>
    <n v="24492490"/>
    <n v="0"/>
    <n v="0.28054705563666982"/>
  </r>
  <r>
    <x v="27"/>
    <n v="2019"/>
    <n v="1"/>
    <s v="Others"/>
    <n v="84380"/>
    <n v="75789641.760895222"/>
    <n v="24492490"/>
    <n v="0"/>
    <n v="3.094403295087401"/>
  </r>
  <r>
    <x v="27"/>
    <n v="2019"/>
    <n v="2"/>
    <s v="Peer-to-peer payments"/>
    <n v="4140474"/>
    <n v="16258891447.321405"/>
    <n v="28601232"/>
    <n v="120209034"/>
    <n v="568.46822008651259"/>
  </r>
  <r>
    <x v="27"/>
    <n v="2019"/>
    <n v="2"/>
    <s v="Recharge &amp; bill payments"/>
    <n v="2815047"/>
    <n v="1440058991.4565237"/>
    <n v="28601232"/>
    <n v="120209034"/>
    <n v="50.349544084552846"/>
  </r>
  <r>
    <x v="27"/>
    <n v="2019"/>
    <n v="2"/>
    <s v="Merchant payments"/>
    <n v="1407963"/>
    <n v="815090878.01500154"/>
    <n v="28601232"/>
    <n v="120209034"/>
    <n v="28.498453423789631"/>
  </r>
  <r>
    <x v="27"/>
    <n v="2019"/>
    <n v="2"/>
    <s v="Financial Services"/>
    <n v="37435"/>
    <n v="6876144.4545593495"/>
    <n v="28601232"/>
    <n v="120209034"/>
    <n v="0.2404142749710694"/>
  </r>
  <r>
    <x v="27"/>
    <n v="2019"/>
    <n v="2"/>
    <s v="Others"/>
    <n v="108911"/>
    <n v="93875933.524827033"/>
    <n v="28601232"/>
    <n v="120209034"/>
    <n v="3.2822339095332338"/>
  </r>
  <r>
    <x v="27"/>
    <n v="2019"/>
    <n v="3"/>
    <s v="Peer-to-peer payments"/>
    <n v="4726946"/>
    <n v="19146726286.636036"/>
    <n v="32589843"/>
    <n v="449469746"/>
    <n v="587.5059381733148"/>
  </r>
  <r>
    <x v="27"/>
    <n v="2019"/>
    <n v="3"/>
    <s v="Recharge &amp; bill payments"/>
    <n v="3455594"/>
    <n v="2481094964.9170833"/>
    <n v="32589843"/>
    <n v="449469746"/>
    <n v="76.130927200756489"/>
  </r>
  <r>
    <x v="27"/>
    <n v="2019"/>
    <n v="3"/>
    <s v="Merchant payments"/>
    <n v="2374014"/>
    <n v="1183743251.2734203"/>
    <n v="32589843"/>
    <n v="449469746"/>
    <n v="36.322459463011846"/>
  </r>
  <r>
    <x v="27"/>
    <n v="2019"/>
    <n v="3"/>
    <s v="Financial Services"/>
    <n v="32359"/>
    <n v="7912219.7342963759"/>
    <n v="32589843"/>
    <n v="449469746"/>
    <n v="0.24278176897926068"/>
  </r>
  <r>
    <x v="27"/>
    <n v="2019"/>
    <n v="3"/>
    <s v="Others"/>
    <n v="117899"/>
    <n v="86338883.282503441"/>
    <n v="32589843"/>
    <n v="449469746"/>
    <n v="2.649257416873823"/>
  </r>
  <r>
    <x v="27"/>
    <n v="2019"/>
    <n v="4"/>
    <s v="Peer-to-peer payments"/>
    <n v="6386367"/>
    <n v="25564144629.75061"/>
    <n v="36539162"/>
    <n v="524412680"/>
    <n v="699.63686167051696"/>
  </r>
  <r>
    <x v="27"/>
    <n v="2019"/>
    <n v="4"/>
    <s v="Recharge &amp; bill payments"/>
    <n v="4068332"/>
    <n v="2622222199.1884565"/>
    <n v="36539162"/>
    <n v="524412680"/>
    <n v="71.764705473772395"/>
  </r>
  <r>
    <x v="27"/>
    <n v="2019"/>
    <n v="4"/>
    <s v="Merchant payments"/>
    <n v="3122413"/>
    <n v="1741259163.3677325"/>
    <n v="36539162"/>
    <n v="524412680"/>
    <n v="47.654600381030427"/>
  </r>
  <r>
    <x v="27"/>
    <n v="2019"/>
    <n v="4"/>
    <s v="Financial Services"/>
    <n v="22956"/>
    <n v="6382345.429778575"/>
    <n v="36539162"/>
    <n v="524412680"/>
    <n v="0.17467136848345277"/>
  </r>
  <r>
    <x v="27"/>
    <n v="2019"/>
    <n v="4"/>
    <s v="Others"/>
    <n v="98557"/>
    <n v="55793908.455870152"/>
    <n v="36539162"/>
    <n v="524412680"/>
    <n v="1.5269619061288311"/>
  </r>
  <r>
    <x v="27"/>
    <n v="2020"/>
    <n v="1"/>
    <s v="Peer-to-peer payments"/>
    <n v="6339183"/>
    <n v="26350005915.230072"/>
    <n v="41134522"/>
    <n v="592390810"/>
    <n v="640.58130820701092"/>
  </r>
  <r>
    <x v="27"/>
    <n v="2020"/>
    <n v="1"/>
    <s v="Recharge &amp; bill payments"/>
    <n v="4935115"/>
    <n v="2767419472.6505165"/>
    <n v="41134522"/>
    <n v="592390810"/>
    <n v="67.277297464414843"/>
  </r>
  <r>
    <x v="27"/>
    <n v="2020"/>
    <n v="1"/>
    <s v="Merchant payments"/>
    <n v="3838480"/>
    <n v="2196329615.3949203"/>
    <n v="41134522"/>
    <n v="592390810"/>
    <n v="53.393828555851954"/>
  </r>
  <r>
    <x v="27"/>
    <n v="2020"/>
    <n v="1"/>
    <s v="Financial Services"/>
    <n v="17924"/>
    <n v="10987850.955996178"/>
    <n v="41134522"/>
    <n v="592390810"/>
    <n v="0.26711993774951798"/>
  </r>
  <r>
    <x v="27"/>
    <n v="2020"/>
    <n v="1"/>
    <s v="Others"/>
    <n v="87082"/>
    <n v="49442411.668161854"/>
    <n v="41134522"/>
    <n v="592390810"/>
    <n v="1.2019687907923631"/>
  </r>
  <r>
    <x v="27"/>
    <n v="2020"/>
    <n v="2"/>
    <s v="Recharge &amp; bill payments"/>
    <n v="6064807"/>
    <n v="3089758241.1281967"/>
    <n v="46480291"/>
    <n v="564185336"/>
    <n v="66.474589006514535"/>
  </r>
  <r>
    <x v="27"/>
    <n v="2020"/>
    <n v="2"/>
    <s v="Peer-to-peer payments"/>
    <n v="5639212"/>
    <n v="25074384847.498463"/>
    <n v="46480291"/>
    <n v="564185336"/>
    <n v="539.46273373156077"/>
  </r>
  <r>
    <x v="27"/>
    <n v="2020"/>
    <n v="2"/>
    <s v="Merchant payments"/>
    <n v="2290868"/>
    <n v="2058898904.3613408"/>
    <n v="46480291"/>
    <n v="564185336"/>
    <n v="44.296170700853416"/>
  </r>
  <r>
    <x v="27"/>
    <n v="2020"/>
    <n v="2"/>
    <s v="Financial Services"/>
    <n v="23314"/>
    <n v="23704957.876037344"/>
    <n v="46480291"/>
    <n v="564185336"/>
    <n v="0.51000020365701548"/>
  </r>
  <r>
    <x v="27"/>
    <n v="2020"/>
    <n v="2"/>
    <s v="Others"/>
    <n v="63093"/>
    <n v="37907301.349607691"/>
    <n v="46480291"/>
    <n v="564185336"/>
    <n v="0.81555645487692174"/>
  </r>
  <r>
    <x v="27"/>
    <n v="2020"/>
    <n v="3"/>
    <s v="Peer-to-peer payments"/>
    <n v="7354451"/>
    <n v="32477438924.476498"/>
    <n v="51636563"/>
    <n v="648414052"/>
    <n v="628.96205784409972"/>
  </r>
  <r>
    <x v="27"/>
    <n v="2020"/>
    <n v="3"/>
    <s v="Recharge &amp; bill payments"/>
    <n v="5478668"/>
    <n v="4066750820.6407743"/>
    <n v="51636563"/>
    <n v="648414052"/>
    <n v="78.757194212185937"/>
  </r>
  <r>
    <x v="27"/>
    <n v="2020"/>
    <n v="3"/>
    <s v="Merchant payments"/>
    <n v="4261548"/>
    <n v="3490665357.2910872"/>
    <n v="51636563"/>
    <n v="648414052"/>
    <n v="67.600652609103491"/>
  </r>
  <r>
    <x v="27"/>
    <n v="2020"/>
    <n v="3"/>
    <s v="Financial Services"/>
    <n v="32390"/>
    <n v="42060249.328475811"/>
    <n v="51636563"/>
    <n v="648414052"/>
    <n v="0.81454393718024587"/>
  </r>
  <r>
    <x v="27"/>
    <n v="2020"/>
    <n v="3"/>
    <s v="Others"/>
    <n v="82516"/>
    <n v="46176796.076553434"/>
    <n v="51636563"/>
    <n v="648414052"/>
    <n v="0.89426548541879969"/>
  </r>
  <r>
    <x v="27"/>
    <n v="2020"/>
    <n v="4"/>
    <s v="Peer-to-peer payments"/>
    <n v="9609405"/>
    <n v="43286909256.833908"/>
    <n v="56736548"/>
    <n v="783103013"/>
    <n v="762.94576922152385"/>
  </r>
  <r>
    <x v="27"/>
    <n v="2020"/>
    <n v="4"/>
    <s v="Merchant payments"/>
    <n v="7144295"/>
    <n v="6142380827.1094742"/>
    <n v="56736548"/>
    <n v="783103013"/>
    <n v="108.26144775514848"/>
  </r>
  <r>
    <x v="27"/>
    <n v="2020"/>
    <n v="4"/>
    <s v="Recharge &amp; bill payments"/>
    <n v="6072201"/>
    <n v="4201551869.9511185"/>
    <n v="56736548"/>
    <n v="783103013"/>
    <n v="74.053709964009769"/>
  </r>
  <r>
    <x v="27"/>
    <n v="2020"/>
    <n v="4"/>
    <s v="Financial Services"/>
    <n v="38820"/>
    <n v="51677182.316327386"/>
    <n v="56736548"/>
    <n v="783103013"/>
    <n v="0.91082704425950245"/>
  </r>
  <r>
    <x v="27"/>
    <n v="2020"/>
    <n v="4"/>
    <s v="Others"/>
    <n v="133204"/>
    <n v="92887343.344186962"/>
    <n v="56736548"/>
    <n v="783103013"/>
    <n v="1.6371694545848465"/>
  </r>
  <r>
    <x v="27"/>
    <n v="2021"/>
    <n v="1"/>
    <s v="Peer-to-peer payments"/>
    <n v="10951083"/>
    <n v="46908632143.315323"/>
    <n v="61256547"/>
    <n v="891574948"/>
    <n v="765.77336530763512"/>
  </r>
  <r>
    <x v="27"/>
    <n v="2021"/>
    <n v="1"/>
    <s v="Merchant payments"/>
    <n v="9333364"/>
    <n v="7651004598.9073973"/>
    <n v="61256547"/>
    <n v="891574948"/>
    <n v="124.90101015500265"/>
  </r>
  <r>
    <x v="27"/>
    <n v="2021"/>
    <n v="1"/>
    <s v="Recharge &amp; bill payments"/>
    <n v="6332928"/>
    <n v="3980874403.2760215"/>
    <n v="61256547"/>
    <n v="891574948"/>
    <n v="64.986921369825524"/>
  </r>
  <r>
    <x v="27"/>
    <n v="2021"/>
    <n v="1"/>
    <s v="Financial Services"/>
    <n v="43094"/>
    <n v="52009482.414072141"/>
    <n v="61256547"/>
    <n v="891574948"/>
    <n v="0.84904365265760318"/>
  </r>
  <r>
    <x v="27"/>
    <n v="2021"/>
    <n v="1"/>
    <s v="Others"/>
    <n v="110366"/>
    <n v="98366463.193879783"/>
    <n v="61256547"/>
    <n v="891574948"/>
    <n v="1.6058114276973494"/>
  </r>
  <r>
    <x v="27"/>
    <n v="2021"/>
    <n v="2"/>
    <s v="Peer-to-peer payments"/>
    <n v="13180933"/>
    <n v="55282486111.30394"/>
    <n v="65742028"/>
    <n v="944834979"/>
    <n v="840.9002246067605"/>
  </r>
  <r>
    <x v="27"/>
    <n v="2021"/>
    <n v="2"/>
    <s v="Merchant payments"/>
    <n v="11225598"/>
    <n v="9710508482.4364223"/>
    <n v="65742028"/>
    <n v="944834979"/>
    <n v="147.70625089990261"/>
  </r>
  <r>
    <x v="27"/>
    <n v="2021"/>
    <n v="2"/>
    <s v="Recharge &amp; bill payments"/>
    <n v="7591039"/>
    <n v="4370756868.5183258"/>
    <n v="65742028"/>
    <n v="944834979"/>
    <n v="66.483450564049008"/>
  </r>
  <r>
    <x v="27"/>
    <n v="2021"/>
    <n v="2"/>
    <s v="Financial Services"/>
    <n v="46218"/>
    <n v="53309051.06501615"/>
    <n v="65742028"/>
    <n v="944834979"/>
    <n v="0.81088236379042267"/>
  </r>
  <r>
    <x v="27"/>
    <n v="2021"/>
    <n v="2"/>
    <s v="Others"/>
    <n v="127460"/>
    <n v="113998049.29147904"/>
    <n v="65742028"/>
    <n v="944834979"/>
    <n v="1.7340208806987067"/>
  </r>
  <r>
    <x v="27"/>
    <n v="2021"/>
    <n v="3"/>
    <s v="Peer-to-peer payments"/>
    <n v="17024782"/>
    <n v="66149902036.358826"/>
    <n v="70783482"/>
    <n v="1183755705"/>
    <n v="934.53868285765918"/>
  </r>
  <r>
    <x v="27"/>
    <n v="2021"/>
    <n v="3"/>
    <s v="Merchant payments"/>
    <n v="16837685"/>
    <n v="14103740968.543571"/>
    <n v="70783482"/>
    <n v="1183755705"/>
    <n v="199.25186738543849"/>
  </r>
  <r>
    <x v="27"/>
    <n v="2021"/>
    <n v="3"/>
    <s v="Recharge &amp; bill payments"/>
    <n v="8465739"/>
    <n v="5540272095.2748528"/>
    <n v="70783482"/>
    <n v="1183755705"/>
    <n v="78.270691674575332"/>
  </r>
  <r>
    <x v="27"/>
    <n v="2021"/>
    <n v="3"/>
    <s v="Financial Services"/>
    <n v="43789"/>
    <n v="63576666.590925634"/>
    <n v="70783482"/>
    <n v="1183755705"/>
    <n v="0.89818506796438236"/>
  </r>
  <r>
    <x v="27"/>
    <n v="2021"/>
    <n v="3"/>
    <s v="Others"/>
    <n v="161494"/>
    <n v="135069073.84402025"/>
    <n v="70783482"/>
    <n v="1183755705"/>
    <n v="1.9082004731558735"/>
  </r>
  <r>
    <x v="27"/>
    <n v="2021"/>
    <n v="4"/>
    <s v="Merchant payments"/>
    <n v="22669743"/>
    <n v="20753662875.546524"/>
    <n v="75681133"/>
    <n v="1522702489"/>
    <n v="274.22505521351701"/>
  </r>
  <r>
    <x v="27"/>
    <n v="2021"/>
    <n v="4"/>
    <s v="Peer-to-peer payments"/>
    <n v="20663881"/>
    <n v="83611403637.319916"/>
    <n v="75681133"/>
    <n v="1522702489"/>
    <n v="1104.7853054382776"/>
  </r>
  <r>
    <x v="27"/>
    <n v="2021"/>
    <n v="4"/>
    <s v="Recharge &amp; bill payments"/>
    <n v="8765579"/>
    <n v="6107473171.9350224"/>
    <n v="75681133"/>
    <n v="1522702489"/>
    <n v="80.700075829137262"/>
  </r>
  <r>
    <x v="27"/>
    <n v="2021"/>
    <n v="4"/>
    <s v="Financial Services"/>
    <n v="58581"/>
    <n v="86356456.603242517"/>
    <n v="75681133"/>
    <n v="1522702489"/>
    <n v="1.141056603939089"/>
  </r>
  <r>
    <x v="27"/>
    <n v="2021"/>
    <n v="4"/>
    <s v="Others"/>
    <n v="201576"/>
    <n v="151230100.59485891"/>
    <n v="75681133"/>
    <n v="1522702489"/>
    <n v="1.9982536545120027"/>
  </r>
  <r>
    <x v="28"/>
    <n v="2018"/>
    <n v="1"/>
    <s v="Recharge &amp; bill payments"/>
    <n v="4305940"/>
    <n v="868358581.17370248"/>
    <n v="34740222"/>
    <n v="0"/>
    <n v="24.995769490871488"/>
  </r>
  <r>
    <x v="28"/>
    <n v="2018"/>
    <n v="1"/>
    <s v="Peer-to-peer payments"/>
    <n v="2540658"/>
    <n v="7547652852.6626339"/>
    <n v="34740222"/>
    <n v="0"/>
    <n v="217.25977607922695"/>
  </r>
  <r>
    <x v="28"/>
    <n v="2018"/>
    <n v="1"/>
    <s v="Financial Services"/>
    <n v="202537"/>
    <n v="37125466.495713077"/>
    <n v="34740222"/>
    <n v="0"/>
    <n v="1.0686594488576693"/>
  </r>
  <r>
    <x v="28"/>
    <n v="2018"/>
    <n v="1"/>
    <s v="Merchant payments"/>
    <n v="184127"/>
    <n v="201212697.26059398"/>
    <n v="34740222"/>
    <n v="0"/>
    <n v="5.7919231851942108"/>
  </r>
  <r>
    <x v="28"/>
    <n v="2018"/>
    <n v="1"/>
    <s v="Others"/>
    <n v="358428"/>
    <n v="271943533.1341365"/>
    <n v="34740222"/>
    <n v="0"/>
    <n v="7.8279158128044344"/>
  </r>
  <r>
    <x v="28"/>
    <n v="2018"/>
    <n v="2"/>
    <s v="Recharge &amp; bill payments"/>
    <n v="5288093"/>
    <n v="1511007056.105427"/>
    <n v="46342604"/>
    <n v="0"/>
    <n v="32.605139238732185"/>
  </r>
  <r>
    <x v="28"/>
    <n v="2018"/>
    <n v="2"/>
    <s v="Peer-to-peer payments"/>
    <n v="3770555"/>
    <n v="13341587602.422176"/>
    <n v="46342604"/>
    <n v="0"/>
    <n v="287.89033094519624"/>
  </r>
  <r>
    <x v="28"/>
    <n v="2018"/>
    <n v="2"/>
    <s v="Merchant payments"/>
    <n v="345752"/>
    <n v="342809667.59355128"/>
    <n v="46342604"/>
    <n v="0"/>
    <n v="7.397289707620903"/>
  </r>
  <r>
    <x v="28"/>
    <n v="2018"/>
    <n v="2"/>
    <s v="Financial Services"/>
    <n v="279471"/>
    <n v="52145152.939022891"/>
    <n v="46342604"/>
    <n v="0"/>
    <n v="1.1252098164147808"/>
  </r>
  <r>
    <x v="28"/>
    <n v="2018"/>
    <n v="2"/>
    <s v="Others"/>
    <n v="289826"/>
    <n v="311536696.6979239"/>
    <n v="46342604"/>
    <n v="0"/>
    <n v="6.7224685237351771"/>
  </r>
  <r>
    <x v="28"/>
    <n v="2018"/>
    <n v="3"/>
    <s v="Peer-to-peer payments"/>
    <n v="7120792"/>
    <n v="21010614922.14291"/>
    <n v="56929983"/>
    <n v="0"/>
    <n v="369.06062174905111"/>
  </r>
  <r>
    <x v="28"/>
    <n v="2018"/>
    <n v="3"/>
    <s v="Recharge &amp; bill payments"/>
    <n v="5894660"/>
    <n v="2252031409.9399681"/>
    <n v="56929983"/>
    <n v="0"/>
    <n v="39.557914674591913"/>
  </r>
  <r>
    <x v="28"/>
    <n v="2018"/>
    <n v="3"/>
    <s v="Merchant payments"/>
    <n v="711240"/>
    <n v="445504998.00142682"/>
    <n v="56929983"/>
    <n v="0"/>
    <n v="7.8254897423986023"/>
  </r>
  <r>
    <x v="28"/>
    <n v="2018"/>
    <n v="3"/>
    <s v="Financial Services"/>
    <n v="230083"/>
    <n v="30185982.180784121"/>
    <n v="56929983"/>
    <n v="0"/>
    <n v="0.53022995248012139"/>
  </r>
  <r>
    <x v="28"/>
    <n v="2018"/>
    <n v="3"/>
    <s v="Others"/>
    <n v="300323"/>
    <n v="302431358.94735509"/>
    <n v="56929983"/>
    <n v="0"/>
    <n v="5.312338824119359"/>
  </r>
  <r>
    <x v="28"/>
    <n v="2018"/>
    <n v="4"/>
    <s v="Peer-to-peer payments"/>
    <n v="10752729"/>
    <n v="33578327037.682457"/>
    <n v="69946118"/>
    <n v="0"/>
    <n v="480.05990893851259"/>
  </r>
  <r>
    <x v="28"/>
    <n v="2018"/>
    <n v="4"/>
    <s v="Recharge &amp; bill payments"/>
    <n v="7557003"/>
    <n v="2743591538.8320713"/>
    <n v="69946118"/>
    <n v="0"/>
    <n v="39.224357509477102"/>
  </r>
  <r>
    <x v="28"/>
    <n v="2018"/>
    <n v="4"/>
    <s v="Merchant payments"/>
    <n v="1985927"/>
    <n v="1172254323.9731452"/>
    <n v="69946118"/>
    <n v="0"/>
    <n v="16.759390763804006"/>
  </r>
  <r>
    <x v="28"/>
    <n v="2018"/>
    <n v="4"/>
    <s v="Financial Services"/>
    <n v="311632"/>
    <n v="40412563.014562674"/>
    <n v="69946118"/>
    <n v="0"/>
    <n v="0.57776706084764662"/>
  </r>
  <r>
    <x v="28"/>
    <n v="2018"/>
    <n v="4"/>
    <s v="Others"/>
    <n v="352432"/>
    <n v="374501619.83643621"/>
    <n v="69946118"/>
    <n v="0"/>
    <n v="5.3541444549708421"/>
  </r>
  <r>
    <x v="28"/>
    <n v="2019"/>
    <n v="1"/>
    <s v="Peer-to-peer payments"/>
    <n v="27621606"/>
    <n v="55246071722.228561"/>
    <n v="84834244"/>
    <n v="0"/>
    <n v="651.22371718463785"/>
  </r>
  <r>
    <x v="28"/>
    <n v="2019"/>
    <n v="1"/>
    <s v="Recharge &amp; bill payments"/>
    <n v="11650961"/>
    <n v="3821181816.6204696"/>
    <n v="84834244"/>
    <n v="0"/>
    <n v="45.042917063308415"/>
  </r>
  <r>
    <x v="28"/>
    <n v="2019"/>
    <n v="1"/>
    <s v="Merchant payments"/>
    <n v="3921438"/>
    <n v="1664209334.5681162"/>
    <n v="84834244"/>
    <n v="0"/>
    <n v="19.617188249689786"/>
  </r>
  <r>
    <x v="28"/>
    <n v="2019"/>
    <n v="1"/>
    <s v="Financial Services"/>
    <n v="359993"/>
    <n v="36340412.575384662"/>
    <n v="84834244"/>
    <n v="0"/>
    <n v="0.42836961658295275"/>
  </r>
  <r>
    <x v="28"/>
    <n v="2019"/>
    <n v="1"/>
    <s v="Others"/>
    <n v="402042"/>
    <n v="373355289.5614773"/>
    <n v="84834244"/>
    <n v="0"/>
    <n v="4.4009974269526975"/>
  </r>
  <r>
    <x v="28"/>
    <n v="2019"/>
    <n v="2"/>
    <s v="Peer-to-peer payments"/>
    <n v="25257679"/>
    <n v="79466464089.340591"/>
    <n v="96623285"/>
    <n v="690660696"/>
    <n v="822.43595929636001"/>
  </r>
  <r>
    <x v="28"/>
    <n v="2019"/>
    <n v="2"/>
    <s v="Recharge &amp; bill payments"/>
    <n v="14968290"/>
    <n v="5709279550.8542109"/>
    <n v="96623285"/>
    <n v="690660696"/>
    <n v="59.088029876589381"/>
  </r>
  <r>
    <x v="28"/>
    <n v="2019"/>
    <n v="2"/>
    <s v="Merchant payments"/>
    <n v="9026751"/>
    <n v="3435472167.2010689"/>
    <n v="96623285"/>
    <n v="690660696"/>
    <n v="35.555323617915377"/>
  </r>
  <r>
    <x v="28"/>
    <n v="2019"/>
    <n v="2"/>
    <s v="Financial Services"/>
    <n v="182685"/>
    <n v="34134486.762421735"/>
    <n v="96623285"/>
    <n v="690660696"/>
    <n v="0.35327392110940686"/>
  </r>
  <r>
    <x v="28"/>
    <n v="2019"/>
    <n v="2"/>
    <s v="Others"/>
    <n v="573881"/>
    <n v="461962878.50714219"/>
    <n v="96623285"/>
    <n v="690660696"/>
    <n v="4.7810719590742767"/>
  </r>
  <r>
    <x v="28"/>
    <n v="2019"/>
    <n v="3"/>
    <s v="Peer-to-peer payments"/>
    <n v="29885618"/>
    <n v="97443950786.575806"/>
    <n v="107770344"/>
    <n v="2621728989"/>
    <n v="904.18149529684911"/>
  </r>
  <r>
    <x v="28"/>
    <n v="2019"/>
    <n v="3"/>
    <s v="Merchant payments"/>
    <n v="19646612"/>
    <n v="6705923742.5639353"/>
    <n v="107770344"/>
    <n v="2621728989"/>
    <n v="62.224202815608862"/>
  </r>
  <r>
    <x v="28"/>
    <n v="2019"/>
    <n v="3"/>
    <s v="Recharge &amp; bill payments"/>
    <n v="16970783"/>
    <n v="7872719571.6020994"/>
    <n v="107770344"/>
    <n v="2621728989"/>
    <n v="73.050890248639263"/>
  </r>
  <r>
    <x v="28"/>
    <n v="2019"/>
    <n v="3"/>
    <s v="Financial Services"/>
    <n v="217029"/>
    <n v="37899900.333661847"/>
    <n v="107770344"/>
    <n v="2621728989"/>
    <n v="0.3516728157948707"/>
  </r>
  <r>
    <x v="28"/>
    <n v="2019"/>
    <n v="3"/>
    <s v="Others"/>
    <n v="583575"/>
    <n v="407796030.85477871"/>
    <n v="107770344"/>
    <n v="2621728989"/>
    <n v="3.783935503210222"/>
  </r>
  <r>
    <x v="28"/>
    <n v="2019"/>
    <n v="4"/>
    <s v="Peer-to-peer payments"/>
    <n v="43354317"/>
    <n v="140449134717.29099"/>
    <n v="120175341"/>
    <n v="3177951623"/>
    <n v="1168.7017781567267"/>
  </r>
  <r>
    <x v="28"/>
    <n v="2019"/>
    <n v="4"/>
    <s v="Recharge &amp; bill payments"/>
    <n v="20604852"/>
    <n v="9028860435.0549946"/>
    <n v="120175341"/>
    <n v="3177951623"/>
    <n v="75.130724489102917"/>
  </r>
  <r>
    <x v="28"/>
    <n v="2019"/>
    <n v="4"/>
    <s v="Merchant payments"/>
    <n v="20544791"/>
    <n v="9721826538.3549976"/>
    <n v="120175341"/>
    <n v="3177951623"/>
    <n v="80.897016454939774"/>
  </r>
  <r>
    <x v="28"/>
    <n v="2019"/>
    <n v="4"/>
    <s v="Financial Services"/>
    <n v="101805"/>
    <n v="25014672.38444693"/>
    <n v="120175341"/>
    <n v="3177951623"/>
    <n v="0.20815145749781505"/>
  </r>
  <r>
    <x v="28"/>
    <n v="2019"/>
    <n v="4"/>
    <s v="Others"/>
    <n v="468477"/>
    <n v="227573686.58499068"/>
    <n v="120175341"/>
    <n v="3177951623"/>
    <n v="1.8936803897647412"/>
  </r>
  <r>
    <x v="28"/>
    <n v="2020"/>
    <n v="1"/>
    <s v="Peer-to-peer payments"/>
    <n v="48269912"/>
    <n v="165468574323.88968"/>
    <n v="133562583"/>
    <n v="3759973316"/>
    <n v="1238.8842039981339"/>
  </r>
  <r>
    <x v="28"/>
    <n v="2020"/>
    <n v="1"/>
    <s v="Merchant payments"/>
    <n v="27880848"/>
    <n v="13643061482.355961"/>
    <n v="133562583"/>
    <n v="3759973316"/>
    <n v="102.14733180441682"/>
  </r>
  <r>
    <x v="28"/>
    <n v="2020"/>
    <n v="1"/>
    <s v="Recharge &amp; bill payments"/>
    <n v="25631131"/>
    <n v="10961167179.813339"/>
    <n v="133562583"/>
    <n v="3759973316"/>
    <n v="82.067648989787358"/>
  </r>
  <r>
    <x v="28"/>
    <n v="2020"/>
    <n v="1"/>
    <s v="Financial Services"/>
    <n v="72604"/>
    <n v="34466606.253279969"/>
    <n v="133562583"/>
    <n v="3759973316"/>
    <n v="0.25805585276289522"/>
  </r>
  <r>
    <x v="28"/>
    <n v="2020"/>
    <n v="1"/>
    <s v="Others"/>
    <n v="404317"/>
    <n v="200968968.69581181"/>
    <n v="133562583"/>
    <n v="3759973316"/>
    <n v="1.5046801595309953"/>
  </r>
  <r>
    <x v="28"/>
    <n v="2020"/>
    <n v="2"/>
    <s v="Peer-to-peer payments"/>
    <n v="49160792"/>
    <n v="166176386876.30048"/>
    <n v="149195211"/>
    <n v="3629352991"/>
    <n v="1113.8185050477289"/>
  </r>
  <r>
    <x v="28"/>
    <n v="2020"/>
    <n v="2"/>
    <s v="Recharge &amp; bill payments"/>
    <n v="31681776"/>
    <n v="13014051935.536909"/>
    <n v="149195211"/>
    <n v="3629352991"/>
    <n v="87.228349008715227"/>
  </r>
  <r>
    <x v="28"/>
    <n v="2020"/>
    <n v="2"/>
    <s v="Merchant payments"/>
    <n v="20756594"/>
    <n v="14354151782.392639"/>
    <n v="149195211"/>
    <n v="3629352991"/>
    <n v="96.210539776592682"/>
  </r>
  <r>
    <x v="28"/>
    <n v="2020"/>
    <n v="2"/>
    <s v="Financial Services"/>
    <n v="92875"/>
    <n v="76662259.205448478"/>
    <n v="149195211"/>
    <n v="3629352991"/>
    <n v="0.51383860575423213"/>
  </r>
  <r>
    <x v="28"/>
    <n v="2020"/>
    <n v="2"/>
    <s v="Others"/>
    <n v="262619"/>
    <n v="142020149.82989299"/>
    <n v="149195211"/>
    <n v="3629352991"/>
    <n v="0.95190823403770641"/>
  </r>
  <r>
    <x v="28"/>
    <n v="2020"/>
    <n v="3"/>
    <s v="Peer-to-peer payments"/>
    <n v="73247856"/>
    <n v="249006720239.33432"/>
    <n v="164663532"/>
    <n v="4803511570"/>
    <n v="1512.2153473504645"/>
  </r>
  <r>
    <x v="28"/>
    <n v="2020"/>
    <n v="3"/>
    <s v="Merchant payments"/>
    <n v="45149210"/>
    <n v="27714680562.343937"/>
    <n v="164663532"/>
    <n v="4803511570"/>
    <n v="168.31098073581913"/>
  </r>
  <r>
    <x v="28"/>
    <n v="2020"/>
    <n v="3"/>
    <s v="Recharge &amp; bill payments"/>
    <n v="30148875"/>
    <n v="16650017440.553333"/>
    <n v="164663532"/>
    <n v="4803511570"/>
    <n v="101.11539111497579"/>
  </r>
  <r>
    <x v="28"/>
    <n v="2020"/>
    <n v="3"/>
    <s v="Financial Services"/>
    <n v="146383"/>
    <n v="113675141.51464571"/>
    <n v="164663532"/>
    <n v="4803511570"/>
    <n v="0.69034800926440543"/>
  </r>
  <r>
    <x v="28"/>
    <n v="2020"/>
    <n v="3"/>
    <s v="Others"/>
    <n v="396352"/>
    <n v="193212778.71178639"/>
    <n v="164663532"/>
    <n v="4803511570"/>
    <n v="1.1733792927008659"/>
  </r>
  <r>
    <x v="28"/>
    <n v="2020"/>
    <n v="4"/>
    <s v="Peer-to-peer payments"/>
    <n v="88730951"/>
    <n v="321280847680.95026"/>
    <n v="179624434"/>
    <n v="5621166199"/>
    <n v="1788.6255256395143"/>
  </r>
  <r>
    <x v="28"/>
    <n v="2020"/>
    <n v="4"/>
    <s v="Merchant payments"/>
    <n v="67367264"/>
    <n v="46142484518.082687"/>
    <n v="179624434"/>
    <n v="5621166199"/>
    <n v="256.88311712694212"/>
  </r>
  <r>
    <x v="28"/>
    <n v="2020"/>
    <n v="4"/>
    <s v="Recharge &amp; bill payments"/>
    <n v="33455755"/>
    <n v="18123908525.970139"/>
    <n v="179624434"/>
    <n v="5621166199"/>
    <n v="100.89890402087579"/>
  </r>
  <r>
    <x v="28"/>
    <n v="2020"/>
    <n v="4"/>
    <s v="Financial Services"/>
    <n v="169294"/>
    <n v="136058685.85299307"/>
    <n v="179624434"/>
    <n v="5621166199"/>
    <n v="0.75746201573552663"/>
  </r>
  <r>
    <x v="28"/>
    <n v="2020"/>
    <n v="4"/>
    <s v="Others"/>
    <n v="560171"/>
    <n v="351480425.64826149"/>
    <n v="179624434"/>
    <n v="5621166199"/>
    <n v="1.956751750423116"/>
  </r>
  <r>
    <x v="28"/>
    <n v="2021"/>
    <n v="1"/>
    <s v="Peer-to-peer payments"/>
    <n v="116733195"/>
    <n v="408190388154.22742"/>
    <n v="194271968"/>
    <n v="6957885649"/>
    <n v="2101.1286000573559"/>
  </r>
  <r>
    <x v="28"/>
    <n v="2021"/>
    <n v="1"/>
    <s v="Merchant payments"/>
    <n v="96394132"/>
    <n v="61936457709.223076"/>
    <n v="194271968"/>
    <n v="6957885649"/>
    <n v="318.813148118328"/>
  </r>
  <r>
    <x v="28"/>
    <n v="2021"/>
    <n v="1"/>
    <s v="Recharge &amp; bill payments"/>
    <n v="38919519"/>
    <n v="20855464604.344055"/>
    <n v="194271968"/>
    <n v="6957885649"/>
    <n v="107.35189857315933"/>
  </r>
  <r>
    <x v="28"/>
    <n v="2021"/>
    <n v="1"/>
    <s v="Financial Services"/>
    <n v="192936"/>
    <n v="162581466.93308985"/>
    <n v="194271968"/>
    <n v="6957885649"/>
    <n v="0.83687558532937623"/>
  </r>
  <r>
    <x v="28"/>
    <n v="2021"/>
    <n v="1"/>
    <s v="Others"/>
    <n v="491137"/>
    <n v="347689722.9177618"/>
    <n v="194271968"/>
    <n v="6957885649"/>
    <n v="1.7897060831635874"/>
  </r>
  <r>
    <x v="28"/>
    <n v="2021"/>
    <n v="2"/>
    <s v="Peer-to-peer payments"/>
    <n v="139277445"/>
    <n v="467784146764.74719"/>
    <n v="208790835"/>
    <n v="11793003552"/>
    <n v="2240.4438718047522"/>
  </r>
  <r>
    <x v="28"/>
    <n v="2021"/>
    <n v="2"/>
    <s v="Merchant payments"/>
    <n v="97860493"/>
    <n v="69922875807.46701"/>
    <n v="208790835"/>
    <n v="11793003552"/>
    <n v="334.89437315324216"/>
  </r>
  <r>
    <x v="28"/>
    <n v="2021"/>
    <n v="2"/>
    <s v="Recharge &amp; bill payments"/>
    <n v="49501703"/>
    <n v="23387103755.819714"/>
    <n v="208790835"/>
    <n v="11793003552"/>
    <n v="112.0121185195687"/>
  </r>
  <r>
    <x v="28"/>
    <n v="2021"/>
    <n v="2"/>
    <s v="Financial Services"/>
    <n v="216441"/>
    <n v="186606893.61035594"/>
    <n v="208790835"/>
    <n v="11793003552"/>
    <n v="0.89375040628749791"/>
  </r>
  <r>
    <x v="28"/>
    <n v="2021"/>
    <n v="2"/>
    <s v="Others"/>
    <n v="620957"/>
    <n v="422031947.60023904"/>
    <n v="208790835"/>
    <n v="11793003552"/>
    <n v="2.0213145256123863"/>
  </r>
  <r>
    <x v="28"/>
    <n v="2021"/>
    <n v="3"/>
    <s v="Peer-to-peer payments"/>
    <n v="181742972"/>
    <n v="575912799217.89648"/>
    <n v="225494115"/>
    <n v="15725092075"/>
    <n v="2554.0036786232604"/>
  </r>
  <r>
    <x v="28"/>
    <n v="2021"/>
    <n v="3"/>
    <s v="Merchant payments"/>
    <n v="167819345"/>
    <n v="105548321875.05884"/>
    <n v="225494115"/>
    <n v="15725092075"/>
    <n v="468.07572727589292"/>
  </r>
  <r>
    <x v="28"/>
    <n v="2021"/>
    <n v="3"/>
    <s v="Recharge &amp; bill payments"/>
    <n v="49709657"/>
    <n v="28335516739.417709"/>
    <n v="225494115"/>
    <n v="15725092075"/>
    <n v="125.65967293389323"/>
  </r>
  <r>
    <x v="28"/>
    <n v="2021"/>
    <n v="3"/>
    <s v="Financial Services"/>
    <n v="197211"/>
    <n v="190362135.86135098"/>
    <n v="225494115"/>
    <n v="15725092075"/>
    <n v="0.84420001764281516"/>
  </r>
  <r>
    <x v="28"/>
    <n v="2021"/>
    <n v="3"/>
    <s v="Others"/>
    <n v="815568"/>
    <n v="524328574.25040925"/>
    <n v="225494115"/>
    <n v="15725092075"/>
    <n v="2.3252428306184809"/>
  </r>
  <r>
    <x v="28"/>
    <n v="2021"/>
    <n v="4"/>
    <s v="Merchant payments"/>
    <n v="221774624"/>
    <n v="151967969235.0213"/>
    <n v="241749222"/>
    <n v="13036364341"/>
    <n v="628.61823495349779"/>
  </r>
  <r>
    <x v="28"/>
    <n v="2021"/>
    <n v="4"/>
    <s v="Peer-to-peer payments"/>
    <n v="212937264"/>
    <n v="718215327365.9165"/>
    <n v="241749222"/>
    <n v="13036364341"/>
    <n v="2970.9106048991403"/>
  </r>
  <r>
    <x v="28"/>
    <n v="2021"/>
    <n v="4"/>
    <s v="Recharge &amp; bill payments"/>
    <n v="51610607"/>
    <n v="32831163302.92643"/>
    <n v="241749222"/>
    <n v="13036364341"/>
    <n v="135.80669683779345"/>
  </r>
  <r>
    <x v="28"/>
    <n v="2021"/>
    <n v="4"/>
    <s v="Financial Services"/>
    <n v="265091"/>
    <n v="263180819.69321251"/>
    <n v="241749222"/>
    <n v="13036364341"/>
    <n v="1.0886521888918943"/>
  </r>
  <r>
    <x v="28"/>
    <n v="2021"/>
    <n v="4"/>
    <s v="Others"/>
    <n v="1034011"/>
    <n v="656777820.7586894"/>
    <n v="241749222"/>
    <n v="13036364341"/>
    <n v="2.7167732550497696"/>
  </r>
  <r>
    <x v="29"/>
    <n v="2018"/>
    <n v="1"/>
    <s v="Recharge &amp; bill payments"/>
    <n v="26965"/>
    <n v="4823943.542263939"/>
    <n v="220561"/>
    <n v="0"/>
    <n v="21.871244427908557"/>
  </r>
  <r>
    <x v="29"/>
    <n v="2018"/>
    <n v="1"/>
    <s v="Peer-to-peer payments"/>
    <n v="13559"/>
    <n v="56334584.632872"/>
    <n v="220561"/>
    <n v="0"/>
    <n v="255.41498557257177"/>
  </r>
  <r>
    <x v="29"/>
    <n v="2018"/>
    <n v="1"/>
    <s v="Merchant payments"/>
    <n v="1349"/>
    <n v="1677583.1440411464"/>
    <n v="220561"/>
    <n v="0"/>
    <n v="7.6059826716470562"/>
  </r>
  <r>
    <x v="29"/>
    <n v="2018"/>
    <n v="1"/>
    <s v="Financial Services"/>
    <n v="608"/>
    <n v="86906.819581013828"/>
    <n v="220561"/>
    <n v="0"/>
    <n v="0.39402623120594227"/>
  </r>
  <r>
    <x v="29"/>
    <n v="2018"/>
    <n v="1"/>
    <s v="Others"/>
    <n v="1597"/>
    <n v="1727920.8016103164"/>
    <n v="220561"/>
    <n v="0"/>
    <n v="7.8342082308763397"/>
  </r>
  <r>
    <x v="29"/>
    <n v="2018"/>
    <n v="2"/>
    <s v="Recharge &amp; bill payments"/>
    <n v="45435"/>
    <n v="9465769.8560515847"/>
    <n v="309067"/>
    <n v="0"/>
    <n v="30.626918616518697"/>
  </r>
  <r>
    <x v="29"/>
    <n v="2018"/>
    <n v="2"/>
    <s v="Peer-to-peer payments"/>
    <n v="24237"/>
    <n v="127051984.3879841"/>
    <n v="309067"/>
    <n v="0"/>
    <n v="411.08233615359808"/>
  </r>
  <r>
    <x v="29"/>
    <n v="2018"/>
    <n v="2"/>
    <s v="Merchant payments"/>
    <n v="2556"/>
    <n v="4713227.1481359731"/>
    <n v="309067"/>
    <n v="0"/>
    <n v="15.249855688688774"/>
  </r>
  <r>
    <x v="29"/>
    <n v="2018"/>
    <n v="2"/>
    <s v="Financial Services"/>
    <n v="562"/>
    <n v="218130.12995975127"/>
    <n v="309067"/>
    <n v="0"/>
    <n v="0.70576971970398417"/>
  </r>
  <r>
    <x v="29"/>
    <n v="2018"/>
    <n v="2"/>
    <s v="Others"/>
    <n v="1788"/>
    <n v="2243974.0076642134"/>
    <n v="309067"/>
    <n v="0"/>
    <n v="7.2604775264399413"/>
  </r>
  <r>
    <x v="29"/>
    <n v="2018"/>
    <n v="3"/>
    <s v="Recharge &amp; bill payments"/>
    <n v="58421"/>
    <n v="12221506.18938216"/>
    <n v="414007"/>
    <n v="0"/>
    <n v="29.520047219931449"/>
  </r>
  <r>
    <x v="29"/>
    <n v="2018"/>
    <n v="3"/>
    <s v="Peer-to-peer payments"/>
    <n v="43195"/>
    <n v="215547415.4557628"/>
    <n v="414007"/>
    <n v="0"/>
    <n v="520.6371280093399"/>
  </r>
  <r>
    <x v="29"/>
    <n v="2018"/>
    <n v="3"/>
    <s v="Merchant payments"/>
    <n v="4521"/>
    <n v="5322296.7479545139"/>
    <n v="414007"/>
    <n v="0"/>
    <n v="12.855571881524984"/>
  </r>
  <r>
    <x v="29"/>
    <n v="2018"/>
    <n v="3"/>
    <s v="Financial Services"/>
    <n v="562"/>
    <n v="261766.80217056011"/>
    <n v="414007"/>
    <n v="0"/>
    <n v="0.63227627110304929"/>
  </r>
  <r>
    <x v="29"/>
    <n v="2018"/>
    <n v="3"/>
    <s v="Others"/>
    <n v="1801"/>
    <n v="1727241.758047811"/>
    <n v="414007"/>
    <n v="0"/>
    <n v="4.1720109999294968"/>
  </r>
  <r>
    <x v="29"/>
    <n v="2018"/>
    <n v="4"/>
    <s v="Recharge &amp; bill payments"/>
    <n v="79232"/>
    <n v="16713780.628117373"/>
    <n v="533918"/>
    <n v="0"/>
    <n v="31.304021643992847"/>
  </r>
  <r>
    <x v="29"/>
    <n v="2018"/>
    <n v="4"/>
    <s v="Peer-to-peer payments"/>
    <n v="65451"/>
    <n v="351253329.74205655"/>
    <n v="533918"/>
    <n v="0"/>
    <n v="657.87879363882951"/>
  </r>
  <r>
    <x v="29"/>
    <n v="2018"/>
    <n v="4"/>
    <s v="Merchant payments"/>
    <n v="7452"/>
    <n v="12637809.239460425"/>
    <n v="533918"/>
    <n v="0"/>
    <n v="23.669944147716365"/>
  </r>
  <r>
    <x v="29"/>
    <n v="2018"/>
    <n v="4"/>
    <s v="Financial Services"/>
    <n v="717"/>
    <n v="596472.71457903984"/>
    <n v="533918"/>
    <n v="0"/>
    <n v="1.1171616513753795"/>
  </r>
  <r>
    <x v="29"/>
    <n v="2018"/>
    <n v="4"/>
    <s v="Others"/>
    <n v="1681"/>
    <n v="1939965.7540404093"/>
    <n v="533918"/>
    <n v="0"/>
    <n v="3.6334526163950445"/>
  </r>
  <r>
    <x v="29"/>
    <n v="2019"/>
    <n v="1"/>
    <s v="Peer-to-peer payments"/>
    <n v="121984"/>
    <n v="422987999.89472675"/>
    <n v="648516"/>
    <n v="0"/>
    <n v="652.23988289375552"/>
  </r>
  <r>
    <x v="29"/>
    <n v="2019"/>
    <n v="1"/>
    <s v="Recharge &amp; bill payments"/>
    <n v="96878"/>
    <n v="20711589.874598008"/>
    <n v="648516"/>
    <n v="0"/>
    <n v="31.93689881914711"/>
  </r>
  <r>
    <x v="29"/>
    <n v="2019"/>
    <n v="1"/>
    <s v="Merchant payments"/>
    <n v="18346"/>
    <n v="11837344.846847566"/>
    <n v="648516"/>
    <n v="0"/>
    <n v="18.252972705141531"/>
  </r>
  <r>
    <x v="29"/>
    <n v="2019"/>
    <n v="1"/>
    <s v="Financial Services"/>
    <n v="1225"/>
    <n v="191594.23340424805"/>
    <n v="648516"/>
    <n v="0"/>
    <n v="0.29543485959366933"/>
  </r>
  <r>
    <x v="29"/>
    <n v="2019"/>
    <n v="1"/>
    <s v="Others"/>
    <n v="1854"/>
    <n v="2265105.5345173199"/>
    <n v="648516"/>
    <n v="0"/>
    <n v="3.4927519668247506"/>
  </r>
  <r>
    <x v="29"/>
    <n v="2019"/>
    <n v="2"/>
    <s v="Peer-to-peer payments"/>
    <n v="172125"/>
    <n v="674044301.8399961"/>
    <n v="780989"/>
    <n v="4383720"/>
    <n v="863.06503912346534"/>
  </r>
  <r>
    <x v="29"/>
    <n v="2019"/>
    <n v="2"/>
    <s v="Recharge &amp; bill payments"/>
    <n v="142582"/>
    <n v="32535297.489453897"/>
    <n v="780989"/>
    <n v="4383720"/>
    <n v="41.659098258047038"/>
  </r>
  <r>
    <x v="29"/>
    <n v="2019"/>
    <n v="2"/>
    <s v="Merchant payments"/>
    <n v="66722"/>
    <n v="28248001.026472859"/>
    <n v="780989"/>
    <n v="4383720"/>
    <n v="36.169524828740045"/>
  </r>
  <r>
    <x v="29"/>
    <n v="2019"/>
    <n v="2"/>
    <s v="Financial Services"/>
    <n v="2294"/>
    <n v="310197.54774877685"/>
    <n v="780989"/>
    <n v="4383720"/>
    <n v="0.3971855528679365"/>
  </r>
  <r>
    <x v="29"/>
    <n v="2019"/>
    <n v="2"/>
    <s v="Others"/>
    <n v="4521"/>
    <n v="3756445.5322695798"/>
    <n v="780989"/>
    <n v="4383720"/>
    <n v="4.8098571583845349"/>
  </r>
  <r>
    <x v="29"/>
    <n v="2019"/>
    <n v="3"/>
    <s v="Peer-to-peer payments"/>
    <n v="203052"/>
    <n v="794235862.63173568"/>
    <n v="903408"/>
    <n v="14484844"/>
    <n v="879.15522403137413"/>
  </r>
  <r>
    <x v="29"/>
    <n v="2019"/>
    <n v="3"/>
    <s v="Merchant payments"/>
    <n v="188753"/>
    <n v="52337322.526296102"/>
    <n v="903408"/>
    <n v="14484844"/>
    <n v="57.933206841533504"/>
  </r>
  <r>
    <x v="29"/>
    <n v="2019"/>
    <n v="3"/>
    <s v="Recharge &amp; bill payments"/>
    <n v="156125"/>
    <n v="33922224.892257094"/>
    <n v="903408"/>
    <n v="14484844"/>
    <n v="37.549174782885579"/>
  </r>
  <r>
    <x v="29"/>
    <n v="2019"/>
    <n v="3"/>
    <s v="Financial Services"/>
    <n v="288"/>
    <n v="548142.89998444414"/>
    <n v="903408"/>
    <n v="14484844"/>
    <n v="0.60675010624706016"/>
  </r>
  <r>
    <x v="29"/>
    <n v="2019"/>
    <n v="3"/>
    <s v="Others"/>
    <n v="4218"/>
    <n v="3672895.4901549704"/>
    <n v="903408"/>
    <n v="14484844"/>
    <n v="4.0655999173739552"/>
  </r>
  <r>
    <x v="29"/>
    <n v="2019"/>
    <n v="4"/>
    <s v="Peer-to-peer payments"/>
    <n v="508471"/>
    <n v="1086457147.940953"/>
    <n v="1022692"/>
    <n v="17072044"/>
    <n v="1062.3502950457744"/>
  </r>
  <r>
    <x v="29"/>
    <n v="2019"/>
    <n v="4"/>
    <s v="Recharge &amp; bill payments"/>
    <n v="181287"/>
    <n v="42705664.086257368"/>
    <n v="1022692"/>
    <n v="17072044"/>
    <n v="41.758089518894614"/>
  </r>
  <r>
    <x v="29"/>
    <n v="2019"/>
    <n v="4"/>
    <s v="Merchant payments"/>
    <n v="73992"/>
    <n v="43954548.804204434"/>
    <n v="1022692"/>
    <n v="17072044"/>
    <n v="42.979263360038445"/>
  </r>
  <r>
    <x v="29"/>
    <n v="2019"/>
    <n v="4"/>
    <s v="Financial Services"/>
    <n v="373"/>
    <n v="494076.34508290561"/>
    <n v="1022692"/>
    <n v="17072044"/>
    <n v="0.48311353279668329"/>
  </r>
  <r>
    <x v="29"/>
    <n v="2019"/>
    <n v="4"/>
    <s v="Others"/>
    <n v="2947"/>
    <n v="2898164.4797200123"/>
    <n v="1022692"/>
    <n v="17072044"/>
    <n v="2.833858561248169"/>
  </r>
  <r>
    <x v="29"/>
    <n v="2020"/>
    <n v="1"/>
    <s v="Peer-to-peer payments"/>
    <n v="230413"/>
    <n v="954765350.18567824"/>
    <n v="1150941"/>
    <n v="18668793"/>
    <n v="829.55194939243472"/>
  </r>
  <r>
    <x v="29"/>
    <n v="2020"/>
    <n v="1"/>
    <s v="Recharge &amp; bill payments"/>
    <n v="215586"/>
    <n v="53588505.838823974"/>
    <n v="1150941"/>
    <n v="18668793"/>
    <n v="46.560602010723379"/>
  </r>
  <r>
    <x v="29"/>
    <n v="2020"/>
    <n v="1"/>
    <s v="Merchant payments"/>
    <n v="79881"/>
    <n v="43201695.389372639"/>
    <n v="1150941"/>
    <n v="18668793"/>
    <n v="37.535977421407907"/>
  </r>
  <r>
    <x v="29"/>
    <n v="2020"/>
    <n v="1"/>
    <s v="Financial Services"/>
    <n v="345"/>
    <n v="175569.53933206247"/>
    <n v="1150941"/>
    <n v="18668793"/>
    <n v="0.15254434356935975"/>
  </r>
  <r>
    <x v="29"/>
    <n v="2020"/>
    <n v="1"/>
    <s v="Others"/>
    <n v="1893"/>
    <n v="1745150.9911952191"/>
    <n v="1150941"/>
    <n v="18668793"/>
    <n v="1.5162818869040369"/>
  </r>
  <r>
    <x v="29"/>
    <n v="2020"/>
    <n v="2"/>
    <s v="Recharge &amp; bill payments"/>
    <n v="297620"/>
    <n v="78397187.109359935"/>
    <n v="1319131"/>
    <n v="21035685"/>
    <n v="59.430933780920874"/>
  </r>
  <r>
    <x v="29"/>
    <n v="2020"/>
    <n v="2"/>
    <s v="Peer-to-peer payments"/>
    <n v="186495"/>
    <n v="939900165.94224119"/>
    <n v="1319131"/>
    <n v="21035685"/>
    <n v="712.51465240544053"/>
  </r>
  <r>
    <x v="29"/>
    <n v="2020"/>
    <n v="2"/>
    <s v="Merchant payments"/>
    <n v="31442"/>
    <n v="34385184.657177508"/>
    <n v="1319131"/>
    <n v="21035685"/>
    <n v="26.066542790047013"/>
  </r>
  <r>
    <x v="29"/>
    <n v="2020"/>
    <n v="2"/>
    <s v="Financial Services"/>
    <n v="883"/>
    <n v="999656.07220476726"/>
    <n v="1319131"/>
    <n v="21035685"/>
    <n v="0.75781410049856102"/>
  </r>
  <r>
    <x v="29"/>
    <n v="2020"/>
    <n v="2"/>
    <s v="Others"/>
    <n v="1291"/>
    <n v="936594.48028303799"/>
    <n v="1319131"/>
    <n v="21035685"/>
    <n v="0.71000869533278954"/>
  </r>
  <r>
    <x v="29"/>
    <n v="2020"/>
    <n v="3"/>
    <s v="Recharge &amp; bill payments"/>
    <n v="298885"/>
    <n v="83894642.670911193"/>
    <n v="1482503"/>
    <n v="23721170"/>
    <n v="56.589863677113094"/>
  </r>
  <r>
    <x v="29"/>
    <n v="2020"/>
    <n v="3"/>
    <s v="Peer-to-peer payments"/>
    <n v="245087"/>
    <n v="1255521152.9665141"/>
    <n v="1482503"/>
    <n v="23721170"/>
    <n v="846.89282447759911"/>
  </r>
  <r>
    <x v="29"/>
    <n v="2020"/>
    <n v="3"/>
    <s v="Merchant payments"/>
    <n v="49299"/>
    <n v="58337178.67223759"/>
    <n v="1482503"/>
    <n v="23721170"/>
    <n v="39.350462476121528"/>
  </r>
  <r>
    <x v="29"/>
    <n v="2020"/>
    <n v="3"/>
    <s v="Financial Services"/>
    <n v="1252"/>
    <n v="1795366.733436462"/>
    <n v="1482503"/>
    <n v="23721170"/>
    <n v="1.2110375044343666"/>
  </r>
  <r>
    <x v="29"/>
    <n v="2020"/>
    <n v="3"/>
    <s v="Others"/>
    <n v="1912"/>
    <n v="1378387.6172995246"/>
    <n v="1482503"/>
    <n v="23721170"/>
    <n v="0.92977054164445172"/>
  </r>
  <r>
    <x v="29"/>
    <n v="2020"/>
    <n v="4"/>
    <s v="Peer-to-peer payments"/>
    <n v="334069"/>
    <n v="1711730126.5845411"/>
    <n v="1633973"/>
    <n v="27265370"/>
    <n v="1047.5877671078661"/>
  </r>
  <r>
    <x v="29"/>
    <n v="2020"/>
    <n v="4"/>
    <s v="Recharge &amp; bill payments"/>
    <n v="301382"/>
    <n v="90168624.054155409"/>
    <n v="1633973"/>
    <n v="27265370"/>
    <n v="55.183668306731754"/>
  </r>
  <r>
    <x v="29"/>
    <n v="2020"/>
    <n v="4"/>
    <s v="Merchant payments"/>
    <n v="95503"/>
    <n v="112478003.86391157"/>
    <n v="1633973"/>
    <n v="27265370"/>
    <n v="68.837125132368513"/>
  </r>
  <r>
    <x v="29"/>
    <n v="2020"/>
    <n v="4"/>
    <s v="Financial Services"/>
    <n v="1427"/>
    <n v="2361187.5923923948"/>
    <n v="1633973"/>
    <n v="27265370"/>
    <n v="1.4450591242281206"/>
  </r>
  <r>
    <x v="29"/>
    <n v="2020"/>
    <n v="4"/>
    <s v="Others"/>
    <n v="2654"/>
    <n v="2537863.0279230541"/>
    <n v="1633973"/>
    <n v="27265370"/>
    <n v="1.5531854124413647"/>
  </r>
  <r>
    <x v="29"/>
    <n v="2021"/>
    <n v="1"/>
    <s v="Peer-to-peer payments"/>
    <n v="403703"/>
    <n v="1965492629.578867"/>
    <n v="1762343"/>
    <n v="30748641"/>
    <n v="1115.2724694221652"/>
  </r>
  <r>
    <x v="29"/>
    <n v="2021"/>
    <n v="1"/>
    <s v="Recharge &amp; bill payments"/>
    <n v="279679"/>
    <n v="93174110.112333998"/>
    <n v="1762343"/>
    <n v="30748641"/>
    <n v="52.869452832016243"/>
  </r>
  <r>
    <x v="29"/>
    <n v="2021"/>
    <n v="1"/>
    <s v="Merchant payments"/>
    <n v="112925"/>
    <n v="154183320.1372872"/>
    <n v="1762343"/>
    <n v="30748641"/>
    <n v="87.487691180029771"/>
  </r>
  <r>
    <x v="29"/>
    <n v="2021"/>
    <n v="1"/>
    <s v="Financial Services"/>
    <n v="1844"/>
    <n v="3027799.2784099854"/>
    <n v="1762343"/>
    <n v="30748641"/>
    <n v="1.7180533405869263"/>
  </r>
  <r>
    <x v="29"/>
    <n v="2021"/>
    <n v="1"/>
    <s v="Others"/>
    <n v="2038"/>
    <n v="1789867.7338266163"/>
    <n v="1762343"/>
    <n v="30748641"/>
    <n v="1.0156182614999556"/>
  </r>
  <r>
    <x v="29"/>
    <n v="2021"/>
    <n v="2"/>
    <s v="Peer-to-peer payments"/>
    <n v="473141"/>
    <n v="2125758496.616091"/>
    <n v="1889140"/>
    <n v="49952331"/>
    <n v="1125.2519647120334"/>
  </r>
  <r>
    <x v="29"/>
    <n v="2021"/>
    <n v="2"/>
    <s v="Recharge &amp; bill payments"/>
    <n v="345495"/>
    <n v="103846501.52404109"/>
    <n v="1889140"/>
    <n v="49952331"/>
    <n v="54.970251820426803"/>
  </r>
  <r>
    <x v="29"/>
    <n v="2021"/>
    <n v="2"/>
    <s v="Merchant payments"/>
    <n v="153671"/>
    <n v="190473176.21848944"/>
    <n v="1889140"/>
    <n v="49952331"/>
    <n v="100.82533651211104"/>
  </r>
  <r>
    <x v="29"/>
    <n v="2021"/>
    <n v="2"/>
    <s v="Financial Services"/>
    <n v="1865"/>
    <n v="2851874.2874650131"/>
    <n v="1889140"/>
    <n v="49952331"/>
    <n v="1.5096151092375436"/>
  </r>
  <r>
    <x v="29"/>
    <n v="2021"/>
    <n v="2"/>
    <s v="Others"/>
    <n v="2542"/>
    <n v="1969531.0292125773"/>
    <n v="1889140"/>
    <n v="49952331"/>
    <n v="1.0425542994233234"/>
  </r>
  <r>
    <x v="29"/>
    <n v="2021"/>
    <n v="3"/>
    <s v="Peer-to-peer payments"/>
    <n v="595826"/>
    <n v="2582075089.383399"/>
    <n v="2031623"/>
    <n v="62860215"/>
    <n v="1270.9420445542303"/>
  </r>
  <r>
    <x v="29"/>
    <n v="2021"/>
    <n v="3"/>
    <s v="Recharge &amp; bill payments"/>
    <n v="346173"/>
    <n v="111613776.75942023"/>
    <n v="2031623"/>
    <n v="62860215"/>
    <n v="54.938232516278973"/>
  </r>
  <r>
    <x v="29"/>
    <n v="2021"/>
    <n v="3"/>
    <s v="Merchant payments"/>
    <n v="213808"/>
    <n v="290732930.46291006"/>
    <n v="2031623"/>
    <n v="62860215"/>
    <n v="143.10377981688043"/>
  </r>
  <r>
    <x v="29"/>
    <n v="2021"/>
    <n v="3"/>
    <s v="Financial Services"/>
    <n v="1689"/>
    <n v="2624558.3857180667"/>
    <n v="2031623"/>
    <n v="62860215"/>
    <n v="1.2918530582288479"/>
  </r>
  <r>
    <x v="29"/>
    <n v="2021"/>
    <n v="3"/>
    <s v="Others"/>
    <n v="3098"/>
    <n v="2290508.8169457563"/>
    <n v="2031623"/>
    <n v="62860215"/>
    <n v="1.127428079395516"/>
  </r>
  <r>
    <x v="29"/>
    <n v="2021"/>
    <n v="4"/>
    <s v="Peer-to-peer payments"/>
    <n v="831597"/>
    <n v="3548508409.6561251"/>
    <n v="2171477"/>
    <n v="60781072"/>
    <n v="1634.1450587117088"/>
  </r>
  <r>
    <x v="29"/>
    <n v="2021"/>
    <n v="4"/>
    <s v="Recharge &amp; bill payments"/>
    <n v="376078"/>
    <n v="136473754.40071422"/>
    <n v="2171477"/>
    <n v="60781072"/>
    <n v="62.848353632441984"/>
  </r>
  <r>
    <x v="29"/>
    <n v="2021"/>
    <n v="4"/>
    <s v="Merchant payments"/>
    <n v="369343"/>
    <n v="504586163.55697852"/>
    <n v="2171477"/>
    <n v="60781072"/>
    <n v="232.37002443819506"/>
  </r>
  <r>
    <x v="29"/>
    <n v="2021"/>
    <n v="4"/>
    <s v="Financial Services"/>
    <n v="2269"/>
    <n v="3162023.7210206646"/>
    <n v="2171477"/>
    <n v="60781072"/>
    <n v="1.4561626584212795"/>
  </r>
  <r>
    <x v="29"/>
    <n v="2021"/>
    <n v="4"/>
    <s v="Others"/>
    <n v="5058"/>
    <n v="4052910.300969372"/>
    <n v="2171477"/>
    <n v="60781072"/>
    <n v="1.8664302228250045"/>
  </r>
  <r>
    <x v="30"/>
    <n v="2018"/>
    <n v="1"/>
    <s v="Recharge &amp; bill payments"/>
    <n v="3308548"/>
    <n v="646028338.39515328"/>
    <n v="23152294"/>
    <n v="0"/>
    <n v="27.903426692627232"/>
  </r>
  <r>
    <x v="30"/>
    <n v="2018"/>
    <n v="1"/>
    <s v="Peer-to-peer payments"/>
    <n v="2670613"/>
    <n v="10031518934.085688"/>
    <n v="23152294"/>
    <n v="0"/>
    <n v="433.28401643853033"/>
  </r>
  <r>
    <x v="30"/>
    <n v="2018"/>
    <n v="1"/>
    <s v="Merchant payments"/>
    <n v="326510"/>
    <n v="272002057.1736871"/>
    <n v="23152294"/>
    <n v="0"/>
    <n v="11.748384724800363"/>
  </r>
  <r>
    <x v="30"/>
    <n v="2018"/>
    <n v="1"/>
    <s v="Financial Services"/>
    <n v="115363"/>
    <n v="31876073.747922331"/>
    <n v="23152294"/>
    <n v="0"/>
    <n v="1.3767997999646311"/>
  </r>
  <r>
    <x v="30"/>
    <n v="2018"/>
    <n v="1"/>
    <s v="Others"/>
    <n v="305588"/>
    <n v="280132294.11422664"/>
    <n v="23152294"/>
    <n v="0"/>
    <n v="12.099548066996153"/>
  </r>
  <r>
    <x v="30"/>
    <n v="2018"/>
    <n v="2"/>
    <s v="Recharge &amp; bill payments"/>
    <n v="4464677"/>
    <n v="1189892955.8051775"/>
    <n v="32956396"/>
    <n v="0"/>
    <n v="36.105069128468337"/>
  </r>
  <r>
    <x v="30"/>
    <n v="2018"/>
    <n v="2"/>
    <s v="Peer-to-peer payments"/>
    <n v="4433762"/>
    <n v="18067624388.095619"/>
    <n v="32956396"/>
    <n v="0"/>
    <n v="548.22816148026686"/>
  </r>
  <r>
    <x v="30"/>
    <n v="2018"/>
    <n v="2"/>
    <s v="Merchant payments"/>
    <n v="627918"/>
    <n v="517130320.46603078"/>
    <n v="32956396"/>
    <n v="0"/>
    <n v="15.691349274539327"/>
  </r>
  <r>
    <x v="30"/>
    <n v="2018"/>
    <n v="2"/>
    <s v="Financial Services"/>
    <n v="167035"/>
    <n v="65402385.256406657"/>
    <n v="32956396"/>
    <n v="0"/>
    <n v="1.9845126650501062"/>
  </r>
  <r>
    <x v="30"/>
    <n v="2018"/>
    <n v="2"/>
    <s v="Others"/>
    <n v="298736"/>
    <n v="285794226.64323723"/>
    <n v="32956396"/>
    <n v="0"/>
    <n v="8.6718895671491882"/>
  </r>
  <r>
    <x v="30"/>
    <n v="2018"/>
    <n v="3"/>
    <s v="Peer-to-peer payments"/>
    <n v="8810836"/>
    <n v="26792462660.044968"/>
    <n v="42901947"/>
    <n v="0"/>
    <n v="624.50458623812494"/>
  </r>
  <r>
    <x v="30"/>
    <n v="2018"/>
    <n v="3"/>
    <s v="Recharge &amp; bill payments"/>
    <n v="5148411"/>
    <n v="1521551955.2050381"/>
    <n v="42901947"/>
    <n v="0"/>
    <n v="35.465801941460562"/>
  </r>
  <r>
    <x v="30"/>
    <n v="2018"/>
    <n v="3"/>
    <s v="Merchant payments"/>
    <n v="1290978"/>
    <n v="733189649.57298338"/>
    <n v="42901947"/>
    <n v="0"/>
    <n v="17.089892204029422"/>
  </r>
  <r>
    <x v="30"/>
    <n v="2018"/>
    <n v="3"/>
    <s v="Financial Services"/>
    <n v="191732"/>
    <n v="37049222.365906969"/>
    <n v="42901947"/>
    <n v="0"/>
    <n v="0.8635790437647729"/>
  </r>
  <r>
    <x v="30"/>
    <n v="2018"/>
    <n v="3"/>
    <s v="Others"/>
    <n v="332121"/>
    <n v="245838753.99527201"/>
    <n v="42901947"/>
    <n v="0"/>
    <n v="5.7302470210797658"/>
  </r>
  <r>
    <x v="30"/>
    <n v="2018"/>
    <n v="4"/>
    <s v="Peer-to-peer payments"/>
    <n v="11538547"/>
    <n v="39180083690.572762"/>
    <n v="57198658"/>
    <n v="0"/>
    <n v="684.98256883182057"/>
  </r>
  <r>
    <x v="30"/>
    <n v="2018"/>
    <n v="4"/>
    <s v="Recharge &amp; bill payments"/>
    <n v="7093764"/>
    <n v="2020329567.8245385"/>
    <n v="57198658"/>
    <n v="0"/>
    <n v="35.321275681407393"/>
  </r>
  <r>
    <x v="30"/>
    <n v="2018"/>
    <n v="4"/>
    <s v="Merchant payments"/>
    <n v="3145621"/>
    <n v="1742903221.432857"/>
    <n v="57198658"/>
    <n v="0"/>
    <n v="30.47105093676948"/>
  </r>
  <r>
    <x v="30"/>
    <n v="2018"/>
    <n v="4"/>
    <s v="Financial Services"/>
    <n v="228398"/>
    <n v="46571758.682429329"/>
    <n v="57198658"/>
    <n v="0"/>
    <n v="0.81421068799252827"/>
  </r>
  <r>
    <x v="30"/>
    <n v="2018"/>
    <n v="4"/>
    <s v="Others"/>
    <n v="451114"/>
    <n v="312185737.38152075"/>
    <n v="57198658"/>
    <n v="0"/>
    <n v="5.4579206627805981"/>
  </r>
  <r>
    <x v="30"/>
    <n v="2019"/>
    <n v="1"/>
    <s v="Peer-to-peer payments"/>
    <n v="18645926"/>
    <n v="51296299081.444359"/>
    <n v="69259333"/>
    <n v="0"/>
    <n v="740.64096287852442"/>
  </r>
  <r>
    <x v="30"/>
    <n v="2019"/>
    <n v="1"/>
    <s v="Recharge &amp; bill payments"/>
    <n v="8863289"/>
    <n v="2695317014.8660007"/>
    <n v="69259333"/>
    <n v="0"/>
    <n v="38.916300491458685"/>
  </r>
  <r>
    <x v="30"/>
    <n v="2019"/>
    <n v="1"/>
    <s v="Merchant payments"/>
    <n v="4195222"/>
    <n v="1924461188.9900146"/>
    <n v="69259333"/>
    <n v="0"/>
    <n v="27.786308438604433"/>
  </r>
  <r>
    <x v="30"/>
    <n v="2019"/>
    <n v="1"/>
    <s v="Financial Services"/>
    <n v="193261"/>
    <n v="31217137.545322973"/>
    <n v="69259333"/>
    <n v="0"/>
    <n v="0.45072824402341521"/>
  </r>
  <r>
    <x v="30"/>
    <n v="2019"/>
    <n v="1"/>
    <s v="Others"/>
    <n v="377347"/>
    <n v="256742393.28426796"/>
    <n v="69259333"/>
    <n v="0"/>
    <n v="3.7069717850772252"/>
  </r>
  <r>
    <x v="30"/>
    <n v="2019"/>
    <n v="2"/>
    <s v="Peer-to-peer payments"/>
    <n v="16952961"/>
    <n v="57924128549.069809"/>
    <n v="81725699"/>
    <n v="370248571"/>
    <n v="708.76271794346849"/>
  </r>
  <r>
    <x v="30"/>
    <n v="2019"/>
    <n v="2"/>
    <s v="Recharge &amp; bill payments"/>
    <n v="8414514"/>
    <n v="3280033639.8500404"/>
    <n v="81725699"/>
    <n v="370248571"/>
    <n v="40.13466608404341"/>
  </r>
  <r>
    <x v="30"/>
    <n v="2019"/>
    <n v="2"/>
    <s v="Merchant payments"/>
    <n v="6296995"/>
    <n v="2690331792.5060787"/>
    <n v="81725699"/>
    <n v="370248571"/>
    <n v="32.919042913369012"/>
  </r>
  <r>
    <x v="30"/>
    <n v="2019"/>
    <n v="2"/>
    <s v="Financial Services"/>
    <n v="70142"/>
    <n v="18334602.389631532"/>
    <n v="81725699"/>
    <n v="370248571"/>
    <n v="0.22434317006736806"/>
  </r>
  <r>
    <x v="30"/>
    <n v="2019"/>
    <n v="2"/>
    <s v="Others"/>
    <n v="437125"/>
    <n v="294847441.94211417"/>
    <n v="81725699"/>
    <n v="370248571"/>
    <n v="3.6077689827053567"/>
  </r>
  <r>
    <x v="30"/>
    <n v="2019"/>
    <n v="3"/>
    <s v="Peer-to-peer payments"/>
    <n v="21277636"/>
    <n v="70615331408.539658"/>
    <n v="92717185"/>
    <n v="1371593762"/>
    <n v="761.62074386252834"/>
  </r>
  <r>
    <x v="30"/>
    <n v="2019"/>
    <n v="3"/>
    <s v="Merchant payments"/>
    <n v="10344027"/>
    <n v="4079315732.6616831"/>
    <n v="92717185"/>
    <n v="1371593762"/>
    <n v="43.997407089761012"/>
  </r>
  <r>
    <x v="30"/>
    <n v="2019"/>
    <n v="3"/>
    <s v="Recharge &amp; bill payments"/>
    <n v="9246678"/>
    <n v="3964144354.4161515"/>
    <n v="92717185"/>
    <n v="1371593762"/>
    <n v="42.755227678840242"/>
  </r>
  <r>
    <x v="30"/>
    <n v="2019"/>
    <n v="3"/>
    <s v="Financial Services"/>
    <n v="88261"/>
    <n v="27213741.831077334"/>
    <n v="92717185"/>
    <n v="1371593762"/>
    <n v="0.29351346065001149"/>
  </r>
  <r>
    <x v="30"/>
    <n v="2019"/>
    <n v="3"/>
    <s v="Others"/>
    <n v="453581"/>
    <n v="273599406.1898495"/>
    <n v="92717185"/>
    <n v="1371593762"/>
    <n v="2.9509028578666348"/>
  </r>
  <r>
    <x v="30"/>
    <n v="2019"/>
    <n v="4"/>
    <s v="Peer-to-peer payments"/>
    <n v="28814008"/>
    <n v="91858026341.275635"/>
    <n v="105825423"/>
    <n v="1705128887"/>
    <n v="868.01473348493619"/>
  </r>
  <r>
    <x v="30"/>
    <n v="2019"/>
    <n v="4"/>
    <s v="Merchant payments"/>
    <n v="16153034"/>
    <n v="6420193204.7806158"/>
    <n v="105825423"/>
    <n v="1705128887"/>
    <n v="60.667777390132578"/>
  </r>
  <r>
    <x v="30"/>
    <n v="2019"/>
    <n v="4"/>
    <s v="Recharge &amp; bill payments"/>
    <n v="11157765"/>
    <n v="4681454397.5629263"/>
    <n v="105825423"/>
    <n v="1705128887"/>
    <n v="44.237521238756834"/>
  </r>
  <r>
    <x v="30"/>
    <n v="2019"/>
    <n v="4"/>
    <s v="Financial Services"/>
    <n v="60624"/>
    <n v="24332240.655566711"/>
    <n v="105825423"/>
    <n v="1705128887"/>
    <n v="0.22992812091633888"/>
  </r>
  <r>
    <x v="30"/>
    <n v="2019"/>
    <n v="4"/>
    <s v="Others"/>
    <n v="410980"/>
    <n v="206859328.26859051"/>
    <n v="105825423"/>
    <n v="1705128887"/>
    <n v="1.9547224325159609"/>
  </r>
  <r>
    <x v="30"/>
    <n v="2020"/>
    <n v="1"/>
    <s v="Peer-to-peer payments"/>
    <n v="30880360"/>
    <n v="101907683045.28436"/>
    <n v="119596048"/>
    <n v="1978996283"/>
    <n v="852.09908478986165"/>
  </r>
  <r>
    <x v="30"/>
    <n v="2020"/>
    <n v="1"/>
    <s v="Merchant payments"/>
    <n v="21541556"/>
    <n v="8950736938.2234783"/>
    <n v="119596048"/>
    <n v="1978996283"/>
    <n v="74.841410631089403"/>
  </r>
  <r>
    <x v="30"/>
    <n v="2020"/>
    <n v="1"/>
    <s v="Recharge &amp; bill payments"/>
    <n v="14134259"/>
    <n v="5493239429.7322235"/>
    <n v="119596048"/>
    <n v="1978996283"/>
    <n v="45.931613306588723"/>
  </r>
  <r>
    <x v="30"/>
    <n v="2020"/>
    <n v="1"/>
    <s v="Financial Services"/>
    <n v="61427"/>
    <n v="41422107.813630365"/>
    <n v="119596048"/>
    <n v="1978996283"/>
    <n v="0.3463501387071784"/>
  </r>
  <r>
    <x v="30"/>
    <n v="2020"/>
    <n v="1"/>
    <s v="Others"/>
    <n v="335871"/>
    <n v="176604658.38668299"/>
    <n v="119596048"/>
    <n v="1978996283"/>
    <n v="1.4766763730076014"/>
  </r>
  <r>
    <x v="30"/>
    <n v="2020"/>
    <n v="2"/>
    <s v="Peer-to-peer payments"/>
    <n v="21700844"/>
    <n v="82347647064.123322"/>
    <n v="133658646"/>
    <n v="1593981917"/>
    <n v="616.10415434047809"/>
  </r>
  <r>
    <x v="30"/>
    <n v="2020"/>
    <n v="2"/>
    <s v="Recharge &amp; bill payments"/>
    <n v="18474731"/>
    <n v="6414781159.484189"/>
    <n v="133658646"/>
    <n v="1593981917"/>
    <n v="47.993761357452243"/>
  </r>
  <r>
    <x v="30"/>
    <n v="2020"/>
    <n v="2"/>
    <s v="Merchant payments"/>
    <n v="11477546"/>
    <n v="6909361871.6282063"/>
    <n v="133658646"/>
    <n v="1593981917"/>
    <n v="51.694088473918896"/>
  </r>
  <r>
    <x v="30"/>
    <n v="2020"/>
    <n v="2"/>
    <s v="Financial Services"/>
    <n v="78584"/>
    <n v="89189349.849163532"/>
    <n v="133658646"/>
    <n v="1593981917"/>
    <n v="0.66729203473424037"/>
  </r>
  <r>
    <x v="30"/>
    <n v="2020"/>
    <n v="2"/>
    <s v="Others"/>
    <n v="138405"/>
    <n v="65529451.743669368"/>
    <n v="133658646"/>
    <n v="1593981917"/>
    <n v="0.49027469381718386"/>
  </r>
  <r>
    <x v="30"/>
    <n v="2020"/>
    <n v="3"/>
    <s v="Peer-to-peer payments"/>
    <n v="31754077"/>
    <n v="123561080533.04672"/>
    <n v="150077961"/>
    <n v="2141516124"/>
    <n v="823.31262838150315"/>
  </r>
  <r>
    <x v="30"/>
    <n v="2020"/>
    <n v="3"/>
    <s v="Merchant payments"/>
    <n v="20664887"/>
    <n v="12554589575.504852"/>
    <n v="150077961"/>
    <n v="2141516124"/>
    <n v="83.653785618161834"/>
  </r>
  <r>
    <x v="30"/>
    <n v="2020"/>
    <n v="3"/>
    <s v="Recharge &amp; bill payments"/>
    <n v="17521756"/>
    <n v="7476952307.4066677"/>
    <n v="150077961"/>
    <n v="2141516124"/>
    <n v="49.820455032745734"/>
  </r>
  <r>
    <x v="30"/>
    <n v="2020"/>
    <n v="3"/>
    <s v="Financial Services"/>
    <n v="129671"/>
    <n v="158512062.54590106"/>
    <n v="150077961"/>
    <n v="2141516124"/>
    <n v="1.056198135220541"/>
  </r>
  <r>
    <x v="30"/>
    <n v="2020"/>
    <n v="3"/>
    <s v="Others"/>
    <n v="207434"/>
    <n v="90281020.159951538"/>
    <n v="150077961"/>
    <n v="2141516124"/>
    <n v="0.60156081251631299"/>
  </r>
  <r>
    <x v="30"/>
    <n v="2020"/>
    <n v="4"/>
    <s v="Peer-to-peer payments"/>
    <n v="47800741"/>
    <n v="172196381789.491"/>
    <n v="168933446"/>
    <n v="3170569072"/>
    <n v="1019.3149187845904"/>
  </r>
  <r>
    <x v="30"/>
    <n v="2020"/>
    <n v="4"/>
    <s v="Merchant payments"/>
    <n v="41297305"/>
    <n v="24417758781.652229"/>
    <n v="168933446"/>
    <n v="3170569072"/>
    <n v="144.54070144080427"/>
  </r>
  <r>
    <x v="30"/>
    <n v="2020"/>
    <n v="4"/>
    <s v="Recharge &amp; bill payments"/>
    <n v="21563946"/>
    <n v="9462546013.1633911"/>
    <n v="168933446"/>
    <n v="3170569072"/>
    <n v="56.013455222853807"/>
  </r>
  <r>
    <x v="30"/>
    <n v="2020"/>
    <n v="4"/>
    <s v="Financial Services"/>
    <n v="153044"/>
    <n v="186775413.14290395"/>
    <n v="168933446"/>
    <n v="3170569072"/>
    <n v="1.1056153625310168"/>
  </r>
  <r>
    <x v="30"/>
    <n v="2020"/>
    <n v="4"/>
    <s v="Others"/>
    <n v="364665"/>
    <n v="209735503.54521424"/>
    <n v="168933446"/>
    <n v="3170569072"/>
    <n v="1.2415274092331854"/>
  </r>
  <r>
    <x v="30"/>
    <n v="2021"/>
    <n v="1"/>
    <s v="Peer-to-peer payments"/>
    <n v="57446279"/>
    <n v="206405230307.96109"/>
    <n v="182958688"/>
    <n v="3836818854"/>
    <n v="1128.1521121749686"/>
  </r>
  <r>
    <x v="30"/>
    <n v="2021"/>
    <n v="1"/>
    <s v="Merchant payments"/>
    <n v="53811885"/>
    <n v="30722779534.582508"/>
    <n v="182958688"/>
    <n v="3836818854"/>
    <n v="167.92194932324017"/>
  </r>
  <r>
    <x v="30"/>
    <n v="2021"/>
    <n v="1"/>
    <s v="Recharge &amp; bill payments"/>
    <n v="24826273"/>
    <n v="11115915388.739548"/>
    <n v="182958688"/>
    <n v="3836818854"/>
    <n v="60.756422721721464"/>
  </r>
  <r>
    <x v="30"/>
    <n v="2021"/>
    <n v="1"/>
    <s v="Financial Services"/>
    <n v="170620"/>
    <n v="215319360.48403209"/>
    <n v="182958688"/>
    <n v="3836818854"/>
    <n v="1.1768742049791705"/>
  </r>
  <r>
    <x v="30"/>
    <n v="2021"/>
    <n v="1"/>
    <s v="Others"/>
    <n v="301617"/>
    <n v="208899281.88347316"/>
    <n v="182958688"/>
    <n v="3836818854"/>
    <n v="1.1417838866633825"/>
  </r>
  <r>
    <x v="30"/>
    <n v="2021"/>
    <n v="2"/>
    <s v="Peer-to-peer payments"/>
    <n v="60812902"/>
    <n v="216379027686.30246"/>
    <n v="195849962"/>
    <n v="3783653214"/>
    <n v="1104.8203710465998"/>
  </r>
  <r>
    <x v="30"/>
    <n v="2021"/>
    <n v="2"/>
    <s v="Merchant payments"/>
    <n v="52048347"/>
    <n v="33504798112.88382"/>
    <n v="195849962"/>
    <n v="3783653214"/>
    <n v="171.07380451206734"/>
  </r>
  <r>
    <x v="30"/>
    <n v="2021"/>
    <n v="2"/>
    <s v="Recharge &amp; bill payments"/>
    <n v="32753032"/>
    <n v="13155346942.255478"/>
    <n v="195849962"/>
    <n v="3783653214"/>
    <n v="67.170536097706659"/>
  </r>
  <r>
    <x v="30"/>
    <n v="2021"/>
    <n v="2"/>
    <s v="Financial Services"/>
    <n v="192614"/>
    <n v="225113402.6634022"/>
    <n v="195849962"/>
    <n v="3783653214"/>
    <n v="1.1494176479002953"/>
  </r>
  <r>
    <x v="30"/>
    <n v="2021"/>
    <n v="2"/>
    <s v="Others"/>
    <n v="351547"/>
    <n v="223054882.44675264"/>
    <n v="195849962"/>
    <n v="3783653214"/>
    <n v="1.1389069477927836"/>
  </r>
  <r>
    <x v="30"/>
    <n v="2021"/>
    <n v="3"/>
    <s v="Merchant payments"/>
    <n v="85074941"/>
    <n v="52932187058.575195"/>
    <n v="210401840"/>
    <n v="5058094074"/>
    <n v="251.57663572987383"/>
  </r>
  <r>
    <x v="30"/>
    <n v="2021"/>
    <n v="3"/>
    <s v="Peer-to-peer payments"/>
    <n v="83833356"/>
    <n v="296121079294.83459"/>
    <n v="210401840"/>
    <n v="5058094074"/>
    <n v="1407.4072702730859"/>
  </r>
  <r>
    <x v="30"/>
    <n v="2021"/>
    <n v="3"/>
    <s v="Recharge &amp; bill payments"/>
    <n v="34751691"/>
    <n v="15613287081.611631"/>
    <n v="210401840"/>
    <n v="5058094074"/>
    <n v="74.20698926212637"/>
  </r>
  <r>
    <x v="30"/>
    <n v="2021"/>
    <n v="3"/>
    <s v="Financial Services"/>
    <n v="182097"/>
    <n v="246146707.27908111"/>
    <n v="210401840"/>
    <n v="5058094074"/>
    <n v="1.1698885678902862"/>
  </r>
  <r>
    <x v="30"/>
    <n v="2021"/>
    <n v="3"/>
    <s v="Others"/>
    <n v="515319"/>
    <n v="294622911.63286841"/>
    <n v="210401840"/>
    <n v="5058094074"/>
    <n v="1.400286763808094"/>
  </r>
  <r>
    <x v="30"/>
    <n v="2021"/>
    <n v="4"/>
    <s v="Merchant payments"/>
    <n v="117578360"/>
    <n v="70539086832.138153"/>
    <n v="224764562"/>
    <n v="7544475840"/>
    <n v="313.83544720959236"/>
  </r>
  <r>
    <x v="30"/>
    <n v="2021"/>
    <n v="4"/>
    <s v="Peer-to-peer payments"/>
    <n v="104493071"/>
    <n v="353529424598.23047"/>
    <n v="224764562"/>
    <n v="7544475840"/>
    <n v="1572.8877428561468"/>
  </r>
  <r>
    <x v="30"/>
    <n v="2021"/>
    <n v="4"/>
    <s v="Recharge &amp; bill payments"/>
    <n v="36163870"/>
    <n v="18979178477.53405"/>
    <n v="224764562"/>
    <n v="7544475840"/>
    <n v="84.440261884051139"/>
  </r>
  <r>
    <x v="30"/>
    <n v="2021"/>
    <n v="4"/>
    <s v="Financial Services"/>
    <n v="228761"/>
    <n v="275850497.09493399"/>
    <n v="224764562"/>
    <n v="7544475840"/>
    <n v="1.2272864309229228"/>
  </r>
  <r>
    <x v="30"/>
    <n v="2021"/>
    <n v="4"/>
    <s v="Others"/>
    <n v="691914"/>
    <n v="400412189.80491126"/>
    <n v="224764562"/>
    <n v="7544475840"/>
    <n v="1.781473850868498"/>
  </r>
  <r>
    <x v="31"/>
    <n v="2018"/>
    <n v="1"/>
    <s v="Recharge &amp; bill payments"/>
    <n v="4209319"/>
    <n v="831912767.59371889"/>
    <n v="36471160"/>
    <n v="0"/>
    <n v="22.810153765159072"/>
  </r>
  <r>
    <x v="31"/>
    <n v="2018"/>
    <n v="1"/>
    <s v="Peer-to-peer payments"/>
    <n v="3307245"/>
    <n v="11748268950.760422"/>
    <n v="36471160"/>
    <n v="0"/>
    <n v="322.12490501427487"/>
  </r>
  <r>
    <x v="31"/>
    <n v="2018"/>
    <n v="1"/>
    <s v="Merchant payments"/>
    <n v="351474"/>
    <n v="282899066.61373723"/>
    <n v="36471160"/>
    <n v="0"/>
    <n v="7.7567882845990423"/>
  </r>
  <r>
    <x v="31"/>
    <n v="2018"/>
    <n v="1"/>
    <s v="Financial Services"/>
    <n v="262876"/>
    <n v="57011875.362337038"/>
    <n v="36471160"/>
    <n v="0"/>
    <n v="1.5632043335703345"/>
  </r>
  <r>
    <x v="31"/>
    <n v="2018"/>
    <n v="1"/>
    <s v="Others"/>
    <n v="391852"/>
    <n v="388111458.2121352"/>
    <n v="36471160"/>
    <n v="0"/>
    <n v="10.641598956878125"/>
  </r>
  <r>
    <x v="31"/>
    <n v="2018"/>
    <n v="2"/>
    <s v="Peer-to-peer payments"/>
    <n v="4784079"/>
    <n v="20748520742.575531"/>
    <n v="46861265"/>
    <n v="0"/>
    <n v="442.76484517811309"/>
  </r>
  <r>
    <x v="31"/>
    <n v="2018"/>
    <n v="2"/>
    <s v="Recharge &amp; bill payments"/>
    <n v="4686542"/>
    <n v="1274130053.834579"/>
    <n v="46861265"/>
    <n v="0"/>
    <n v="27.189408007542667"/>
  </r>
  <r>
    <x v="31"/>
    <n v="2018"/>
    <n v="2"/>
    <s v="Merchant payments"/>
    <n v="701082"/>
    <n v="551696487.31854284"/>
    <n v="46861265"/>
    <n v="0"/>
    <n v="11.772974701356073"/>
  </r>
  <r>
    <x v="31"/>
    <n v="2018"/>
    <n v="2"/>
    <s v="Financial Services"/>
    <n v="277805"/>
    <n v="85498213.25384143"/>
    <n v="46861265"/>
    <n v="0"/>
    <n v="1.8244964845452087"/>
  </r>
  <r>
    <x v="31"/>
    <n v="2018"/>
    <n v="2"/>
    <s v="Others"/>
    <n v="315162"/>
    <n v="357356020.66981602"/>
    <n v="46861265"/>
    <n v="0"/>
    <n v="7.6258295773666376"/>
  </r>
  <r>
    <x v="31"/>
    <n v="2018"/>
    <n v="3"/>
    <s v="Peer-to-peer payments"/>
    <n v="11560952"/>
    <n v="29253505738.828743"/>
    <n v="56523511"/>
    <n v="0"/>
    <n v="517.54580034543051"/>
  </r>
  <r>
    <x v="31"/>
    <n v="2018"/>
    <n v="3"/>
    <s v="Recharge &amp; bill payments"/>
    <n v="5328881"/>
    <n v="1568136060.6278369"/>
    <n v="56523511"/>
    <n v="0"/>
    <n v="27.743075985280477"/>
  </r>
  <r>
    <x v="31"/>
    <n v="2018"/>
    <n v="3"/>
    <s v="Merchant payments"/>
    <n v="1770075"/>
    <n v="855534175.47941864"/>
    <n v="56523511"/>
    <n v="0"/>
    <n v="15.135899386706864"/>
  </r>
  <r>
    <x v="31"/>
    <n v="2018"/>
    <n v="3"/>
    <s v="Financial Services"/>
    <n v="307312"/>
    <n v="52554123.973762177"/>
    <n v="56523511"/>
    <n v="0"/>
    <n v="0.92977458484067232"/>
  </r>
  <r>
    <x v="31"/>
    <n v="2018"/>
    <n v="3"/>
    <s v="Others"/>
    <n v="365483"/>
    <n v="300363110.81379545"/>
    <n v="56523511"/>
    <n v="0"/>
    <n v="5.3139499917794462"/>
  </r>
  <r>
    <x v="31"/>
    <n v="2018"/>
    <n v="4"/>
    <s v="Peer-to-peer payments"/>
    <n v="15571288"/>
    <n v="44541667501.741119"/>
    <n v="71826469"/>
    <n v="0"/>
    <n v="620.12887619104765"/>
  </r>
  <r>
    <x v="31"/>
    <n v="2018"/>
    <n v="4"/>
    <s v="Recharge &amp; bill payments"/>
    <n v="7121135"/>
    <n v="2165870863.1686502"/>
    <n v="71826469"/>
    <n v="0"/>
    <n v="30.154216033766748"/>
  </r>
  <r>
    <x v="31"/>
    <n v="2018"/>
    <n v="4"/>
    <s v="Merchant payments"/>
    <n v="5315161"/>
    <n v="2356841304.9649296"/>
    <n v="71826469"/>
    <n v="0"/>
    <n v="32.812991335616537"/>
  </r>
  <r>
    <x v="31"/>
    <n v="2018"/>
    <n v="4"/>
    <s v="Financial Services"/>
    <n v="392423"/>
    <n v="64569231.235592492"/>
    <n v="71826469"/>
    <n v="0"/>
    <n v="0.89896151285945147"/>
  </r>
  <r>
    <x v="31"/>
    <n v="2018"/>
    <n v="4"/>
    <s v="Others"/>
    <n v="521147"/>
    <n v="380139546.93821603"/>
    <n v="71826469"/>
    <n v="0"/>
    <n v="5.2924715948129935"/>
  </r>
  <r>
    <x v="31"/>
    <n v="2019"/>
    <n v="1"/>
    <s v="Peer-to-peer payments"/>
    <n v="40488967"/>
    <n v="87361237975.493011"/>
    <n v="87597675"/>
    <n v="0"/>
    <n v="997.30087557110403"/>
  </r>
  <r>
    <x v="31"/>
    <n v="2019"/>
    <n v="1"/>
    <s v="Merchant payments"/>
    <n v="12341901"/>
    <n v="4144368545.5359688"/>
    <n v="87597675"/>
    <n v="0"/>
    <n v="47.311398910256109"/>
  </r>
  <r>
    <x v="31"/>
    <n v="2019"/>
    <n v="1"/>
    <s v="Recharge &amp; bill payments"/>
    <n v="11525394"/>
    <n v="3619117615.4851718"/>
    <n v="87597675"/>
    <n v="0"/>
    <n v="41.315224581990009"/>
  </r>
  <r>
    <x v="31"/>
    <n v="2019"/>
    <n v="1"/>
    <s v="Financial Services"/>
    <n v="463688"/>
    <n v="54547989.275453925"/>
    <n v="87597675"/>
    <n v="0"/>
    <n v="0.62271046891888315"/>
  </r>
  <r>
    <x v="31"/>
    <n v="2019"/>
    <n v="1"/>
    <s v="Others"/>
    <n v="470752"/>
    <n v="343989909.87508941"/>
    <n v="87597675"/>
    <n v="0"/>
    <n v="3.9269296802122819"/>
  </r>
  <r>
    <x v="31"/>
    <n v="2019"/>
    <n v="2"/>
    <s v="Peer-to-peer payments"/>
    <n v="46741594"/>
    <n v="141095702899.16147"/>
    <n v="99506077"/>
    <n v="889265322"/>
    <n v="1417.9606628363158"/>
  </r>
  <r>
    <x v="31"/>
    <n v="2019"/>
    <n v="2"/>
    <s v="Merchant payments"/>
    <n v="25682382"/>
    <n v="8442740781.4698439"/>
    <n v="99506077"/>
    <n v="889265322"/>
    <n v="84.846484114430964"/>
  </r>
  <r>
    <x v="31"/>
    <n v="2019"/>
    <n v="2"/>
    <s v="Recharge &amp; bill payments"/>
    <n v="16225017"/>
    <n v="5603477828.5489645"/>
    <n v="99506077"/>
    <n v="889265322"/>
    <n v="56.312920753060787"/>
  </r>
  <r>
    <x v="31"/>
    <n v="2019"/>
    <n v="2"/>
    <s v="Financial Services"/>
    <n v="252173"/>
    <n v="43627344.86329399"/>
    <n v="99506077"/>
    <n v="889265322"/>
    <n v="0.4384389996933955"/>
  </r>
  <r>
    <x v="31"/>
    <n v="2019"/>
    <n v="2"/>
    <s v="Others"/>
    <n v="709213"/>
    <n v="490894328.39153659"/>
    <n v="99506077"/>
    <n v="889265322"/>
    <n v="4.9333100368486704"/>
  </r>
  <r>
    <x v="31"/>
    <n v="2019"/>
    <n v="3"/>
    <s v="Peer-to-peer payments"/>
    <n v="59981113"/>
    <n v="180342868388.36203"/>
    <n v="110996127"/>
    <n v="3499369621"/>
    <n v="1624.7672172233724"/>
  </r>
  <r>
    <x v="31"/>
    <n v="2019"/>
    <n v="3"/>
    <s v="Merchant payments"/>
    <n v="44035953"/>
    <n v="14308557740.554239"/>
    <n v="110996127"/>
    <n v="3499369621"/>
    <n v="128.9104235191399"/>
  </r>
  <r>
    <x v="31"/>
    <n v="2019"/>
    <n v="3"/>
    <s v="Recharge &amp; bill payments"/>
    <n v="16437222"/>
    <n v="6793699069.3873644"/>
    <n v="110996127"/>
    <n v="3499369621"/>
    <n v="61.206631735784477"/>
  </r>
  <r>
    <x v="31"/>
    <n v="2019"/>
    <n v="3"/>
    <s v="Financial Services"/>
    <n v="183163"/>
    <n v="39617186.740484983"/>
    <n v="110996127"/>
    <n v="3499369621"/>
    <n v="0.35692404601184852"/>
  </r>
  <r>
    <x v="31"/>
    <n v="2019"/>
    <n v="3"/>
    <s v="Others"/>
    <n v="857925"/>
    <n v="445278745.38184118"/>
    <n v="110996127"/>
    <n v="3499369621"/>
    <n v="4.0116602030793489"/>
  </r>
  <r>
    <x v="31"/>
    <n v="2019"/>
    <n v="4"/>
    <s v="Peer-to-peer payments"/>
    <n v="82587060"/>
    <n v="249346680995.99316"/>
    <n v="123427601"/>
    <n v="4391629484"/>
    <n v="2020.185752423343"/>
  </r>
  <r>
    <x v="31"/>
    <n v="2019"/>
    <n v="4"/>
    <s v="Merchant payments"/>
    <n v="59347809"/>
    <n v="21510626607.08445"/>
    <n v="123427601"/>
    <n v="4391629484"/>
    <n v="174.27728022587468"/>
  </r>
  <r>
    <x v="31"/>
    <n v="2019"/>
    <n v="4"/>
    <s v="Recharge &amp; bill payments"/>
    <n v="20797056"/>
    <n v="9561315124.6026554"/>
    <n v="123427601"/>
    <n v="4391629484"/>
    <n v="77.464967698777969"/>
  </r>
  <r>
    <x v="31"/>
    <n v="2019"/>
    <n v="4"/>
    <s v="Financial Services"/>
    <n v="137291"/>
    <n v="33453857.404595934"/>
    <n v="123427601"/>
    <n v="4391629484"/>
    <n v="0.27104032755684793"/>
  </r>
  <r>
    <x v="31"/>
    <n v="2019"/>
    <n v="4"/>
    <s v="Others"/>
    <n v="703042"/>
    <n v="294688962.65904599"/>
    <n v="123427601"/>
    <n v="4391629484"/>
    <n v="2.3875450893600858"/>
  </r>
  <r>
    <x v="31"/>
    <n v="2020"/>
    <n v="1"/>
    <s v="Peer-to-peer payments"/>
    <n v="95668911"/>
    <n v="327641798044.80554"/>
    <n v="135375460"/>
    <n v="5001961976"/>
    <n v="2420.2451319079955"/>
  </r>
  <r>
    <x v="31"/>
    <n v="2020"/>
    <n v="1"/>
    <s v="Merchant payments"/>
    <n v="76818285"/>
    <n v="31076431477.912689"/>
    <n v="135375460"/>
    <n v="5001961976"/>
    <n v="229.55734723200712"/>
  </r>
  <r>
    <x v="31"/>
    <n v="2020"/>
    <n v="1"/>
    <s v="Recharge &amp; bill payments"/>
    <n v="26324268"/>
    <n v="12324266104.564993"/>
    <n v="135375460"/>
    <n v="5001961976"/>
    <n v="91.037667421887193"/>
  </r>
  <r>
    <x v="31"/>
    <n v="2020"/>
    <n v="1"/>
    <s v="Financial Services"/>
    <n v="88184"/>
    <n v="59500639.386845887"/>
    <n v="135375460"/>
    <n v="5001961976"/>
    <n v="0.43952308185579486"/>
  </r>
  <r>
    <x v="31"/>
    <n v="2020"/>
    <n v="1"/>
    <s v="Others"/>
    <n v="509877"/>
    <n v="241784101.54604858"/>
    <n v="135375460"/>
    <n v="5001961976"/>
    <n v="1.7860260755239434"/>
  </r>
  <r>
    <x v="31"/>
    <n v="2020"/>
    <n v="2"/>
    <s v="Peer-to-peer payments"/>
    <n v="76683293"/>
    <n v="279478553909.74377"/>
    <n v="147160101"/>
    <n v="4038435555"/>
    <n v="1899.1462496328661"/>
  </r>
  <r>
    <x v="31"/>
    <n v="2020"/>
    <n v="2"/>
    <s v="Merchant payments"/>
    <n v="44181999"/>
    <n v="26712043204.891262"/>
    <n v="147160101"/>
    <n v="4038435555"/>
    <n v="181.51688551023258"/>
  </r>
  <r>
    <x v="31"/>
    <n v="2020"/>
    <n v="2"/>
    <s v="Recharge &amp; bill payments"/>
    <n v="30885875"/>
    <n v="15106945863.857046"/>
    <n v="147160101"/>
    <n v="4038435555"/>
    <n v="102.65653367455249"/>
  </r>
  <r>
    <x v="31"/>
    <n v="2020"/>
    <n v="2"/>
    <s v="Financial Services"/>
    <n v="116776"/>
    <n v="134169906.74750492"/>
    <n v="147160101"/>
    <n v="4038435555"/>
    <n v="0.9117274712084148"/>
  </r>
  <r>
    <x v="31"/>
    <n v="2020"/>
    <n v="2"/>
    <s v="Others"/>
    <n v="187200"/>
    <n v="100126467.191328"/>
    <n v="147160101"/>
    <n v="4038435555"/>
    <n v="0.68039140032479317"/>
  </r>
  <r>
    <x v="31"/>
    <n v="2020"/>
    <n v="3"/>
    <s v="Peer-to-peer payments"/>
    <n v="116668399"/>
    <n v="437459188905.05341"/>
    <n v="160499702"/>
    <n v="5805601175"/>
    <n v="2725.6074837139163"/>
  </r>
  <r>
    <x v="31"/>
    <n v="2020"/>
    <n v="3"/>
    <s v="Merchant payments"/>
    <n v="86836471"/>
    <n v="49743225885.179474"/>
    <n v="160499702"/>
    <n v="5805601175"/>
    <n v="309.92721647034256"/>
  </r>
  <r>
    <x v="31"/>
    <n v="2020"/>
    <n v="3"/>
    <s v="Recharge &amp; bill payments"/>
    <n v="32352860"/>
    <n v="18378477087.576897"/>
    <n v="160499702"/>
    <n v="5805601175"/>
    <n v="114.5078580119538"/>
  </r>
  <r>
    <x v="31"/>
    <n v="2020"/>
    <n v="3"/>
    <s v="Financial Services"/>
    <n v="195857"/>
    <n v="223377023.50525153"/>
    <n v="160499702"/>
    <n v="5805601175"/>
    <n v="1.3917597398732338"/>
  </r>
  <r>
    <x v="31"/>
    <n v="2020"/>
    <n v="3"/>
    <s v="Others"/>
    <n v="318539"/>
    <n v="156875854.55487928"/>
    <n v="160499702"/>
    <n v="5805601175"/>
    <n v="0.9774214693238451"/>
  </r>
  <r>
    <x v="31"/>
    <n v="2020"/>
    <n v="4"/>
    <s v="Peer-to-peer payments"/>
    <n v="160607487"/>
    <n v="591976601278.51538"/>
    <n v="175205767"/>
    <n v="8410756585"/>
    <n v="3378.7506622342826"/>
  </r>
  <r>
    <x v="31"/>
    <n v="2020"/>
    <n v="4"/>
    <s v="Merchant payments"/>
    <n v="143897953"/>
    <n v="81725950703.212723"/>
    <n v="175205767"/>
    <n v="8410756585"/>
    <n v="466.45696715686717"/>
  </r>
  <r>
    <x v="31"/>
    <n v="2020"/>
    <n v="4"/>
    <s v="Recharge &amp; bill payments"/>
    <n v="38174710"/>
    <n v="22006183348.803982"/>
    <n v="175205767"/>
    <n v="8410756585"/>
    <n v="125.6019349454632"/>
  </r>
  <r>
    <x v="31"/>
    <n v="2020"/>
    <n v="4"/>
    <s v="Financial Services"/>
    <n v="230134"/>
    <n v="275357720.01805824"/>
    <n v="175205767"/>
    <n v="8410756585"/>
    <n v="1.5716247514732677"/>
  </r>
  <r>
    <x v="31"/>
    <n v="2020"/>
    <n v="4"/>
    <s v="Others"/>
    <n v="733503"/>
    <n v="366346176.40682477"/>
    <n v="175205767"/>
    <n v="8410756585"/>
    <n v="2.0909481615797771"/>
  </r>
  <r>
    <x v="31"/>
    <n v="2021"/>
    <n v="1"/>
    <s v="Merchant payments"/>
    <n v="185230619"/>
    <n v="95927278280.53006"/>
    <n v="188639759"/>
    <n v="10120440462"/>
    <n v="508.52099678801039"/>
  </r>
  <r>
    <x v="31"/>
    <n v="2021"/>
    <n v="1"/>
    <s v="Peer-to-peer payments"/>
    <n v="179738195"/>
    <n v="676276353116.84192"/>
    <n v="188639759"/>
    <n v="10120440462"/>
    <n v="3585.0149337650601"/>
  </r>
  <r>
    <x v="31"/>
    <n v="2021"/>
    <n v="1"/>
    <s v="Recharge &amp; bill payments"/>
    <n v="46371555"/>
    <n v="26447601338.533459"/>
    <n v="188639759"/>
    <n v="10120440462"/>
    <n v="140.20162811241431"/>
  </r>
  <r>
    <x v="31"/>
    <n v="2021"/>
    <n v="1"/>
    <s v="Financial Services"/>
    <n v="262473"/>
    <n v="320153410.17969453"/>
    <n v="188639759"/>
    <n v="10120440462"/>
    <n v="1.6971682527419605"/>
  </r>
  <r>
    <x v="31"/>
    <n v="2021"/>
    <n v="1"/>
    <s v="Others"/>
    <n v="969268"/>
    <n v="387877900.50448668"/>
    <n v="188639759"/>
    <n v="10120440462"/>
    <n v="2.0561831851390706"/>
  </r>
  <r>
    <x v="31"/>
    <n v="2021"/>
    <n v="2"/>
    <s v="Peer-to-peer payments"/>
    <n v="230861833"/>
    <n v="872151973637.88501"/>
    <n v="201375680"/>
    <n v="9958494612"/>
    <n v="4330.9697260259281"/>
  </r>
  <r>
    <x v="31"/>
    <n v="2021"/>
    <n v="2"/>
    <s v="Merchant payments"/>
    <n v="205232899"/>
    <n v="123207789311.2962"/>
    <n v="201375680"/>
    <n v="9958494612"/>
    <n v="611.8305314290991"/>
  </r>
  <r>
    <x v="31"/>
    <n v="2021"/>
    <n v="2"/>
    <s v="Recharge &amp; bill payments"/>
    <n v="58637866"/>
    <n v="31877277168.343227"/>
    <n v="201375680"/>
    <n v="9958494612"/>
    <n v="158.29755196031232"/>
  </r>
  <r>
    <x v="31"/>
    <n v="2021"/>
    <n v="2"/>
    <s v="Financial Services"/>
    <n v="278546"/>
    <n v="300569264.14438879"/>
    <n v="201375680"/>
    <n v="9958494612"/>
    <n v="1.4925797601000717"/>
  </r>
  <r>
    <x v="31"/>
    <n v="2021"/>
    <n v="2"/>
    <s v="Others"/>
    <n v="856400"/>
    <n v="420723415.91505665"/>
    <n v="201375680"/>
    <n v="9958494612"/>
    <n v="2.0892464070887637"/>
  </r>
  <r>
    <x v="31"/>
    <n v="2021"/>
    <n v="3"/>
    <s v="Merchant payments"/>
    <n v="286735350"/>
    <n v="159227310549.39368"/>
    <n v="215768058"/>
    <n v="12182821167"/>
    <n v="737.95589590649081"/>
  </r>
  <r>
    <x v="31"/>
    <n v="2021"/>
    <n v="3"/>
    <s v="Peer-to-peer payments"/>
    <n v="271436926"/>
    <n v="981754679241.04053"/>
    <n v="215768058"/>
    <n v="12182821167"/>
    <n v="4550.046417162639"/>
  </r>
  <r>
    <x v="31"/>
    <n v="2021"/>
    <n v="3"/>
    <s v="Recharge &amp; bill payments"/>
    <n v="62744121"/>
    <n v="36434881136.016243"/>
    <n v="215768058"/>
    <n v="12182821167"/>
    <n v="168.86132949306261"/>
  </r>
  <r>
    <x v="31"/>
    <n v="2021"/>
    <n v="3"/>
    <s v="Financial Services"/>
    <n v="235519"/>
    <n v="329138539.46121418"/>
    <n v="215768058"/>
    <n v="12182821167"/>
    <n v="1.5254275471173504"/>
  </r>
  <r>
    <x v="31"/>
    <n v="2021"/>
    <n v="3"/>
    <s v="Others"/>
    <n v="1734852"/>
    <n v="543116826.34221911"/>
    <n v="215768058"/>
    <n v="12182821167"/>
    <n v="2.5171326626215409"/>
  </r>
  <r>
    <x v="31"/>
    <n v="2021"/>
    <n v="4"/>
    <s v="Merchant payments"/>
    <n v="376584215"/>
    <n v="212974766412.01556"/>
    <n v="230094139"/>
    <n v="15483593312"/>
    <n v="925.59839784539474"/>
  </r>
  <r>
    <x v="31"/>
    <n v="2021"/>
    <n v="4"/>
    <s v="Peer-to-peer payments"/>
    <n v="331774591"/>
    <n v="1204991223519.0161"/>
    <n v="230094139"/>
    <n v="15483593312"/>
    <n v="5236.9487930286487"/>
  </r>
  <r>
    <x v="31"/>
    <n v="2021"/>
    <n v="4"/>
    <s v="Recharge &amp; bill payments"/>
    <n v="66477036"/>
    <n v="44760398983.307892"/>
    <n v="230094139"/>
    <n v="15483593312"/>
    <n v="194.53080890212459"/>
  </r>
  <r>
    <x v="31"/>
    <n v="2021"/>
    <n v="4"/>
    <s v="Financial Services"/>
    <n v="298871"/>
    <n v="392141743.67056632"/>
    <n v="230094139"/>
    <n v="15483593312"/>
    <n v="1.7042665466179749"/>
  </r>
  <r>
    <x v="31"/>
    <n v="2021"/>
    <n v="4"/>
    <s v="Others"/>
    <n v="855060"/>
    <n v="639658842.8998816"/>
    <n v="230094139"/>
    <n v="15483593312"/>
    <n v="2.7799875550062647"/>
  </r>
  <r>
    <x v="32"/>
    <n v="2018"/>
    <n v="1"/>
    <s v="Recharge &amp; bill payments"/>
    <n v="86819"/>
    <n v="14079439.569905948"/>
    <n v="606727"/>
    <n v="0"/>
    <n v="23.205559617267646"/>
  </r>
  <r>
    <x v="32"/>
    <n v="2018"/>
    <n v="1"/>
    <s v="Peer-to-peer payments"/>
    <n v="44844"/>
    <n v="112229994.97675678"/>
    <n v="606727"/>
    <n v="0"/>
    <n v="184.97610123953078"/>
  </r>
  <r>
    <x v="32"/>
    <n v="2018"/>
    <n v="1"/>
    <s v="Financial Services"/>
    <n v="4842"/>
    <n v="672247.58817101549"/>
    <n v="606727"/>
    <n v="0"/>
    <n v="1.1079902298249715"/>
  </r>
  <r>
    <x v="32"/>
    <n v="2018"/>
    <n v="1"/>
    <s v="Merchant payments"/>
    <n v="4833"/>
    <n v="6080959.8828360857"/>
    <n v="606727"/>
    <n v="0"/>
    <n v="10.022563496986431"/>
  </r>
  <r>
    <x v="32"/>
    <n v="2018"/>
    <n v="1"/>
    <s v="Others"/>
    <n v="6819"/>
    <n v="4916272.512952799"/>
    <n v="606727"/>
    <n v="0"/>
    <n v="8.1029400586306508"/>
  </r>
  <r>
    <x v="32"/>
    <n v="2018"/>
    <n v="2"/>
    <s v="Recharge &amp; bill payments"/>
    <n v="118171"/>
    <n v="22554398.152730349"/>
    <n v="917059"/>
    <n v="0"/>
    <n v="24.594271636536309"/>
  </r>
  <r>
    <x v="32"/>
    <n v="2018"/>
    <n v="2"/>
    <s v="Peer-to-peer payments"/>
    <n v="73821"/>
    <n v="197666881.87296879"/>
    <n v="917059"/>
    <n v="0"/>
    <n v="215.54434542703228"/>
  </r>
  <r>
    <x v="32"/>
    <n v="2018"/>
    <n v="2"/>
    <s v="Merchant payments"/>
    <n v="9621"/>
    <n v="10570951.151568789"/>
    <n v="917059"/>
    <n v="0"/>
    <n v="11.527013149174469"/>
  </r>
  <r>
    <x v="32"/>
    <n v="2018"/>
    <n v="2"/>
    <s v="Financial Services"/>
    <n v="6925"/>
    <n v="1264101.9048103681"/>
    <n v="917059"/>
    <n v="0"/>
    <n v="1.378430291628312"/>
  </r>
  <r>
    <x v="32"/>
    <n v="2018"/>
    <n v="2"/>
    <s v="Others"/>
    <n v="6021"/>
    <n v="4835385.6340576364"/>
    <n v="917059"/>
    <n v="0"/>
    <n v="5.2727094266101053"/>
  </r>
  <r>
    <x v="32"/>
    <n v="2018"/>
    <n v="3"/>
    <s v="Peer-to-peer payments"/>
    <n v="186065"/>
    <n v="398867427.32463384"/>
    <n v="1285614"/>
    <n v="0"/>
    <n v="310.25442109733859"/>
  </r>
  <r>
    <x v="32"/>
    <n v="2018"/>
    <n v="3"/>
    <s v="Recharge &amp; bill payments"/>
    <n v="156308"/>
    <n v="33484811.212822821"/>
    <n v="1285614"/>
    <n v="0"/>
    <n v="26.045773624760482"/>
  </r>
  <r>
    <x v="32"/>
    <n v="2018"/>
    <n v="3"/>
    <s v="Merchant payments"/>
    <n v="21476"/>
    <n v="16092396.411133939"/>
    <n v="1285614"/>
    <n v="0"/>
    <n v="12.517284667974943"/>
  </r>
  <r>
    <x v="32"/>
    <n v="2018"/>
    <n v="3"/>
    <s v="Financial Services"/>
    <n v="8106"/>
    <n v="1080000.0112896338"/>
    <n v="1285614"/>
    <n v="0"/>
    <n v="0.84006553389246996"/>
  </r>
  <r>
    <x v="32"/>
    <n v="2018"/>
    <n v="3"/>
    <s v="Others"/>
    <n v="5748"/>
    <n v="4338753.080712541"/>
    <n v="1285614"/>
    <n v="0"/>
    <n v="3.3748489676625653"/>
  </r>
  <r>
    <x v="32"/>
    <n v="2018"/>
    <n v="4"/>
    <s v="Recharge &amp; bill payments"/>
    <n v="204720"/>
    <n v="38334816.663799264"/>
    <n v="1685915"/>
    <n v="0"/>
    <n v="22.738285538594333"/>
  </r>
  <r>
    <x v="32"/>
    <n v="2018"/>
    <n v="4"/>
    <s v="Peer-to-peer payments"/>
    <n v="179739"/>
    <n v="549068822.37296832"/>
    <n v="1685915"/>
    <n v="0"/>
    <n v="325.68001493133897"/>
  </r>
  <r>
    <x v="32"/>
    <n v="2018"/>
    <n v="4"/>
    <s v="Merchant payments"/>
    <n v="50888"/>
    <n v="31066467.633390322"/>
    <n v="1685915"/>
    <n v="0"/>
    <n v="18.427066390292701"/>
  </r>
  <r>
    <x v="32"/>
    <n v="2018"/>
    <n v="4"/>
    <s v="Financial Services"/>
    <n v="6441"/>
    <n v="1023126.8205747404"/>
    <n v="1685915"/>
    <n v="0"/>
    <n v="0.60686738096211279"/>
  </r>
  <r>
    <x v="32"/>
    <n v="2018"/>
    <n v="4"/>
    <s v="Others"/>
    <n v="6271"/>
    <n v="5392365.9737139884"/>
    <n v="1685915"/>
    <n v="0"/>
    <n v="3.1984803348413107"/>
  </r>
  <r>
    <x v="32"/>
    <n v="2019"/>
    <n v="1"/>
    <s v="Peer-to-peer payments"/>
    <n v="296993"/>
    <n v="679165332.81238985"/>
    <n v="2015794"/>
    <n v="0"/>
    <n v="336.92199342412459"/>
  </r>
  <r>
    <x v="32"/>
    <n v="2019"/>
    <n v="1"/>
    <s v="Recharge &amp; bill payments"/>
    <n v="227997"/>
    <n v="44429378.422779262"/>
    <n v="2015794"/>
    <n v="0"/>
    <n v="22.040634322147632"/>
  </r>
  <r>
    <x v="32"/>
    <n v="2019"/>
    <n v="1"/>
    <s v="Merchant payments"/>
    <n v="46642"/>
    <n v="28109966.31994779"/>
    <n v="2015794"/>
    <n v="0"/>
    <n v="13.94486059584848"/>
  </r>
  <r>
    <x v="32"/>
    <n v="2019"/>
    <n v="1"/>
    <s v="Financial Services"/>
    <n v="4189"/>
    <n v="461473.58856435167"/>
    <n v="2015794"/>
    <n v="0"/>
    <n v="0.22892894242385464"/>
  </r>
  <r>
    <x v="32"/>
    <n v="2019"/>
    <n v="1"/>
    <s v="Others"/>
    <n v="5105"/>
    <n v="4728790.4721388388"/>
    <n v="2015794"/>
    <n v="0"/>
    <n v="2.3458699014576085"/>
  </r>
  <r>
    <x v="32"/>
    <n v="2019"/>
    <n v="2"/>
    <s v="Peer-to-peer payments"/>
    <n v="240776"/>
    <n v="751113516.22567546"/>
    <n v="2394084"/>
    <n v="10489897"/>
    <n v="313.73732760658169"/>
  </r>
  <r>
    <x v="32"/>
    <n v="2019"/>
    <n v="2"/>
    <s v="Recharge &amp; bill payments"/>
    <n v="218649"/>
    <n v="48989430.60730426"/>
    <n v="2394084"/>
    <n v="10489897"/>
    <n v="20.462703316719153"/>
  </r>
  <r>
    <x v="32"/>
    <n v="2019"/>
    <n v="2"/>
    <s v="Merchant payments"/>
    <n v="64829"/>
    <n v="35275706.828775018"/>
    <n v="2394084"/>
    <n v="10489897"/>
    <n v="14.734531799542129"/>
  </r>
  <r>
    <x v="32"/>
    <n v="2019"/>
    <n v="2"/>
    <s v="Financial Services"/>
    <n v="1899"/>
    <n v="339184.33447052969"/>
    <n v="2394084"/>
    <n v="10489897"/>
    <n v="0.14167603746173055"/>
  </r>
  <r>
    <x v="32"/>
    <n v="2019"/>
    <n v="2"/>
    <s v="Others"/>
    <n v="6405"/>
    <n v="6103644.8511518892"/>
    <n v="2394084"/>
    <n v="10489897"/>
    <n v="2.5494697976979461"/>
  </r>
  <r>
    <x v="32"/>
    <n v="2019"/>
    <n v="3"/>
    <s v="Recharge &amp; bill payments"/>
    <n v="339539"/>
    <n v="81845425.354251415"/>
    <n v="2700016"/>
    <n v="36860901"/>
    <n v="30.312940869332408"/>
  </r>
  <r>
    <x v="32"/>
    <n v="2019"/>
    <n v="3"/>
    <s v="Peer-to-peer payments"/>
    <n v="270163"/>
    <n v="884623553.90113842"/>
    <n v="2700016"/>
    <n v="36860901"/>
    <n v="327.63641174761131"/>
  </r>
  <r>
    <x v="32"/>
    <n v="2019"/>
    <n v="3"/>
    <s v="Merchant payments"/>
    <n v="68399"/>
    <n v="44802063.644304268"/>
    <n v="2700016"/>
    <n v="36860901"/>
    <n v="16.593258574876693"/>
  </r>
  <r>
    <x v="32"/>
    <n v="2019"/>
    <n v="3"/>
    <s v="Financial Services"/>
    <n v="27970"/>
    <n v="582020.99032085936"/>
    <n v="2700016"/>
    <n v="36860901"/>
    <n v="0.21556205234371181"/>
  </r>
  <r>
    <x v="32"/>
    <n v="2019"/>
    <n v="3"/>
    <s v="Others"/>
    <n v="5646"/>
    <n v="5524358.9272096958"/>
    <n v="2700016"/>
    <n v="36860901"/>
    <n v="2.0460467372081115"/>
  </r>
  <r>
    <x v="32"/>
    <n v="2019"/>
    <n v="4"/>
    <s v="Recharge &amp; bill payments"/>
    <n v="373779"/>
    <n v="88001651.28693296"/>
    <n v="2995278"/>
    <n v="39718877"/>
    <n v="29.380128083915068"/>
  </r>
  <r>
    <x v="32"/>
    <n v="2019"/>
    <n v="4"/>
    <s v="Peer-to-peer payments"/>
    <n v="359076"/>
    <n v="1071507585.9983547"/>
    <n v="2995278"/>
    <n v="39718877"/>
    <n v="357.73226591934196"/>
  </r>
  <r>
    <x v="32"/>
    <n v="2019"/>
    <n v="4"/>
    <s v="Merchant payments"/>
    <n v="62458"/>
    <n v="51274033.720727704"/>
    <n v="2995278"/>
    <n v="39718877"/>
    <n v="17.118288760084273"/>
  </r>
  <r>
    <x v="32"/>
    <n v="2019"/>
    <n v="4"/>
    <s v="Financial Services"/>
    <n v="2239"/>
    <n v="377097.66713108413"/>
    <n v="2995278"/>
    <n v="39718877"/>
    <n v="0.12589738486079893"/>
  </r>
  <r>
    <x v="32"/>
    <n v="2019"/>
    <n v="4"/>
    <s v="Others"/>
    <n v="4272"/>
    <n v="4239791.585043055"/>
    <n v="2995278"/>
    <n v="39718877"/>
    <n v="1.4154918458463805"/>
  </r>
  <r>
    <x v="32"/>
    <n v="2020"/>
    <n v="1"/>
    <s v="Recharge &amp; bill payments"/>
    <n v="449584"/>
    <n v="114355218.03514045"/>
    <n v="3299582"/>
    <n v="44695453"/>
    <n v="34.657486322552508"/>
  </r>
  <r>
    <x v="32"/>
    <n v="2020"/>
    <n v="1"/>
    <s v="Peer-to-peer payments"/>
    <n v="366218"/>
    <n v="1400694933.5701571"/>
    <n v="3299582"/>
    <n v="44695453"/>
    <n v="424.50678103170554"/>
  </r>
  <r>
    <x v="32"/>
    <n v="2020"/>
    <n v="1"/>
    <s v="Merchant payments"/>
    <n v="102861"/>
    <n v="68590603.637709796"/>
    <n v="3299582"/>
    <n v="44695453"/>
    <n v="20.787664509537812"/>
  </r>
  <r>
    <x v="32"/>
    <n v="2020"/>
    <n v="1"/>
    <s v="Financial Services"/>
    <n v="1722"/>
    <n v="1066651.5217219109"/>
    <n v="3299582"/>
    <n v="44695453"/>
    <n v="0.32326868122141256"/>
  </r>
  <r>
    <x v="32"/>
    <n v="2020"/>
    <n v="1"/>
    <s v="Others"/>
    <n v="4117"/>
    <n v="4071399.6237732675"/>
    <n v="3299582"/>
    <n v="44695453"/>
    <n v="1.2339137574920906"/>
  </r>
  <r>
    <x v="32"/>
    <n v="2020"/>
    <n v="2"/>
    <s v="Recharge &amp; bill payments"/>
    <n v="600206"/>
    <n v="163220166.76643574"/>
    <n v="3703326"/>
    <n v="48875431"/>
    <n v="44.073939687306961"/>
  </r>
  <r>
    <x v="32"/>
    <n v="2020"/>
    <n v="2"/>
    <s v="Peer-to-peer payments"/>
    <n v="346863"/>
    <n v="1501452755.6890237"/>
    <n v="3703326"/>
    <n v="48875431"/>
    <n v="405.43359015356026"/>
  </r>
  <r>
    <x v="32"/>
    <n v="2020"/>
    <n v="2"/>
    <s v="Merchant payments"/>
    <n v="97816"/>
    <n v="99795973.607940376"/>
    <n v="3703326"/>
    <n v="48875431"/>
    <n v="26.947660996612335"/>
  </r>
  <r>
    <x v="32"/>
    <n v="2020"/>
    <n v="2"/>
    <s v="Financial Services"/>
    <n v="2904"/>
    <n v="2247782.5219734698"/>
    <n v="3703326"/>
    <n v="48875431"/>
    <n v="0.60696317903783514"/>
  </r>
  <r>
    <x v="32"/>
    <n v="2020"/>
    <n v="2"/>
    <s v="Others"/>
    <n v="4731"/>
    <n v="2459205.0005889931"/>
    <n v="3703326"/>
    <n v="48875431"/>
    <n v="0.66405307029113647"/>
  </r>
  <r>
    <x v="32"/>
    <n v="2020"/>
    <n v="3"/>
    <s v="Recharge &amp; bill payments"/>
    <n v="627363"/>
    <n v="185201997.27960989"/>
    <n v="4144041"/>
    <n v="63556988"/>
    <n v="44.691159493742916"/>
  </r>
  <r>
    <x v="32"/>
    <n v="2020"/>
    <n v="3"/>
    <s v="Peer-to-peer payments"/>
    <n v="477769"/>
    <n v="1959371082.9173033"/>
    <n v="4144041"/>
    <n v="63556988"/>
    <n v="472.81652930492322"/>
  </r>
  <r>
    <x v="32"/>
    <n v="2020"/>
    <n v="3"/>
    <s v="Merchant payments"/>
    <n v="202106"/>
    <n v="190218136.28088409"/>
    <n v="4144041"/>
    <n v="63556988"/>
    <n v="45.901605771005663"/>
  </r>
  <r>
    <x v="32"/>
    <n v="2020"/>
    <n v="3"/>
    <s v="Financial Services"/>
    <n v="3828"/>
    <n v="3141391.5755430083"/>
    <n v="4144041"/>
    <n v="63556988"/>
    <n v="0.75805031261587619"/>
  </r>
  <r>
    <x v="32"/>
    <n v="2020"/>
    <n v="3"/>
    <s v="Others"/>
    <n v="6819"/>
    <n v="3886908.1625436572"/>
    <n v="4144041"/>
    <n v="63556988"/>
    <n v="0.93795118401185151"/>
  </r>
  <r>
    <x v="32"/>
    <n v="2020"/>
    <n v="4"/>
    <s v="Peer-to-peer payments"/>
    <n v="650386"/>
    <n v="2683789889.8319201"/>
    <n v="4500210"/>
    <n v="66189739"/>
    <n v="596.36992269958955"/>
  </r>
  <r>
    <x v="32"/>
    <n v="2020"/>
    <n v="4"/>
    <s v="Recharge &amp; bill payments"/>
    <n v="631611"/>
    <n v="192385823.43220186"/>
    <n v="4500210"/>
    <n v="66189739"/>
    <n v="42.750410188013859"/>
  </r>
  <r>
    <x v="32"/>
    <n v="2020"/>
    <n v="4"/>
    <s v="Merchant payments"/>
    <n v="357567"/>
    <n v="296872485.41565031"/>
    <n v="4500210"/>
    <n v="66189739"/>
    <n v="65.968584891738459"/>
  </r>
  <r>
    <x v="32"/>
    <n v="2020"/>
    <n v="4"/>
    <s v="Financial Services"/>
    <n v="4084"/>
    <n v="3666639.308697606"/>
    <n v="4500210"/>
    <n v="66189739"/>
    <n v="0.81477071263287848"/>
  </r>
  <r>
    <x v="32"/>
    <n v="2020"/>
    <n v="4"/>
    <s v="Others"/>
    <n v="8242"/>
    <n v="5416158.2328389548"/>
    <n v="4500210"/>
    <n v="66189739"/>
    <n v="1.2035345534628283"/>
  </r>
  <r>
    <x v="32"/>
    <n v="2021"/>
    <n v="1"/>
    <s v="Peer-to-peer payments"/>
    <n v="643366"/>
    <n v="2821226150.5919185"/>
    <n v="4835996"/>
    <n v="66106260"/>
    <n v="583.3805798416538"/>
  </r>
  <r>
    <x v="32"/>
    <n v="2021"/>
    <n v="1"/>
    <s v="Recharge &amp; bill payments"/>
    <n v="508718"/>
    <n v="173211140.89346513"/>
    <n v="4835996"/>
    <n v="66106260"/>
    <n v="35.817056278265149"/>
  </r>
  <r>
    <x v="32"/>
    <n v="2021"/>
    <n v="1"/>
    <s v="Merchant payments"/>
    <n v="350366"/>
    <n v="333743281.32103896"/>
    <n v="4835996"/>
    <n v="66106260"/>
    <n v="69.012315419830571"/>
  </r>
  <r>
    <x v="32"/>
    <n v="2021"/>
    <n v="1"/>
    <s v="Financial Services"/>
    <n v="3146"/>
    <n v="2879929.222833151"/>
    <n v="4835996"/>
    <n v="66106260"/>
    <n v="0.59551935585413041"/>
  </r>
  <r>
    <x v="32"/>
    <n v="2021"/>
    <n v="1"/>
    <s v="Others"/>
    <n v="5827"/>
    <n v="4281067.7641659509"/>
    <n v="4835996"/>
    <n v="66106260"/>
    <n v="0.88525047666829149"/>
  </r>
  <r>
    <x v="32"/>
    <n v="2021"/>
    <n v="2"/>
    <s v="Peer-to-peer payments"/>
    <n v="703728"/>
    <n v="2865655130.4313264"/>
    <n v="5193683"/>
    <n v="104509691"/>
    <n v="551.757804708398"/>
  </r>
  <r>
    <x v="32"/>
    <n v="2021"/>
    <n v="2"/>
    <s v="Recharge &amp; bill payments"/>
    <n v="589839"/>
    <n v="189808502.9050523"/>
    <n v="5193683"/>
    <n v="104509691"/>
    <n v="36.546031574328332"/>
  </r>
  <r>
    <x v="32"/>
    <n v="2021"/>
    <n v="2"/>
    <s v="Merchant payments"/>
    <n v="440060"/>
    <n v="404915546.51771069"/>
    <n v="5193683"/>
    <n v="104509691"/>
    <n v="77.963084485077488"/>
  </r>
  <r>
    <x v="32"/>
    <n v="2021"/>
    <n v="2"/>
    <s v="Financial Services"/>
    <n v="3656"/>
    <n v="3503925.3381061675"/>
    <n v="5193683"/>
    <n v="104509691"/>
    <n v="0.6746513674604645"/>
  </r>
  <r>
    <x v="32"/>
    <n v="2021"/>
    <n v="2"/>
    <s v="Others"/>
    <n v="7146"/>
    <n v="4271255.8440778516"/>
    <n v="5193683"/>
    <n v="104509691"/>
    <n v="0.82239440568048761"/>
  </r>
  <r>
    <x v="32"/>
    <n v="2021"/>
    <n v="3"/>
    <s v="Peer-to-peer payments"/>
    <n v="864329"/>
    <n v="3491901741.1594186"/>
    <n v="5609219"/>
    <n v="135070606"/>
    <n v="622.52904391135712"/>
  </r>
  <r>
    <x v="32"/>
    <n v="2021"/>
    <n v="3"/>
    <s v="Recharge &amp; bill payments"/>
    <n v="620991"/>
    <n v="215226019.57596284"/>
    <n v="5609219"/>
    <n v="135070606"/>
    <n v="38.370051084823544"/>
  </r>
  <r>
    <x v="32"/>
    <n v="2021"/>
    <n v="3"/>
    <s v="Merchant payments"/>
    <n v="584079"/>
    <n v="648504775.62362897"/>
    <n v="5609219"/>
    <n v="135070606"/>
    <n v="115.61409451540918"/>
  </r>
  <r>
    <x v="32"/>
    <n v="2021"/>
    <n v="3"/>
    <s v="Financial Services"/>
    <n v="2886"/>
    <n v="3473153.087671739"/>
    <n v="5609219"/>
    <n v="135070606"/>
    <n v="0.61918657261763876"/>
  </r>
  <r>
    <x v="32"/>
    <n v="2021"/>
    <n v="3"/>
    <s v="Others"/>
    <n v="8915"/>
    <n v="5028078.7347928518"/>
    <n v="5609219"/>
    <n v="135070606"/>
    <n v="0.89639551153072328"/>
  </r>
  <r>
    <x v="32"/>
    <n v="2021"/>
    <n v="4"/>
    <s v="Peer-to-peer payments"/>
    <n v="1060915"/>
    <n v="4368786747.1030159"/>
    <n v="6009212"/>
    <n v="118015722"/>
    <n v="727.01491428543636"/>
  </r>
  <r>
    <x v="32"/>
    <n v="2021"/>
    <n v="4"/>
    <s v="Merchant payments"/>
    <n v="793636"/>
    <n v="874005407.71402133"/>
    <n v="6009212"/>
    <n v="118015722"/>
    <n v="145.44426252793568"/>
  </r>
  <r>
    <x v="32"/>
    <n v="2021"/>
    <n v="4"/>
    <s v="Recharge &amp; bill payments"/>
    <n v="650251"/>
    <n v="241225282.07451886"/>
    <n v="6009212"/>
    <n v="118015722"/>
    <n v="40.142581435722164"/>
  </r>
  <r>
    <x v="32"/>
    <n v="2021"/>
    <n v="4"/>
    <s v="Financial Services"/>
    <n v="3635"/>
    <n v="5073898.6076811645"/>
    <n v="6009212"/>
    <n v="118015722"/>
    <n v="0.84435340402055448"/>
  </r>
  <r>
    <x v="32"/>
    <n v="2021"/>
    <n v="4"/>
    <s v="Others"/>
    <n v="12256"/>
    <n v="7838128.8002102282"/>
    <n v="6009212"/>
    <n v="118015722"/>
    <n v="1.3043521846475425"/>
  </r>
  <r>
    <x v="33"/>
    <n v="2018"/>
    <n v="1"/>
    <s v="Recharge &amp; bill payments"/>
    <n v="7003704"/>
    <n v="1201827543.8816488"/>
    <n v="51636750"/>
    <n v="0"/>
    <n v="23.274655044743305"/>
  </r>
  <r>
    <x v="33"/>
    <n v="2018"/>
    <n v="1"/>
    <s v="Peer-to-peer payments"/>
    <n v="4123625"/>
    <n v="11786969148.760597"/>
    <n v="51636750"/>
    <n v="0"/>
    <n v="228.2670607418282"/>
  </r>
  <r>
    <x v="33"/>
    <n v="2018"/>
    <n v="1"/>
    <s v="Merchant payments"/>
    <n v="442436"/>
    <n v="428301434.27548659"/>
    <n v="51636750"/>
    <n v="0"/>
    <n v="8.2945079672033302"/>
  </r>
  <r>
    <x v="33"/>
    <n v="2018"/>
    <n v="1"/>
    <s v="Financial Services"/>
    <n v="397328"/>
    <n v="75150444.991081148"/>
    <n v="51636750"/>
    <n v="0"/>
    <n v="1.4553674464616992"/>
  </r>
  <r>
    <x v="33"/>
    <n v="2018"/>
    <n v="1"/>
    <s v="Others"/>
    <n v="570712"/>
    <n v="447722351.31385243"/>
    <n v="51636750"/>
    <n v="0"/>
    <n v="8.6706144618678067"/>
  </r>
  <r>
    <x v="33"/>
    <n v="2018"/>
    <n v="2"/>
    <s v="Recharge &amp; bill payments"/>
    <n v="9232131"/>
    <n v="2044535461.4826081"/>
    <n v="70868094"/>
    <n v="0"/>
    <n v="28.849872292072764"/>
  </r>
  <r>
    <x v="33"/>
    <n v="2018"/>
    <n v="2"/>
    <s v="Peer-to-peer payments"/>
    <n v="6484369"/>
    <n v="22197440015.945545"/>
    <n v="70868094"/>
    <n v="0"/>
    <n v="313.22191360114107"/>
  </r>
  <r>
    <x v="33"/>
    <n v="2018"/>
    <n v="2"/>
    <s v="Merchant payments"/>
    <n v="909545"/>
    <n v="799920463.26740801"/>
    <n v="70868094"/>
    <n v="0"/>
    <n v="11.287455582866501"/>
  </r>
  <r>
    <x v="33"/>
    <n v="2018"/>
    <n v="2"/>
    <s v="Financial Services"/>
    <n v="563213"/>
    <n v="105536911.84026654"/>
    <n v="70868094"/>
    <n v="0"/>
    <n v="1.4892020637702847"/>
  </r>
  <r>
    <x v="33"/>
    <n v="2018"/>
    <n v="2"/>
    <s v="Others"/>
    <n v="521685"/>
    <n v="572768843.16416359"/>
    <n v="70868094"/>
    <n v="0"/>
    <n v="8.0821821335305497"/>
  </r>
  <r>
    <x v="33"/>
    <n v="2018"/>
    <n v="3"/>
    <s v="Peer-to-peer payments"/>
    <n v="13828768"/>
    <n v="32944051606.982761"/>
    <n v="89061313"/>
    <n v="0"/>
    <n v="369.90305327053466"/>
  </r>
  <r>
    <x v="33"/>
    <n v="2018"/>
    <n v="3"/>
    <s v="Recharge &amp; bill payments"/>
    <n v="9140873"/>
    <n v="2485029062.8899517"/>
    <n v="89061313"/>
    <n v="0"/>
    <n v="27.902452582188538"/>
  </r>
  <r>
    <x v="33"/>
    <n v="2018"/>
    <n v="3"/>
    <s v="Merchant payments"/>
    <n v="2397448"/>
    <n v="1012726185.1169598"/>
    <n v="89061313"/>
    <n v="0"/>
    <n v="11.3711122259893"/>
  </r>
  <r>
    <x v="33"/>
    <n v="2018"/>
    <n v="3"/>
    <s v="Financial Services"/>
    <n v="603303"/>
    <n v="76605144.657766581"/>
    <n v="89061313"/>
    <n v="0"/>
    <n v="0.86013940371355835"/>
  </r>
  <r>
    <x v="33"/>
    <n v="2018"/>
    <n v="3"/>
    <s v="Others"/>
    <n v="544964"/>
    <n v="493702369.59362882"/>
    <n v="89061313"/>
    <n v="0"/>
    <n v="5.5433987324398508"/>
  </r>
  <r>
    <x v="33"/>
    <n v="2018"/>
    <n v="4"/>
    <s v="Peer-to-peer payments"/>
    <n v="15804910"/>
    <n v="48836291123.914734"/>
    <n v="113761604"/>
    <n v="0"/>
    <n v="429.28623900129548"/>
  </r>
  <r>
    <x v="33"/>
    <n v="2018"/>
    <n v="4"/>
    <s v="Recharge &amp; bill payments"/>
    <n v="11976808"/>
    <n v="3040717446.7287879"/>
    <n v="113761604"/>
    <n v="0"/>
    <n v="26.728855253559786"/>
  </r>
  <r>
    <x v="33"/>
    <n v="2018"/>
    <n v="4"/>
    <s v="Merchant payments"/>
    <n v="6953857"/>
    <n v="2480267671.2597928"/>
    <n v="113761604"/>
    <n v="0"/>
    <n v="21.802326831290046"/>
  </r>
  <r>
    <x v="33"/>
    <n v="2018"/>
    <n v="4"/>
    <s v="Financial Services"/>
    <n v="517619"/>
    <n v="76250539.858519018"/>
    <n v="113761604"/>
    <n v="0"/>
    <n v="0.67026604036383852"/>
  </r>
  <r>
    <x v="33"/>
    <n v="2018"/>
    <n v="4"/>
    <s v="Others"/>
    <n v="847573"/>
    <n v="663216794.15546632"/>
    <n v="113761604"/>
    <n v="0"/>
    <n v="5.829882586355466"/>
  </r>
  <r>
    <x v="33"/>
    <n v="2019"/>
    <n v="1"/>
    <s v="Peer-to-peer payments"/>
    <n v="32062452"/>
    <n v="68506766330.451492"/>
    <n v="137045271"/>
    <n v="0"/>
    <n v="499.88420490956958"/>
  </r>
  <r>
    <x v="33"/>
    <n v="2019"/>
    <n v="1"/>
    <s v="Recharge &amp; bill payments"/>
    <n v="15400713"/>
    <n v="4231102032.9564486"/>
    <n v="137045271"/>
    <n v="0"/>
    <n v="30.873754359290871"/>
  </r>
  <r>
    <x v="33"/>
    <n v="2019"/>
    <n v="1"/>
    <s v="Merchant payments"/>
    <n v="8558766"/>
    <n v="3105904146.2085333"/>
    <n v="137045271"/>
    <n v="0"/>
    <n v="22.663344189443308"/>
  </r>
  <r>
    <x v="33"/>
    <n v="2019"/>
    <n v="1"/>
    <s v="Financial Services"/>
    <n v="389733"/>
    <n v="43341558.485355489"/>
    <n v="137045271"/>
    <n v="0"/>
    <n v="0.31625723506618109"/>
  </r>
  <r>
    <x v="33"/>
    <n v="2019"/>
    <n v="1"/>
    <s v="Others"/>
    <n v="912840"/>
    <n v="637066065.90783691"/>
    <n v="137045271"/>
    <n v="0"/>
    <n v="4.648581167808679"/>
  </r>
  <r>
    <x v="33"/>
    <n v="2019"/>
    <n v="2"/>
    <s v="Peer-to-peer payments"/>
    <n v="27105049"/>
    <n v="87581482658.948608"/>
    <n v="157479839"/>
    <n v="862334440"/>
    <n v="556.14409574643139"/>
  </r>
  <r>
    <x v="33"/>
    <n v="2019"/>
    <n v="2"/>
    <s v="Recharge &amp; bill payments"/>
    <n v="17551537"/>
    <n v="5627886175.9093685"/>
    <n v="157479839"/>
    <n v="862334440"/>
    <n v="35.737185227306263"/>
  </r>
  <r>
    <x v="33"/>
    <n v="2019"/>
    <n v="2"/>
    <s v="Merchant payments"/>
    <n v="12733089"/>
    <n v="4894223107.4523211"/>
    <n v="157479839"/>
    <n v="862334440"/>
    <n v="31.078410662156703"/>
  </r>
  <r>
    <x v="33"/>
    <n v="2019"/>
    <n v="2"/>
    <s v="Financial Services"/>
    <n v="264091"/>
    <n v="38169259.945291094"/>
    <n v="157479839"/>
    <n v="862334440"/>
    <n v="0.24237553319629121"/>
  </r>
  <r>
    <x v="33"/>
    <n v="2019"/>
    <n v="2"/>
    <s v="Others"/>
    <n v="1229734"/>
    <n v="775758168.42010379"/>
    <n v="157479839"/>
    <n v="862334440"/>
    <n v="4.9260792578033037"/>
  </r>
  <r>
    <x v="33"/>
    <n v="2019"/>
    <n v="3"/>
    <s v="Peer-to-peer payments"/>
    <n v="26990786"/>
    <n v="95134023863.979645"/>
    <n v="176490677"/>
    <n v="2949568666"/>
    <n v="539.03144053314293"/>
  </r>
  <r>
    <x v="33"/>
    <n v="2019"/>
    <n v="3"/>
    <s v="Recharge &amp; bill payments"/>
    <n v="20359672"/>
    <n v="8000160942.595396"/>
    <n v="176490677"/>
    <n v="2949568666"/>
    <n v="45.329085244516321"/>
  </r>
  <r>
    <x v="33"/>
    <n v="2019"/>
    <n v="3"/>
    <s v="Merchant payments"/>
    <n v="19625935"/>
    <n v="7399443975.2421799"/>
    <n v="176490677"/>
    <n v="2949568666"/>
    <n v="41.925409891436814"/>
  </r>
  <r>
    <x v="33"/>
    <n v="2019"/>
    <n v="3"/>
    <s v="Financial Services"/>
    <n v="258548"/>
    <n v="51363215.145978652"/>
    <n v="176490677"/>
    <n v="2949568666"/>
    <n v="0.29102508993139992"/>
  </r>
  <r>
    <x v="33"/>
    <n v="2019"/>
    <n v="3"/>
    <s v="Others"/>
    <n v="1389018"/>
    <n v="683145478.08653164"/>
    <n v="176490677"/>
    <n v="2949568666"/>
    <n v="3.8707170809171503"/>
  </r>
  <r>
    <x v="33"/>
    <n v="2019"/>
    <n v="4"/>
    <s v="Peer-to-peer payments"/>
    <n v="40540310"/>
    <n v="126564888408.1326"/>
    <n v="197444962"/>
    <n v="3564754875"/>
    <n v="641.01351144190039"/>
  </r>
  <r>
    <x v="33"/>
    <n v="2019"/>
    <n v="4"/>
    <s v="Recharge &amp; bill payments"/>
    <n v="24299776"/>
    <n v="9082140369.7749767"/>
    <n v="197444962"/>
    <n v="3564754875"/>
    <n v="45.998339374063022"/>
  </r>
  <r>
    <x v="33"/>
    <n v="2019"/>
    <n v="4"/>
    <s v="Merchant payments"/>
    <n v="20582052"/>
    <n v="9412924984.9687004"/>
    <n v="197444962"/>
    <n v="3564754875"/>
    <n v="47.673665053903477"/>
  </r>
  <r>
    <x v="33"/>
    <n v="2019"/>
    <n v="4"/>
    <s v="Financial Services"/>
    <n v="242936"/>
    <n v="45686806.830938108"/>
    <n v="197444962"/>
    <n v="3564754875"/>
    <n v="0.23139008647350601"/>
  </r>
  <r>
    <x v="33"/>
    <n v="2019"/>
    <n v="4"/>
    <s v="Others"/>
    <n v="1239931"/>
    <n v="433285937.58885401"/>
    <n v="197444962"/>
    <n v="3564754875"/>
    <n v="2.1944643874420762"/>
  </r>
  <r>
    <x v="33"/>
    <n v="2020"/>
    <n v="1"/>
    <s v="Peer-to-peer payments"/>
    <n v="39581157"/>
    <n v="147734706846.56177"/>
    <n v="221498816"/>
    <n v="4117102913"/>
    <n v="666.97741105109003"/>
  </r>
  <r>
    <x v="33"/>
    <n v="2020"/>
    <n v="1"/>
    <s v="Recharge &amp; bill payments"/>
    <n v="29777603"/>
    <n v="11168417430.652225"/>
    <n v="221498816"/>
    <n v="4117102913"/>
    <n v="50.422018647053292"/>
  </r>
  <r>
    <x v="33"/>
    <n v="2020"/>
    <n v="1"/>
    <s v="Merchant payments"/>
    <n v="26741638"/>
    <n v="13072371616.871723"/>
    <n v="221498816"/>
    <n v="4117102913"/>
    <n v="59.017794555036012"/>
  </r>
  <r>
    <x v="33"/>
    <n v="2020"/>
    <n v="1"/>
    <s v="Financial Services"/>
    <n v="139990"/>
    <n v="64365117.409359045"/>
    <n v="221498816"/>
    <n v="4117102913"/>
    <n v="0.29058899082042516"/>
  </r>
  <r>
    <x v="33"/>
    <n v="2020"/>
    <n v="1"/>
    <s v="Others"/>
    <n v="998744"/>
    <n v="376573949.20358998"/>
    <n v="221498816"/>
    <n v="4117102913"/>
    <n v="1.7001172105750217"/>
  </r>
  <r>
    <x v="33"/>
    <n v="2020"/>
    <n v="2"/>
    <s v="Recharge &amp; bill payments"/>
    <n v="42229417"/>
    <n v="14668026056.368128"/>
    <n v="247483709"/>
    <n v="4220738874"/>
    <n v="59.268652937345983"/>
  </r>
  <r>
    <x v="33"/>
    <n v="2020"/>
    <n v="2"/>
    <s v="Peer-to-peer payments"/>
    <n v="39434202"/>
    <n v="150079524408.86929"/>
    <n v="247483709"/>
    <n v="4220738874"/>
    <n v="606.42183283615361"/>
  </r>
  <r>
    <x v="33"/>
    <n v="2020"/>
    <n v="2"/>
    <s v="Merchant payments"/>
    <n v="18625913"/>
    <n v="13655151082.574724"/>
    <n v="247483709"/>
    <n v="4220738874"/>
    <n v="55.175959410624174"/>
  </r>
  <r>
    <x v="33"/>
    <n v="2020"/>
    <n v="2"/>
    <s v="Financial Services"/>
    <n v="150360"/>
    <n v="131930242.90371712"/>
    <n v="247483709"/>
    <n v="4220738874"/>
    <n v="0.53308657542269622"/>
  </r>
  <r>
    <x v="33"/>
    <n v="2020"/>
    <n v="2"/>
    <s v="Others"/>
    <n v="412073"/>
    <n v="209384339.5723213"/>
    <n v="247483709"/>
    <n v="4220738874"/>
    <n v="0.84605302069527855"/>
  </r>
  <r>
    <x v="33"/>
    <n v="2020"/>
    <n v="3"/>
    <s v="Peer-to-peer payments"/>
    <n v="54449911"/>
    <n v="207530912756.73047"/>
    <n v="273219276"/>
    <n v="4958629588"/>
    <n v="759.57639517619714"/>
  </r>
  <r>
    <x v="33"/>
    <n v="2020"/>
    <n v="3"/>
    <s v="Recharge &amp; bill payments"/>
    <n v="37465163"/>
    <n v="16437365640.853413"/>
    <n v="273219276"/>
    <n v="4958629588"/>
    <n v="60.161808059448241"/>
  </r>
  <r>
    <x v="33"/>
    <n v="2020"/>
    <n v="3"/>
    <s v="Merchant payments"/>
    <n v="34697942"/>
    <n v="24224433240.836243"/>
    <n v="273219276"/>
    <n v="4958629588"/>
    <n v="88.662972816150216"/>
  </r>
  <r>
    <x v="33"/>
    <n v="2020"/>
    <n v="3"/>
    <s v="Financial Services"/>
    <n v="206210"/>
    <n v="194129227.54374278"/>
    <n v="273219276"/>
    <n v="4958629588"/>
    <n v="0.71052537136414484"/>
  </r>
  <r>
    <x v="33"/>
    <n v="2020"/>
    <n v="3"/>
    <s v="Others"/>
    <n v="586033"/>
    <n v="303114557.0989778"/>
    <n v="273219276"/>
    <n v="4958629588"/>
    <n v="1.1094186381599878"/>
  </r>
  <r>
    <x v="33"/>
    <n v="2020"/>
    <n v="4"/>
    <s v="Peer-to-peer payments"/>
    <n v="75433782"/>
    <n v="294401153346.76337"/>
    <n v="299740474"/>
    <n v="6074428778"/>
    <n v="982.18685457461231"/>
  </r>
  <r>
    <x v="33"/>
    <n v="2020"/>
    <n v="4"/>
    <s v="Merchant payments"/>
    <n v="61922138"/>
    <n v="44438824680.670944"/>
    <n v="299740474"/>
    <n v="6074428778"/>
    <n v="148.25767133694112"/>
  </r>
  <r>
    <x v="33"/>
    <n v="2020"/>
    <n v="4"/>
    <s v="Recharge &amp; bill payments"/>
    <n v="39570153"/>
    <n v="17793973968.761925"/>
    <n v="299740474"/>
    <n v="6074428778"/>
    <n v="59.364602088278289"/>
  </r>
  <r>
    <x v="33"/>
    <n v="2020"/>
    <n v="4"/>
    <s v="Financial Services"/>
    <n v="246868"/>
    <n v="255803306.13741985"/>
    <n v="299740474"/>
    <n v="6074428778"/>
    <n v="0.85341596589795166"/>
  </r>
  <r>
    <x v="33"/>
    <n v="2020"/>
    <n v="4"/>
    <s v="Others"/>
    <n v="994576"/>
    <n v="539071475.93423271"/>
    <n v="299740474"/>
    <n v="6074428778"/>
    <n v="1.7984607441910989"/>
  </r>
  <r>
    <x v="33"/>
    <n v="2021"/>
    <n v="1"/>
    <s v="Peer-to-peer payments"/>
    <n v="85539321"/>
    <n v="321609613378.67889"/>
    <n v="324302825"/>
    <n v="7036901564"/>
    <n v="991.6953803244819"/>
  </r>
  <r>
    <x v="33"/>
    <n v="2021"/>
    <n v="1"/>
    <s v="Merchant payments"/>
    <n v="78873969"/>
    <n v="55362244381.436859"/>
    <n v="324302825"/>
    <n v="7036901564"/>
    <n v="170.71156990826972"/>
  </r>
  <r>
    <x v="33"/>
    <n v="2021"/>
    <n v="1"/>
    <s v="Recharge &amp; bill payments"/>
    <n v="38981894"/>
    <n v="18563189222.328217"/>
    <n v="324302825"/>
    <n v="7036901564"/>
    <n v="57.24029453745343"/>
  </r>
  <r>
    <x v="33"/>
    <n v="2021"/>
    <n v="1"/>
    <s v="Financial Services"/>
    <n v="250656"/>
    <n v="266104783.7449573"/>
    <n v="324302825"/>
    <n v="7036901564"/>
    <n v="0.8205441434096582"/>
  </r>
  <r>
    <x v="33"/>
    <n v="2021"/>
    <n v="1"/>
    <s v="Others"/>
    <n v="853707"/>
    <n v="486435811.37712038"/>
    <n v="324302825"/>
    <n v="7036901564"/>
    <n v="1.4999431823547031"/>
  </r>
  <r>
    <x v="33"/>
    <n v="2021"/>
    <n v="2"/>
    <s v="Peer-to-peer payments"/>
    <n v="102927942"/>
    <n v="388761820128.4563"/>
    <n v="348170834"/>
    <n v="7409587504"/>
    <n v="1116.583533612285"/>
  </r>
  <r>
    <x v="33"/>
    <n v="2021"/>
    <n v="2"/>
    <s v="Merchant payments"/>
    <n v="84860582"/>
    <n v="70351401159.787872"/>
    <n v="348170834"/>
    <n v="7409587504"/>
    <n v="202.06000701307414"/>
  </r>
  <r>
    <x v="33"/>
    <n v="2021"/>
    <n v="2"/>
    <s v="Recharge &amp; bill payments"/>
    <n v="53030710"/>
    <n v="22266927128.754082"/>
    <n v="348170834"/>
    <n v="7409587504"/>
    <n v="63.954027604604242"/>
  </r>
  <r>
    <x v="33"/>
    <n v="2021"/>
    <n v="2"/>
    <s v="Financial Services"/>
    <n v="270944"/>
    <n v="266853066.82962543"/>
    <n v="348170834"/>
    <n v="7409587504"/>
    <n v="0.76644290897044365"/>
  </r>
  <r>
    <x v="33"/>
    <n v="2021"/>
    <n v="2"/>
    <s v="Others"/>
    <n v="858953"/>
    <n v="525487682.55840123"/>
    <n v="348170834"/>
    <n v="7409587504"/>
    <n v="1.5092811667228887"/>
  </r>
  <r>
    <x v="33"/>
    <n v="2021"/>
    <n v="3"/>
    <s v="Peer-to-peer payments"/>
    <n v="127945827"/>
    <n v="440726915882.17084"/>
    <n v="375670702"/>
    <n v="8842791276"/>
    <n v="1173.1735095013366"/>
  </r>
  <r>
    <x v="33"/>
    <n v="2021"/>
    <n v="3"/>
    <s v="Merchant payments"/>
    <n v="126699830"/>
    <n v="91089049637.023773"/>
    <n v="375670702"/>
    <n v="8842791276"/>
    <n v="242.4704645639994"/>
  </r>
  <r>
    <x v="33"/>
    <n v="2021"/>
    <n v="3"/>
    <s v="Recharge &amp; bill payments"/>
    <n v="50414232"/>
    <n v="24348150109.635994"/>
    <n v="375670702"/>
    <n v="8842791276"/>
    <n v="64.812480664611414"/>
  </r>
  <r>
    <x v="33"/>
    <n v="2021"/>
    <n v="3"/>
    <s v="Financial Services"/>
    <n v="253418"/>
    <n v="292009129.02967483"/>
    <n v="375670702"/>
    <n v="8842791276"/>
    <n v="0.77730077824827237"/>
  </r>
  <r>
    <x v="33"/>
    <n v="2021"/>
    <n v="3"/>
    <s v="Others"/>
    <n v="1230077"/>
    <n v="624716522.07454085"/>
    <n v="375670702"/>
    <n v="8842791276"/>
    <n v="1.6629364993028943"/>
  </r>
  <r>
    <x v="33"/>
    <n v="2021"/>
    <n v="4"/>
    <s v="Merchant payments"/>
    <n v="183966052"/>
    <n v="142889329646.05463"/>
    <n v="402794205"/>
    <n v="12935161734"/>
    <n v="354.7452467595819"/>
  </r>
  <r>
    <x v="33"/>
    <n v="2021"/>
    <n v="4"/>
    <s v="Peer-to-peer payments"/>
    <n v="167503176"/>
    <n v="600973581946.67725"/>
    <n v="402794205"/>
    <n v="12935161734"/>
    <n v="1492.0114899534794"/>
  </r>
  <r>
    <x v="33"/>
    <n v="2021"/>
    <n v="4"/>
    <s v="Recharge &amp; bill payments"/>
    <n v="52863531"/>
    <n v="28812549097.656891"/>
    <n v="402794205"/>
    <n v="12935161734"/>
    <n v="71.531687248720203"/>
  </r>
  <r>
    <x v="33"/>
    <n v="2021"/>
    <n v="4"/>
    <s v="Financial Services"/>
    <n v="353219"/>
    <n v="386356976.48969895"/>
    <n v="402794205"/>
    <n v="12935161734"/>
    <n v="0.95919199356331097"/>
  </r>
  <r>
    <x v="33"/>
    <n v="2021"/>
    <n v="4"/>
    <s v="Others"/>
    <n v="1471954"/>
    <n v="829152405.34489954"/>
    <n v="402794205"/>
    <n v="12935161734"/>
    <n v="2.0585013266139205"/>
  </r>
  <r>
    <x v="34"/>
    <n v="2018"/>
    <n v="1"/>
    <s v="Recharge &amp; bill payments"/>
    <n v="730428"/>
    <n v="124377517.33491451"/>
    <n v="5313473"/>
    <n v="0"/>
    <n v="23.407951322028833"/>
  </r>
  <r>
    <x v="34"/>
    <n v="2018"/>
    <n v="1"/>
    <s v="Peer-to-peer payments"/>
    <n v="399545"/>
    <n v="1296603346.3345981"/>
    <n v="5313473"/>
    <n v="0"/>
    <n v="244.02181893736883"/>
  </r>
  <r>
    <x v="34"/>
    <n v="2018"/>
    <n v="1"/>
    <s v="Merchant payments"/>
    <n v="35382"/>
    <n v="39372913.104244113"/>
    <n v="5313473"/>
    <n v="0"/>
    <n v="7.4100147124572029"/>
  </r>
  <r>
    <x v="34"/>
    <n v="2018"/>
    <n v="1"/>
    <s v="Financial Services"/>
    <n v="27761"/>
    <n v="5637758.5563494945"/>
    <n v="5313473"/>
    <n v="0"/>
    <n v="1.061030809105362"/>
  </r>
  <r>
    <x v="34"/>
    <n v="2018"/>
    <n v="1"/>
    <s v="Others"/>
    <n v="53569"/>
    <n v="42553823.193780273"/>
    <n v="5313473"/>
    <n v="0"/>
    <n v="8.0086646142325879"/>
  </r>
  <r>
    <x v="34"/>
    <n v="2018"/>
    <n v="2"/>
    <s v="Recharge &amp; bill payments"/>
    <n v="946332"/>
    <n v="193802092.8234874"/>
    <n v="7140562"/>
    <n v="0"/>
    <n v="27.14101394588933"/>
  </r>
  <r>
    <x v="34"/>
    <n v="2018"/>
    <n v="2"/>
    <s v="Peer-to-peer payments"/>
    <n v="620490"/>
    <n v="2358941864.7682114"/>
    <n v="7140562"/>
    <n v="0"/>
    <n v="330.35801170387026"/>
  </r>
  <r>
    <x v="34"/>
    <n v="2018"/>
    <n v="2"/>
    <s v="Merchant payments"/>
    <n v="60494"/>
    <n v="66946005.758901328"/>
    <n v="7140562"/>
    <n v="0"/>
    <n v="9.375453326909188"/>
  </r>
  <r>
    <x v="34"/>
    <n v="2018"/>
    <n v="2"/>
    <s v="Financial Services"/>
    <n v="29919"/>
    <n v="7913276.7785011362"/>
    <n v="7140562"/>
    <n v="0"/>
    <n v="1.108214840582735"/>
  </r>
  <r>
    <x v="34"/>
    <n v="2018"/>
    <n v="2"/>
    <s v="Others"/>
    <n v="46887"/>
    <n v="52152138.421940193"/>
    <n v="7140562"/>
    <n v="0"/>
    <n v="7.3036461866643263"/>
  </r>
  <r>
    <x v="34"/>
    <n v="2018"/>
    <n v="3"/>
    <s v="Peer-to-peer payments"/>
    <n v="1049725"/>
    <n v="3356030294.9306479"/>
    <n v="8916732"/>
    <n v="0"/>
    <n v="376.37447160357044"/>
  </r>
  <r>
    <x v="34"/>
    <n v="2018"/>
    <n v="3"/>
    <s v="Recharge &amp; bill payments"/>
    <n v="1004356"/>
    <n v="239244556.76646537"/>
    <n v="8916732"/>
    <n v="0"/>
    <n v="26.830968651571602"/>
  </r>
  <r>
    <x v="34"/>
    <n v="2018"/>
    <n v="3"/>
    <s v="Merchant payments"/>
    <n v="112342"/>
    <n v="84447374.865835235"/>
    <n v="8916732"/>
    <n v="0"/>
    <n v="9.4706642372828114"/>
  </r>
  <r>
    <x v="34"/>
    <n v="2018"/>
    <n v="3"/>
    <s v="Financial Services"/>
    <n v="22792"/>
    <n v="4334709.9096458489"/>
    <n v="8916732"/>
    <n v="0"/>
    <n v="0.48613212886131923"/>
  </r>
  <r>
    <x v="34"/>
    <n v="2018"/>
    <n v="3"/>
    <s v="Others"/>
    <n v="39917"/>
    <n v="42516103.385902733"/>
    <n v="8916732"/>
    <n v="0"/>
    <n v="4.7681261908401789"/>
  </r>
  <r>
    <x v="34"/>
    <n v="2018"/>
    <n v="4"/>
    <s v="Peer-to-peer payments"/>
    <n v="1556731"/>
    <n v="5072621132.3435488"/>
    <n v="11133133"/>
    <n v="0"/>
    <n v="455.63285126869039"/>
  </r>
  <r>
    <x v="34"/>
    <n v="2018"/>
    <n v="4"/>
    <s v="Recharge &amp; bill payments"/>
    <n v="1252124"/>
    <n v="292877734.33795583"/>
    <n v="11133133"/>
    <n v="0"/>
    <n v="26.306856689662816"/>
  </r>
  <r>
    <x v="34"/>
    <n v="2018"/>
    <n v="4"/>
    <s v="Merchant payments"/>
    <n v="289733"/>
    <n v="228453045.85460952"/>
    <n v="11133133"/>
    <n v="0"/>
    <n v="20.520103896594922"/>
  </r>
  <r>
    <x v="34"/>
    <n v="2018"/>
    <n v="4"/>
    <s v="Financial Services"/>
    <n v="29916"/>
    <n v="6035161.0988926934"/>
    <n v="11133133"/>
    <n v="0"/>
    <n v="0.54209009259951291"/>
  </r>
  <r>
    <x v="34"/>
    <n v="2018"/>
    <n v="4"/>
    <s v="Others"/>
    <n v="50257"/>
    <n v="54285064.328889735"/>
    <n v="11133133"/>
    <n v="0"/>
    <n v="4.8759917202902123"/>
  </r>
  <r>
    <x v="34"/>
    <n v="2019"/>
    <n v="1"/>
    <s v="Peer-to-peer payments"/>
    <n v="3499130"/>
    <n v="6512361464.4960709"/>
    <n v="13474505"/>
    <n v="0"/>
    <n v="483.3098851865854"/>
  </r>
  <r>
    <x v="34"/>
    <n v="2019"/>
    <n v="1"/>
    <s v="Recharge &amp; bill payments"/>
    <n v="1590269"/>
    <n v="394631055.69318432"/>
    <n v="13474505"/>
    <n v="0"/>
    <n v="29.287239545585113"/>
  </r>
  <r>
    <x v="34"/>
    <n v="2019"/>
    <n v="1"/>
    <s v="Merchant payments"/>
    <n v="372290"/>
    <n v="226281078.76994139"/>
    <n v="13474505"/>
    <n v="0"/>
    <n v="16.793275802706027"/>
  </r>
  <r>
    <x v="34"/>
    <n v="2019"/>
    <n v="1"/>
    <s v="Financial Services"/>
    <n v="28784"/>
    <n v="3951610.3049537898"/>
    <n v="13474505"/>
    <n v="0"/>
    <n v="0.2932657121692997"/>
  </r>
  <r>
    <x v="34"/>
    <n v="2019"/>
    <n v="1"/>
    <s v="Others"/>
    <n v="55528"/>
    <n v="46303966.009797812"/>
    <n v="13474505"/>
    <n v="0"/>
    <n v="3.4364131379815297"/>
  </r>
  <r>
    <x v="34"/>
    <n v="2019"/>
    <n v="2"/>
    <s v="Peer-to-peer payments"/>
    <n v="2383662"/>
    <n v="7752954670.5802088"/>
    <n v="15557729"/>
    <n v="81997069"/>
    <n v="498.33460080068295"/>
  </r>
  <r>
    <x v="34"/>
    <n v="2019"/>
    <n v="2"/>
    <s v="Recharge &amp; bill payments"/>
    <n v="1616176"/>
    <n v="454962951.91365969"/>
    <n v="15557729"/>
    <n v="81997069"/>
    <n v="29.243532389184804"/>
  </r>
  <r>
    <x v="34"/>
    <n v="2019"/>
    <n v="2"/>
    <s v="Merchant payments"/>
    <n v="721858"/>
    <n v="323876953.41043639"/>
    <n v="15557729"/>
    <n v="81997069"/>
    <n v="20.817752604537358"/>
  </r>
  <r>
    <x v="34"/>
    <n v="2019"/>
    <n v="2"/>
    <s v="Financial Services"/>
    <n v="21852"/>
    <n v="2550386.4774141517"/>
    <n v="15557729"/>
    <n v="81997069"/>
    <n v="0.16393051179990034"/>
  </r>
  <r>
    <x v="34"/>
    <n v="2019"/>
    <n v="2"/>
    <s v="Others"/>
    <n v="69727"/>
    <n v="54187888.536771461"/>
    <n v="15557729"/>
    <n v="81997069"/>
    <n v="3.4830204676255425"/>
  </r>
  <r>
    <x v="34"/>
    <n v="2019"/>
    <n v="3"/>
    <s v="Peer-to-peer payments"/>
    <n v="2313544"/>
    <n v="8512622076.4363308"/>
    <n v="17444449"/>
    <n v="271270868"/>
    <n v="487.98457758318023"/>
  </r>
  <r>
    <x v="34"/>
    <n v="2019"/>
    <n v="3"/>
    <s v="Recharge &amp; bill payments"/>
    <n v="2201606"/>
    <n v="683772296.97484934"/>
    <n v="17444449"/>
    <n v="271270868"/>
    <n v="39.19712780695162"/>
  </r>
  <r>
    <x v="34"/>
    <n v="2019"/>
    <n v="3"/>
    <s v="Merchant payments"/>
    <n v="1121052"/>
    <n v="480794827.11930072"/>
    <n v="17444449"/>
    <n v="271270868"/>
    <n v="27.561479707344194"/>
  </r>
  <r>
    <x v="34"/>
    <n v="2019"/>
    <n v="3"/>
    <s v="Financial Services"/>
    <n v="12119"/>
    <n v="4570326.1920042569"/>
    <n v="17444449"/>
    <n v="271270868"/>
    <n v="0.26199315277910223"/>
  </r>
  <r>
    <x v="34"/>
    <n v="2019"/>
    <n v="3"/>
    <s v="Others"/>
    <n v="62155"/>
    <n v="47272543.294839665"/>
    <n v="17444449"/>
    <n v="271270868"/>
    <n v="2.709890309223276"/>
  </r>
  <r>
    <x v="34"/>
    <n v="2019"/>
    <n v="4"/>
    <s v="Peer-to-peer payments"/>
    <n v="3210116"/>
    <n v="11020339546.604958"/>
    <n v="19279447"/>
    <n v="317392537"/>
    <n v="571.61077009132873"/>
  </r>
  <r>
    <x v="34"/>
    <n v="2019"/>
    <n v="4"/>
    <s v="Recharge &amp; bill payments"/>
    <n v="2547173"/>
    <n v="817728111.45763159"/>
    <n v="19279447"/>
    <n v="317392537"/>
    <n v="42.414500346282317"/>
  </r>
  <r>
    <x v="34"/>
    <n v="2019"/>
    <n v="4"/>
    <s v="Merchant payments"/>
    <n v="1542944"/>
    <n v="701746516.87313676"/>
    <n v="19279447"/>
    <n v="317392537"/>
    <n v="36.398684924579875"/>
  </r>
  <r>
    <x v="34"/>
    <n v="2019"/>
    <n v="4"/>
    <s v="Financial Services"/>
    <n v="11585"/>
    <n v="3555524.3767221333"/>
    <n v="19279447"/>
    <n v="317392537"/>
    <n v="0.18442045442082095"/>
  </r>
  <r>
    <x v="34"/>
    <n v="2019"/>
    <n v="4"/>
    <s v="Others"/>
    <n v="50298"/>
    <n v="30336605.838333592"/>
    <n v="19279447"/>
    <n v="317392537"/>
    <n v="1.5735205391696967"/>
  </r>
  <r>
    <x v="34"/>
    <n v="2020"/>
    <n v="1"/>
    <s v="Peer-to-peer payments"/>
    <n v="3792776"/>
    <n v="13999676596.865887"/>
    <n v="21379666"/>
    <n v="358943915"/>
    <n v="654.81268963069328"/>
  </r>
  <r>
    <x v="34"/>
    <n v="2020"/>
    <n v="1"/>
    <s v="Recharge &amp; bill payments"/>
    <n v="2990764"/>
    <n v="1028598924.445406"/>
    <n v="21379666"/>
    <n v="358943915"/>
    <n v="48.111084824496601"/>
  </r>
  <r>
    <x v="34"/>
    <n v="2020"/>
    <n v="1"/>
    <s v="Merchant payments"/>
    <n v="2289657"/>
    <n v="1094245197.2356641"/>
    <n v="21379666"/>
    <n v="358943915"/>
    <n v="51.181585214458643"/>
  </r>
  <r>
    <x v="34"/>
    <n v="2020"/>
    <n v="1"/>
    <s v="Financial Services"/>
    <n v="10246"/>
    <n v="8180881.8086930467"/>
    <n v="21379666"/>
    <n v="358943915"/>
    <n v="0.38264778358525559"/>
  </r>
  <r>
    <x v="34"/>
    <n v="2020"/>
    <n v="1"/>
    <s v="Others"/>
    <n v="48341"/>
    <n v="27378658.631921414"/>
    <n v="21379666"/>
    <n v="358943915"/>
    <n v="1.2805933746542819"/>
  </r>
  <r>
    <x v="34"/>
    <n v="2020"/>
    <n v="2"/>
    <s v="Recharge &amp; bill payments"/>
    <n v="3755695"/>
    <n v="1303523584.942265"/>
    <n v="23634237"/>
    <n v="341822723"/>
    <n v="55.15403712598232"/>
  </r>
  <r>
    <x v="34"/>
    <n v="2020"/>
    <n v="2"/>
    <s v="Peer-to-peer payments"/>
    <n v="3656029"/>
    <n v="13572964169.690296"/>
    <n v="23634237"/>
    <n v="341822723"/>
    <n v="574.2924626545082"/>
  </r>
  <r>
    <x v="34"/>
    <n v="2020"/>
    <n v="2"/>
    <s v="Merchant payments"/>
    <n v="1587042"/>
    <n v="1181497493.0283294"/>
    <n v="23634237"/>
    <n v="341822723"/>
    <n v="49.990930235163901"/>
  </r>
  <r>
    <x v="34"/>
    <n v="2020"/>
    <n v="2"/>
    <s v="Financial Services"/>
    <n v="15023"/>
    <n v="17612288.057719551"/>
    <n v="23634237"/>
    <n v="341822723"/>
    <n v="0.74520231212539467"/>
  </r>
  <r>
    <x v="34"/>
    <n v="2020"/>
    <n v="2"/>
    <s v="Others"/>
    <n v="33981"/>
    <n v="18590166.382408556"/>
    <n v="23634237"/>
    <n v="341822723"/>
    <n v="0.78657781008155903"/>
  </r>
  <r>
    <x v="34"/>
    <n v="2020"/>
    <n v="3"/>
    <s v="Peer-to-peer payments"/>
    <n v="4836512"/>
    <n v="18377468807.449928"/>
    <n v="26019818"/>
    <n v="444150828"/>
    <n v="706.28736939858413"/>
  </r>
  <r>
    <x v="34"/>
    <n v="2020"/>
    <n v="3"/>
    <s v="Recharge &amp; bill payments"/>
    <n v="3751993"/>
    <n v="1509373287.6970551"/>
    <n v="26019818"/>
    <n v="444150828"/>
    <n v="58.008602815632884"/>
  </r>
  <r>
    <x v="34"/>
    <n v="2020"/>
    <n v="3"/>
    <s v="Merchant payments"/>
    <n v="3164623"/>
    <n v="2166776519.8536706"/>
    <n v="26019818"/>
    <n v="444150828"/>
    <n v="83.27408438651149"/>
  </r>
  <r>
    <x v="34"/>
    <n v="2020"/>
    <n v="3"/>
    <s v="Financial Services"/>
    <n v="20455"/>
    <n v="26449980.584111303"/>
    <n v="26019818"/>
    <n v="444150828"/>
    <n v="1.0165321134879308"/>
  </r>
  <r>
    <x v="34"/>
    <n v="2020"/>
    <n v="3"/>
    <s v="Others"/>
    <n v="45352"/>
    <n v="23442372.421768252"/>
    <n v="26019818"/>
    <n v="444150828"/>
    <n v="0.90094298206729395"/>
  </r>
  <r>
    <x v="34"/>
    <n v="2020"/>
    <n v="4"/>
    <s v="Peer-to-peer payments"/>
    <n v="6748183"/>
    <n v="25748737002.1362"/>
    <n v="28558684"/>
    <n v="578213768"/>
    <n v="901.60796632422557"/>
  </r>
  <r>
    <x v="34"/>
    <n v="2020"/>
    <n v="4"/>
    <s v="Merchant payments"/>
    <n v="6629201"/>
    <n v="4274032856.6465273"/>
    <n v="28558684"/>
    <n v="578213768"/>
    <n v="149.65790638835205"/>
  </r>
  <r>
    <x v="34"/>
    <n v="2020"/>
    <n v="4"/>
    <s v="Recharge &amp; bill payments"/>
    <n v="4140391"/>
    <n v="1697819950.5564795"/>
    <n v="28558684"/>
    <n v="578213768"/>
    <n v="59.450216633108148"/>
  </r>
  <r>
    <x v="34"/>
    <n v="2020"/>
    <n v="4"/>
    <s v="Financial Services"/>
    <n v="27120"/>
    <n v="29791064.761797357"/>
    <n v="28558684"/>
    <n v="578213768"/>
    <n v="1.0431525753006461"/>
  </r>
  <r>
    <x v="34"/>
    <n v="2020"/>
    <n v="4"/>
    <s v="Others"/>
    <n v="68376"/>
    <n v="42358455.009380013"/>
    <n v="28558684"/>
    <n v="578213768"/>
    <n v="1.483207524876847"/>
  </r>
  <r>
    <x v="34"/>
    <n v="2021"/>
    <n v="1"/>
    <s v="Merchant payments"/>
    <n v="8393767"/>
    <n v="5283142247.0657768"/>
    <n v="30823342"/>
    <n v="652104860"/>
    <n v="171.40069519605552"/>
  </r>
  <r>
    <x v="34"/>
    <n v="2021"/>
    <n v="1"/>
    <s v="Peer-to-peer payments"/>
    <n v="7981710"/>
    <n v="29202365442.634418"/>
    <n v="30823342"/>
    <n v="652104860"/>
    <n v="947.41074613630212"/>
  </r>
  <r>
    <x v="34"/>
    <n v="2021"/>
    <n v="1"/>
    <s v="Recharge &amp; bill payments"/>
    <n v="4146569"/>
    <n v="1727960484.030287"/>
    <n v="30823342"/>
    <n v="652104860"/>
    <n v="56.060127549773384"/>
  </r>
  <r>
    <x v="34"/>
    <n v="2021"/>
    <n v="1"/>
    <s v="Financial Services"/>
    <n v="30208"/>
    <n v="38400863.995605037"/>
    <n v="30823342"/>
    <n v="652104860"/>
    <n v="1.2458371319892902"/>
  </r>
  <r>
    <x v="34"/>
    <n v="2021"/>
    <n v="1"/>
    <s v="Others"/>
    <n v="56148"/>
    <n v="36320362.172333807"/>
    <n v="30823342"/>
    <n v="652104860"/>
    <n v="1.1783395250370257"/>
  </r>
  <r>
    <x v="34"/>
    <n v="2021"/>
    <n v="2"/>
    <s v="Peer-to-peer payments"/>
    <n v="9374939"/>
    <n v="32674145244.390625"/>
    <n v="33044440"/>
    <n v="862180396"/>
    <n v="988.79403749588812"/>
  </r>
  <r>
    <x v="34"/>
    <n v="2021"/>
    <n v="2"/>
    <s v="Merchant payments"/>
    <n v="9134389"/>
    <n v="6257528832.0571957"/>
    <n v="33044440"/>
    <n v="862180396"/>
    <n v="189.36707149696576"/>
  </r>
  <r>
    <x v="34"/>
    <n v="2021"/>
    <n v="2"/>
    <s v="Recharge &amp; bill payments"/>
    <n v="5388285"/>
    <n v="1979824048.8157122"/>
    <n v="33044440"/>
    <n v="862180396"/>
    <n v="59.913983980836477"/>
  </r>
  <r>
    <x v="34"/>
    <n v="2021"/>
    <n v="2"/>
    <s v="Financial Services"/>
    <n v="31497"/>
    <n v="35404991.874676295"/>
    <n v="33044440"/>
    <n v="862180396"/>
    <n v="1.0714356749479275"/>
  </r>
  <r>
    <x v="34"/>
    <n v="2021"/>
    <n v="2"/>
    <s v="Others"/>
    <n v="71322"/>
    <n v="43914757.70001851"/>
    <n v="33044440"/>
    <n v="862180396"/>
    <n v="1.3289605664377582"/>
  </r>
  <r>
    <x v="34"/>
    <n v="2021"/>
    <n v="3"/>
    <s v="Merchant payments"/>
    <n v="13673085"/>
    <n v="9001414756.0706863"/>
    <n v="35568599"/>
    <n v="999751830"/>
    <n v="253.07195135998148"/>
  </r>
  <r>
    <x v="34"/>
    <n v="2021"/>
    <n v="3"/>
    <s v="Peer-to-peer payments"/>
    <n v="11867174"/>
    <n v="39256650720.018723"/>
    <n v="35568599"/>
    <n v="999751830"/>
    <n v="1103.6884168538299"/>
  </r>
  <r>
    <x v="34"/>
    <n v="2021"/>
    <n v="3"/>
    <s v="Recharge &amp; bill payments"/>
    <n v="5388011"/>
    <n v="2182554095.2633209"/>
    <n v="35568599"/>
    <n v="999751830"/>
    <n v="61.361823536072393"/>
  </r>
  <r>
    <x v="34"/>
    <n v="2021"/>
    <n v="3"/>
    <s v="Financial Services"/>
    <n v="27839"/>
    <n v="38013969.983418569"/>
    <n v="35568599"/>
    <n v="999751830"/>
    <n v="1.0687508378786179"/>
  </r>
  <r>
    <x v="34"/>
    <n v="2021"/>
    <n v="3"/>
    <s v="Others"/>
    <n v="86175"/>
    <n v="48863242.228284299"/>
    <n v="35568599"/>
    <n v="999751830"/>
    <n v="1.3737747227065171"/>
  </r>
  <r>
    <x v="34"/>
    <n v="2021"/>
    <n v="4"/>
    <s v="Merchant payments"/>
    <n v="19850878"/>
    <n v="13515464697.761791"/>
    <n v="38060165"/>
    <n v="1220211894"/>
    <n v="355.10788504889013"/>
  </r>
  <r>
    <x v="34"/>
    <n v="2021"/>
    <n v="4"/>
    <s v="Peer-to-peer payments"/>
    <n v="14819203"/>
    <n v="49969580473.077858"/>
    <n v="38060165"/>
    <n v="1220211894"/>
    <n v="1312.9102428504411"/>
  </r>
  <r>
    <x v="34"/>
    <n v="2021"/>
    <n v="4"/>
    <s v="Recharge &amp; bill payments"/>
    <n v="5536262"/>
    <n v="2540546090.0230789"/>
    <n v="38060165"/>
    <n v="1220211894"/>
    <n v="66.750790229708116"/>
  </r>
  <r>
    <x v="34"/>
    <n v="2021"/>
    <n v="4"/>
    <s v="Financial Services"/>
    <n v="38764"/>
    <n v="51212042.381750934"/>
    <n v="38060165"/>
    <n v="1220211894"/>
    <n v="1.3455549228898753"/>
  </r>
  <r>
    <x v="34"/>
    <n v="2021"/>
    <n v="4"/>
    <s v="Others"/>
    <n v="116173"/>
    <n v="71304856.176641911"/>
    <n v="38060165"/>
    <n v="1220211894"/>
    <n v="1.8734773266653444"/>
  </r>
  <r>
    <x v="35"/>
    <n v="2018"/>
    <n v="1"/>
    <s v="Recharge &amp; bill payments"/>
    <n v="5773831"/>
    <n v="964309485.95923853"/>
    <n v="28652679"/>
    <n v="0"/>
    <n v="33.655124742759256"/>
  </r>
  <r>
    <x v="35"/>
    <n v="2018"/>
    <n v="1"/>
    <s v="Peer-to-peer payments"/>
    <n v="4383075"/>
    <n v="8874266825.9857712"/>
    <n v="28652679"/>
    <n v="0"/>
    <n v="309.71857207438688"/>
  </r>
  <r>
    <x v="35"/>
    <n v="2018"/>
    <n v="1"/>
    <s v="Financial Services"/>
    <n v="665171"/>
    <n v="119502271.66944443"/>
    <n v="28652679"/>
    <n v="0"/>
    <n v="4.1707189638164177"/>
  </r>
  <r>
    <x v="35"/>
    <n v="2018"/>
    <n v="1"/>
    <s v="Merchant payments"/>
    <n v="443378"/>
    <n v="366788699.65713125"/>
    <n v="28652679"/>
    <n v="0"/>
    <n v="12.801200880976305"/>
  </r>
  <r>
    <x v="35"/>
    <n v="2018"/>
    <n v="1"/>
    <s v="Others"/>
    <n v="444770"/>
    <n v="301111268.86863834"/>
    <n v="28652679"/>
    <n v="0"/>
    <n v="10.509009257690645"/>
  </r>
  <r>
    <x v="35"/>
    <n v="2018"/>
    <n v="2"/>
    <s v="Peer-to-peer payments"/>
    <n v="8284944"/>
    <n v="15889890046.862814"/>
    <n v="42171745"/>
    <n v="0"/>
    <n v="376.78995846301387"/>
  </r>
  <r>
    <x v="35"/>
    <n v="2018"/>
    <n v="2"/>
    <s v="Recharge &amp; bill payments"/>
    <n v="7360522"/>
    <n v="1563841173.8396621"/>
    <n v="42171745"/>
    <n v="0"/>
    <n v="37.082676418527669"/>
  </r>
  <r>
    <x v="35"/>
    <n v="2018"/>
    <n v="2"/>
    <s v="Financial Services"/>
    <n v="1121570"/>
    <n v="160809685.93886387"/>
    <n v="42171745"/>
    <n v="0"/>
    <n v="3.8132091982170495"/>
  </r>
  <r>
    <x v="35"/>
    <n v="2018"/>
    <n v="2"/>
    <s v="Merchant payments"/>
    <n v="937608"/>
    <n v="715914360.81923699"/>
    <n v="42171745"/>
    <n v="0"/>
    <n v="16.976161665096786"/>
  </r>
  <r>
    <x v="35"/>
    <n v="2018"/>
    <n v="2"/>
    <s v="Others"/>
    <n v="377802"/>
    <n v="298728202.74332541"/>
    <n v="42171745"/>
    <n v="0"/>
    <n v="7.0836101931121283"/>
  </r>
  <r>
    <x v="35"/>
    <n v="2018"/>
    <n v="3"/>
    <s v="Peer-to-peer payments"/>
    <n v="41882429"/>
    <n v="38439798815.237892"/>
    <n v="53369140"/>
    <n v="0"/>
    <n v="720.26266144138526"/>
  </r>
  <r>
    <x v="35"/>
    <n v="2018"/>
    <n v="3"/>
    <s v="Recharge &amp; bill payments"/>
    <n v="7596315"/>
    <n v="1992473341.2750623"/>
    <n v="53369140"/>
    <n v="0"/>
    <n v="37.333810162109835"/>
  </r>
  <r>
    <x v="35"/>
    <n v="2018"/>
    <n v="3"/>
    <s v="Merchant payments"/>
    <n v="2252265"/>
    <n v="979603555.13971066"/>
    <n v="53369140"/>
    <n v="0"/>
    <n v="18.355243407326981"/>
  </r>
  <r>
    <x v="35"/>
    <n v="2018"/>
    <n v="3"/>
    <s v="Financial Services"/>
    <n v="1619524"/>
    <n v="185187032.89650059"/>
    <n v="53369140"/>
    <n v="0"/>
    <n v="3.4699272444056732"/>
  </r>
  <r>
    <x v="35"/>
    <n v="2018"/>
    <n v="3"/>
    <s v="Others"/>
    <n v="354883"/>
    <n v="246871438.6293067"/>
    <n v="53369140"/>
    <n v="0"/>
    <n v="4.6257338722210379"/>
  </r>
  <r>
    <x v="35"/>
    <n v="2018"/>
    <n v="4"/>
    <s v="Peer-to-peer payments"/>
    <n v="17154995"/>
    <n v="35303180047.061478"/>
    <n v="69072058"/>
    <n v="0"/>
    <n v="511.10653235584027"/>
  </r>
  <r>
    <x v="35"/>
    <n v="2018"/>
    <n v="4"/>
    <s v="Recharge &amp; bill payments"/>
    <n v="9425082"/>
    <n v="2467741143.2258015"/>
    <n v="69072058"/>
    <n v="0"/>
    <n v="35.727053959009034"/>
  </r>
  <r>
    <x v="35"/>
    <n v="2018"/>
    <n v="4"/>
    <s v="Merchant payments"/>
    <n v="8633569"/>
    <n v="2294203496.6575317"/>
    <n v="69072058"/>
    <n v="0"/>
    <n v="33.214639364843187"/>
  </r>
  <r>
    <x v="35"/>
    <n v="2018"/>
    <n v="4"/>
    <s v="Financial Services"/>
    <n v="734796"/>
    <n v="93755616.522836253"/>
    <n v="69072058"/>
    <n v="0"/>
    <n v="1.3573595349198406"/>
  </r>
  <r>
    <x v="35"/>
    <n v="2018"/>
    <n v="4"/>
    <s v="Others"/>
    <n v="565106"/>
    <n v="330738908.23670936"/>
    <n v="69072058"/>
    <n v="0"/>
    <n v="4.7883169810389807"/>
  </r>
  <r>
    <x v="35"/>
    <n v="2019"/>
    <n v="1"/>
    <s v="Peer-to-peer payments"/>
    <n v="27374206"/>
    <n v="44170923881.744286"/>
    <n v="81943675"/>
    <n v="0"/>
    <n v="539.04006479748784"/>
  </r>
  <r>
    <x v="35"/>
    <n v="2019"/>
    <n v="1"/>
    <s v="Recharge &amp; bill payments"/>
    <n v="11659948"/>
    <n v="3021107711.9021683"/>
    <n v="81943675"/>
    <n v="0"/>
    <n v="36.86810131352015"/>
  </r>
  <r>
    <x v="35"/>
    <n v="2019"/>
    <n v="1"/>
    <s v="Merchant payments"/>
    <n v="7636726"/>
    <n v="2645438308.3384781"/>
    <n v="81943675"/>
    <n v="0"/>
    <n v="32.283618086917365"/>
  </r>
  <r>
    <x v="35"/>
    <n v="2019"/>
    <n v="1"/>
    <s v="Financial Services"/>
    <n v="525650"/>
    <n v="47986448.469366968"/>
    <n v="81943675"/>
    <n v="0"/>
    <n v="0.58560283596466678"/>
  </r>
  <r>
    <x v="35"/>
    <n v="2019"/>
    <n v="1"/>
    <s v="Others"/>
    <n v="429858"/>
    <n v="279216273.42549002"/>
    <n v="81943675"/>
    <n v="0"/>
    <n v="3.407417026701451"/>
  </r>
  <r>
    <x v="35"/>
    <n v="2019"/>
    <n v="2"/>
    <s v="Peer-to-peer payments"/>
    <n v="20285958"/>
    <n v="48394974398.378311"/>
    <n v="94740745"/>
    <n v="544656211"/>
    <n v="510.81479672107616"/>
  </r>
  <r>
    <x v="35"/>
    <n v="2019"/>
    <n v="2"/>
    <s v="Merchant payments"/>
    <n v="13646142"/>
    <n v="4657258459.145545"/>
    <n v="94740745"/>
    <n v="544656211"/>
    <n v="49.157925232122096"/>
  </r>
  <r>
    <x v="35"/>
    <n v="2019"/>
    <n v="2"/>
    <s v="Recharge &amp; bill payments"/>
    <n v="12129638"/>
    <n v="3676123279.3800926"/>
    <n v="94740745"/>
    <n v="544656211"/>
    <n v="38.801924973041878"/>
  </r>
  <r>
    <x v="35"/>
    <n v="2019"/>
    <n v="2"/>
    <s v="Financial Services"/>
    <n v="421037"/>
    <n v="45646046.988463171"/>
    <n v="94740745"/>
    <n v="544656211"/>
    <n v="0.48179953607566811"/>
  </r>
  <r>
    <x v="35"/>
    <n v="2019"/>
    <n v="2"/>
    <s v="Others"/>
    <n v="540760"/>
    <n v="331688935.22631323"/>
    <n v="94740745"/>
    <n v="544656211"/>
    <n v="3.5010167507793319"/>
  </r>
  <r>
    <x v="35"/>
    <n v="2019"/>
    <n v="3"/>
    <s v="Merchant payments"/>
    <n v="30804036"/>
    <n v="8273187167.0788555"/>
    <n v="106075442"/>
    <n v="1942149121"/>
    <n v="77.993426292570675"/>
  </r>
  <r>
    <x v="35"/>
    <n v="2019"/>
    <n v="3"/>
    <s v="Peer-to-peer payments"/>
    <n v="21522913"/>
    <n v="57058405341.480957"/>
    <n v="106075442"/>
    <n v="1942149121"/>
    <n v="537.90400742785459"/>
  </r>
  <r>
    <x v="35"/>
    <n v="2019"/>
    <n v="3"/>
    <s v="Recharge &amp; bill payments"/>
    <n v="13011501"/>
    <n v="4832486821.8885756"/>
    <n v="106075442"/>
    <n v="1942149121"/>
    <n v="45.557074576117017"/>
  </r>
  <r>
    <x v="35"/>
    <n v="2019"/>
    <n v="3"/>
    <s v="Financial Services"/>
    <n v="558653"/>
    <n v="57054414.835974008"/>
    <n v="106075442"/>
    <n v="1942149121"/>
    <n v="0.53786638792392694"/>
  </r>
  <r>
    <x v="35"/>
    <n v="2019"/>
    <n v="3"/>
    <s v="Others"/>
    <n v="547726"/>
    <n v="319398871.54610711"/>
    <n v="106075442"/>
    <n v="1942149121"/>
    <n v="3.0110538831985929"/>
  </r>
  <r>
    <x v="35"/>
    <n v="2019"/>
    <n v="4"/>
    <s v="Peer-to-peer payments"/>
    <n v="67037576"/>
    <n v="76593333397.866501"/>
    <n v="119735638"/>
    <n v="2687592743"/>
    <n v="639.68701948092098"/>
  </r>
  <r>
    <x v="35"/>
    <n v="2019"/>
    <n v="4"/>
    <s v="Recharge &amp; bill payments"/>
    <n v="14511711"/>
    <n v="4859794689.902503"/>
    <n v="119735638"/>
    <n v="2687592743"/>
    <n v="40.587704471934273"/>
  </r>
  <r>
    <x v="35"/>
    <n v="2019"/>
    <n v="4"/>
    <s v="Merchant payments"/>
    <n v="14187744"/>
    <n v="6477138700.8121147"/>
    <n v="119735638"/>
    <n v="2687592743"/>
    <n v="54.095328750928061"/>
  </r>
  <r>
    <x v="35"/>
    <n v="2019"/>
    <n v="4"/>
    <s v="Financial Services"/>
    <n v="653648"/>
    <n v="77047243.729740053"/>
    <n v="119735638"/>
    <n v="2687592743"/>
    <n v="0.64347795707857713"/>
  </r>
  <r>
    <x v="35"/>
    <n v="2019"/>
    <n v="4"/>
    <s v="Others"/>
    <n v="415159"/>
    <n v="196296222.33587587"/>
    <n v="119735638"/>
    <n v="2687592743"/>
    <n v="1.6394135080808261"/>
  </r>
  <r>
    <x v="35"/>
    <n v="2020"/>
    <n v="1"/>
    <s v="Peer-to-peer payments"/>
    <n v="28457404"/>
    <n v="82770282623.809143"/>
    <n v="131569042"/>
    <n v="2277750398"/>
    <n v="629.10150720569311"/>
  </r>
  <r>
    <x v="35"/>
    <n v="2020"/>
    <n v="1"/>
    <s v="Merchant payments"/>
    <n v="19779392"/>
    <n v="8097859088.5199757"/>
    <n v="131569042"/>
    <n v="2277750398"/>
    <n v="61.548362482718204"/>
  </r>
  <r>
    <x v="35"/>
    <n v="2020"/>
    <n v="1"/>
    <s v="Recharge &amp; bill payments"/>
    <n v="17448908"/>
    <n v="5550815439.7347879"/>
    <n v="131569042"/>
    <n v="2277750398"/>
    <n v="42.189373391764818"/>
  </r>
  <r>
    <x v="35"/>
    <n v="2020"/>
    <n v="1"/>
    <s v="Financial Services"/>
    <n v="210068"/>
    <n v="58280893.551501192"/>
    <n v="131569042"/>
    <n v="2277750398"/>
    <n v="0.44296813798721124"/>
  </r>
  <r>
    <x v="35"/>
    <n v="2020"/>
    <n v="1"/>
    <s v="Others"/>
    <n v="354609"/>
    <n v="176067145.32277051"/>
    <n v="131569042"/>
    <n v="2277750398"/>
    <n v="1.3382110460511714"/>
  </r>
  <r>
    <x v="35"/>
    <n v="2020"/>
    <n v="2"/>
    <s v="Peer-to-peer payments"/>
    <n v="24855687"/>
    <n v="84984004330.771805"/>
    <n v="145442242"/>
    <n v="2184482652"/>
    <n v="584.31445474260363"/>
  </r>
  <r>
    <x v="35"/>
    <n v="2020"/>
    <n v="2"/>
    <s v="Recharge &amp; bill payments"/>
    <n v="22220012"/>
    <n v="7496845561.8685951"/>
    <n v="145442242"/>
    <n v="2184482652"/>
    <n v="51.545173250757472"/>
  </r>
  <r>
    <x v="35"/>
    <n v="2020"/>
    <n v="2"/>
    <s v="Merchant payments"/>
    <n v="10225729"/>
    <n v="7404190137.6690865"/>
    <n v="145442242"/>
    <n v="2184482652"/>
    <n v="50.908113322875529"/>
  </r>
  <r>
    <x v="35"/>
    <n v="2020"/>
    <n v="2"/>
    <s v="Financial Services"/>
    <n v="130595"/>
    <n v="89987205.230904028"/>
    <n v="145442242"/>
    <n v="2184482652"/>
    <n v="0.61871437069090307"/>
  </r>
  <r>
    <x v="35"/>
    <n v="2020"/>
    <n v="2"/>
    <s v="Others"/>
    <n v="244774"/>
    <n v="124404641.81495729"/>
    <n v="145442242"/>
    <n v="2184482652"/>
    <n v="0.85535426368741818"/>
  </r>
  <r>
    <x v="35"/>
    <n v="2020"/>
    <n v="3"/>
    <s v="Peer-to-peer payments"/>
    <n v="37556349"/>
    <n v="133120676151.84232"/>
    <n v="158932026"/>
    <n v="2712103141"/>
    <n v="837.5950367098593"/>
  </r>
  <r>
    <x v="35"/>
    <n v="2020"/>
    <n v="3"/>
    <s v="Recharge &amp; bill payments"/>
    <n v="22284079"/>
    <n v="8768630922.9701614"/>
    <n v="158932026"/>
    <n v="2712103141"/>
    <n v="55.172208796798209"/>
  </r>
  <r>
    <x v="35"/>
    <n v="2020"/>
    <n v="3"/>
    <s v="Merchant payments"/>
    <n v="19599024"/>
    <n v="14614394375.389553"/>
    <n v="158932026"/>
    <n v="2712103141"/>
    <n v="91.953741125715922"/>
  </r>
  <r>
    <x v="35"/>
    <n v="2020"/>
    <n v="3"/>
    <s v="Financial Services"/>
    <n v="151996"/>
    <n v="125973420.85650632"/>
    <n v="158932026"/>
    <n v="2712103141"/>
    <n v="0.79262452022417629"/>
  </r>
  <r>
    <x v="35"/>
    <n v="2020"/>
    <n v="3"/>
    <s v="Others"/>
    <n v="363056"/>
    <n v="183680984.08253318"/>
    <n v="158932026"/>
    <n v="2712103141"/>
    <n v="1.1557203963569507"/>
  </r>
  <r>
    <x v="35"/>
    <n v="2020"/>
    <n v="4"/>
    <s v="Peer-to-peer payments"/>
    <n v="46437233"/>
    <n v="166391874596.30487"/>
    <n v="172283023"/>
    <n v="3208941109"/>
    <n v="965.80540379944966"/>
  </r>
  <r>
    <x v="35"/>
    <n v="2020"/>
    <n v="4"/>
    <s v="Merchant payments"/>
    <n v="30077510"/>
    <n v="22241302940.832962"/>
    <n v="172283023"/>
    <n v="3208941109"/>
    <n v="129.09747317838136"/>
  </r>
  <r>
    <x v="35"/>
    <n v="2020"/>
    <n v="4"/>
    <s v="Recharge &amp; bill payments"/>
    <n v="23158305"/>
    <n v="10074605883.201237"/>
    <n v="172283023"/>
    <n v="3208941109"/>
    <n v="58.477067024771422"/>
  </r>
  <r>
    <x v="35"/>
    <n v="2020"/>
    <n v="4"/>
    <s v="Financial Services"/>
    <n v="178455"/>
    <n v="164241191.74013621"/>
    <n v="172283023"/>
    <n v="3208941109"/>
    <n v="0.95332197496985072"/>
  </r>
  <r>
    <x v="35"/>
    <n v="2020"/>
    <n v="4"/>
    <s v="Others"/>
    <n v="489142"/>
    <n v="293466753.56894124"/>
    <n v="172283023"/>
    <n v="3208941109"/>
    <n v="1.703399142055577"/>
  </r>
  <r>
    <x v="35"/>
    <n v="2021"/>
    <n v="1"/>
    <s v="Peer-to-peer payments"/>
    <n v="53869075"/>
    <n v="202240249482.85385"/>
    <n v="184896789"/>
    <n v="3485159414"/>
    <n v="1093.8007662364209"/>
  </r>
  <r>
    <x v="35"/>
    <n v="2021"/>
    <n v="1"/>
    <s v="Merchant payments"/>
    <n v="37143701"/>
    <n v="28918343691.018497"/>
    <n v="184896789"/>
    <n v="3485159414"/>
    <n v="156.40262790620176"/>
  </r>
  <r>
    <x v="35"/>
    <n v="2021"/>
    <n v="1"/>
    <s v="Recharge &amp; bill payments"/>
    <n v="26673733"/>
    <n v="11339665944.69124"/>
    <n v="184896789"/>
    <n v="3485159414"/>
    <n v="61.329707270856069"/>
  </r>
  <r>
    <x v="35"/>
    <n v="2021"/>
    <n v="1"/>
    <s v="Financial Services"/>
    <n v="166727"/>
    <n v="175445811.88444334"/>
    <n v="184896789"/>
    <n v="3485159414"/>
    <n v="0.94888512036000439"/>
  </r>
  <r>
    <x v="35"/>
    <n v="2021"/>
    <n v="1"/>
    <s v="Others"/>
    <n v="400816"/>
    <n v="263502545.07389978"/>
    <n v="184896789"/>
    <n v="3485159414"/>
    <n v="1.4251331594184677"/>
  </r>
  <r>
    <x v="35"/>
    <n v="2021"/>
    <n v="2"/>
    <s v="Peer-to-peer payments"/>
    <n v="64661051"/>
    <n v="230812278789.29965"/>
    <n v="197779769"/>
    <n v="3028756126"/>
    <n v="1167.0166264037837"/>
  </r>
  <r>
    <x v="35"/>
    <n v="2021"/>
    <n v="2"/>
    <s v="Merchant payments"/>
    <n v="41696787"/>
    <n v="34787867208.319321"/>
    <n v="197779769"/>
    <n v="3028756126"/>
    <n v="175.89193972776519"/>
  </r>
  <r>
    <x v="35"/>
    <n v="2021"/>
    <n v="2"/>
    <s v="Recharge &amp; bill payments"/>
    <n v="34799709"/>
    <n v="13331453857.609217"/>
    <n v="197779769"/>
    <n v="3028756126"/>
    <n v="67.405548732384332"/>
  </r>
  <r>
    <x v="35"/>
    <n v="2021"/>
    <n v="2"/>
    <s v="Financial Services"/>
    <n v="190537"/>
    <n v="186466487.63076341"/>
    <n v="197779769"/>
    <n v="3028756126"/>
    <n v="0.94279859145129963"/>
  </r>
  <r>
    <x v="35"/>
    <n v="2021"/>
    <n v="2"/>
    <s v="Others"/>
    <n v="549353"/>
    <n v="316744715.70498472"/>
    <n v="197779769"/>
    <n v="3028756126"/>
    <n v="1.601502101587472"/>
  </r>
  <r>
    <x v="35"/>
    <n v="2021"/>
    <n v="3"/>
    <s v="Peer-to-peer payments"/>
    <n v="84353949"/>
    <n v="294799731350.55359"/>
    <n v="212556058"/>
    <n v="3834475326"/>
    <n v="1386.9269788140011"/>
  </r>
  <r>
    <x v="35"/>
    <n v="2021"/>
    <n v="3"/>
    <s v="Merchant payments"/>
    <n v="58800005"/>
    <n v="50971169851.156677"/>
    <n v="212556058"/>
    <n v="3834475326"/>
    <n v="239.8010686251844"/>
  </r>
  <r>
    <x v="35"/>
    <n v="2021"/>
    <n v="3"/>
    <s v="Recharge &amp; bill payments"/>
    <n v="37556310"/>
    <n v="16045754099.005053"/>
    <n v="212556058"/>
    <n v="3834475326"/>
    <n v="75.489516742002493"/>
  </r>
  <r>
    <x v="35"/>
    <n v="2021"/>
    <n v="3"/>
    <s v="Financial Services"/>
    <n v="189087"/>
    <n v="213411736.37376124"/>
    <n v="212556058"/>
    <n v="3834475326"/>
    <n v="1.0040256597803543"/>
  </r>
  <r>
    <x v="35"/>
    <n v="2021"/>
    <n v="3"/>
    <s v="Others"/>
    <n v="813637"/>
    <n v="426999219.42323273"/>
    <n v="212556058"/>
    <n v="3834475326"/>
    <n v="2.0088781446221247"/>
  </r>
  <r>
    <x v="35"/>
    <n v="2021"/>
    <n v="4"/>
    <s v="Peer-to-peer payments"/>
    <n v="105728377"/>
    <n v="372240891205.5542"/>
    <n v="227089797"/>
    <n v="5635694229"/>
    <n v="1639.1792855649705"/>
  </r>
  <r>
    <x v="35"/>
    <n v="2021"/>
    <n v="4"/>
    <s v="Merchant payments"/>
    <n v="80248673"/>
    <n v="71231577538.711395"/>
    <n v="227089797"/>
    <n v="5635694229"/>
    <n v="313.67141315781527"/>
  </r>
  <r>
    <x v="35"/>
    <n v="2021"/>
    <n v="4"/>
    <s v="Recharge &amp; bill payments"/>
    <n v="37801439"/>
    <n v="17813903244.663807"/>
    <n v="227089797"/>
    <n v="5635694229"/>
    <n v="78.444313571092792"/>
  </r>
  <r>
    <x v="35"/>
    <n v="2021"/>
    <n v="4"/>
    <s v="Financial Services"/>
    <n v="252535"/>
    <n v="270791056.67414302"/>
    <n v="227089797"/>
    <n v="5635694229"/>
    <n v="1.1924404365650254"/>
  </r>
  <r>
    <x v="35"/>
    <n v="2021"/>
    <n v="4"/>
    <s v="Others"/>
    <n v="998536"/>
    <n v="660874216.49347425"/>
    <n v="227089797"/>
    <n v="5635694229"/>
    <n v="2.9101889438629169"/>
  </r>
  <r>
    <x v="36"/>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4">
  <r>
    <x v="0"/>
    <x v="0"/>
    <x v="0"/>
    <x v="0"/>
    <n v="4200"/>
    <n v="1845307.4673655091"/>
    <n v="74140"/>
    <n v="0"/>
    <n v="24.889499155186257"/>
  </r>
  <r>
    <x v="0"/>
    <x v="0"/>
    <x v="0"/>
    <x v="1"/>
    <n v="1871"/>
    <n v="12138655.299749982"/>
    <n v="74140"/>
    <n v="0"/>
    <n v="163.72613029066605"/>
  </r>
  <r>
    <x v="0"/>
    <x v="0"/>
    <x v="0"/>
    <x v="2"/>
    <n v="298"/>
    <n v="452507.16864661302"/>
    <n v="74140"/>
    <n v="0"/>
    <n v="6.1034147376128001"/>
  </r>
  <r>
    <x v="0"/>
    <x v="0"/>
    <x v="0"/>
    <x v="3"/>
    <n v="33"/>
    <n v="10601.419933464953"/>
    <n v="74140"/>
    <n v="0"/>
    <n v="0.14299190630516526"/>
  </r>
  <r>
    <x v="0"/>
    <x v="0"/>
    <x v="0"/>
    <x v="4"/>
    <n v="256"/>
    <n v="184689.8662902223"/>
    <n v="74140"/>
    <n v="0"/>
    <n v="2.4910961193717602"/>
  </r>
  <r>
    <x v="0"/>
    <x v="0"/>
    <x v="1"/>
    <x v="0"/>
    <n v="6735"/>
    <n v="2320944.7310744789"/>
    <n v="103455"/>
    <n v="0"/>
    <n v="22.434340834899029"/>
  </r>
  <r>
    <x v="0"/>
    <x v="0"/>
    <x v="1"/>
    <x v="1"/>
    <n v="3575"/>
    <n v="24511925.231047668"/>
    <n v="103455"/>
    <n v="0"/>
    <n v="236.9332099081501"/>
  </r>
  <r>
    <x v="0"/>
    <x v="0"/>
    <x v="1"/>
    <x v="2"/>
    <n v="603"/>
    <n v="1024491.0133579008"/>
    <n v="103455"/>
    <n v="0"/>
    <n v="9.9027694491121814"/>
  </r>
  <r>
    <x v="0"/>
    <x v="0"/>
    <x v="1"/>
    <x v="3"/>
    <n v="59"/>
    <n v="121336.0270987509"/>
    <n v="103455"/>
    <n v="0"/>
    <n v="1.1728386941061417"/>
  </r>
  <r>
    <x v="0"/>
    <x v="0"/>
    <x v="1"/>
    <x v="4"/>
    <n v="368"/>
    <n v="359838.50537474576"/>
    <n v="103455"/>
    <n v="0"/>
    <n v="3.4782128014571141"/>
  </r>
  <r>
    <x v="0"/>
    <x v="0"/>
    <x v="2"/>
    <x v="0"/>
    <n v="8636"/>
    <n v="4343504.868377829"/>
    <n v="133639"/>
    <n v="0"/>
    <n v="32.50177619091604"/>
  </r>
  <r>
    <x v="0"/>
    <x v="0"/>
    <x v="2"/>
    <x v="1"/>
    <n v="6448"/>
    <n v="49270781.541635044"/>
    <n v="133639"/>
    <n v="0"/>
    <n v="368.68564971030196"/>
  </r>
  <r>
    <x v="0"/>
    <x v="0"/>
    <x v="2"/>
    <x v="2"/>
    <n v="945"/>
    <n v="1627359.8394868043"/>
    <n v="133639"/>
    <n v="0"/>
    <n v="12.177282376303356"/>
  </r>
  <r>
    <x v="0"/>
    <x v="0"/>
    <x v="2"/>
    <x v="3"/>
    <n v="42"/>
    <n v="1481.4907042806485"/>
    <n v="133639"/>
    <n v="0"/>
    <n v="1.1085766163175784E-2"/>
  </r>
  <r>
    <x v="0"/>
    <x v="0"/>
    <x v="2"/>
    <x v="4"/>
    <n v="194"/>
    <n v="314343.39410715323"/>
    <n v="133639"/>
    <n v="0"/>
    <n v="2.352183076101686"/>
  </r>
  <r>
    <x v="0"/>
    <x v="0"/>
    <x v="3"/>
    <x v="0"/>
    <n v="11517"/>
    <n v="5450549.5122943753"/>
    <n v="167442"/>
    <n v="0"/>
    <n v="32.551865794092137"/>
  </r>
  <r>
    <x v="0"/>
    <x v="0"/>
    <x v="3"/>
    <x v="1"/>
    <n v="10451"/>
    <n v="81001456.97825177"/>
    <n v="167442"/>
    <n v="0"/>
    <n v="483.75829826597732"/>
  </r>
  <r>
    <x v="0"/>
    <x v="0"/>
    <x v="3"/>
    <x v="2"/>
    <n v="1421"/>
    <n v="3552027.735492656"/>
    <n v="167442"/>
    <n v="0"/>
    <n v="21.213481297957838"/>
  </r>
  <r>
    <x v="0"/>
    <x v="0"/>
    <x v="3"/>
    <x v="3"/>
    <n v="29"/>
    <n v="76035.787739328603"/>
    <n v="167442"/>
    <n v="0"/>
    <n v="0.45410224280245459"/>
  </r>
  <r>
    <x v="0"/>
    <x v="0"/>
    <x v="3"/>
    <x v="4"/>
    <n v="340"/>
    <n v="468266.06067704351"/>
    <n v="167442"/>
    <n v="0"/>
    <n v="2.7965866429990296"/>
  </r>
  <r>
    <x v="0"/>
    <x v="1"/>
    <x v="0"/>
    <x v="0"/>
    <n v="15263"/>
    <n v="6611459.8729725825"/>
    <n v="204556"/>
    <n v="0"/>
    <n v="32.321026383839062"/>
  </r>
  <r>
    <x v="0"/>
    <x v="1"/>
    <x v="0"/>
    <x v="1"/>
    <n v="13119"/>
    <n v="91808345.868395522"/>
    <n v="204556"/>
    <n v="0"/>
    <n v="448.81766297930898"/>
  </r>
  <r>
    <x v="0"/>
    <x v="1"/>
    <x v="0"/>
    <x v="2"/>
    <n v="1759"/>
    <n v="3266589.8469614363"/>
    <n v="204556"/>
    <n v="0"/>
    <n v="15.969171507858173"/>
  </r>
  <r>
    <x v="0"/>
    <x v="1"/>
    <x v="0"/>
    <x v="3"/>
    <n v="62"/>
    <n v="116250.43671861099"/>
    <n v="204556"/>
    <n v="0"/>
    <n v="0.56830616906182652"/>
  </r>
  <r>
    <x v="0"/>
    <x v="1"/>
    <x v="0"/>
    <x v="4"/>
    <n v="283"/>
    <n v="497094.64844172052"/>
    <n v="204556"/>
    <n v="0"/>
    <n v="2.4301152175527507"/>
  </r>
  <r>
    <x v="0"/>
    <x v="1"/>
    <x v="1"/>
    <x v="0"/>
    <n v="14676"/>
    <n v="7242448.2562123332"/>
    <n v="239041"/>
    <n v="579040"/>
    <n v="30.297933225732546"/>
  </r>
  <r>
    <x v="0"/>
    <x v="1"/>
    <x v="1"/>
    <x v="1"/>
    <n v="14481"/>
    <n v="107525358.66652842"/>
    <n v="239041"/>
    <n v="579040"/>
    <n v="449.81973245814908"/>
  </r>
  <r>
    <x v="0"/>
    <x v="1"/>
    <x v="1"/>
    <x v="2"/>
    <n v="4031"/>
    <n v="4702152.6166193718"/>
    <n v="239041"/>
    <n v="579040"/>
    <n v="19.670904224042619"/>
  </r>
  <r>
    <x v="0"/>
    <x v="1"/>
    <x v="1"/>
    <x v="3"/>
    <n v="124"/>
    <n v="113278.91371326067"/>
    <n v="239041"/>
    <n v="579040"/>
    <n v="0.47388905548947952"/>
  </r>
  <r>
    <x v="0"/>
    <x v="1"/>
    <x v="1"/>
    <x v="4"/>
    <n v="377"/>
    <n v="671471.22258979199"/>
    <n v="239041"/>
    <n v="579040"/>
    <n v="2.8090211411004473"/>
  </r>
  <r>
    <x v="0"/>
    <x v="1"/>
    <x v="2"/>
    <x v="0"/>
    <n v="16219"/>
    <n v="8171737.7059166813"/>
    <n v="263241"/>
    <n v="1882177"/>
    <n v="31.042799966254044"/>
  </r>
  <r>
    <x v="0"/>
    <x v="1"/>
    <x v="2"/>
    <x v="1"/>
    <n v="13767"/>
    <n v="101079821.10344616"/>
    <n v="263241"/>
    <n v="1882177"/>
    <n v="383.98205865897091"/>
  </r>
  <r>
    <x v="0"/>
    <x v="1"/>
    <x v="2"/>
    <x v="2"/>
    <n v="3519"/>
    <n v="4428734.574846684"/>
    <n v="263241"/>
    <n v="1882177"/>
    <n v="16.823878403617538"/>
  </r>
  <r>
    <x v="0"/>
    <x v="1"/>
    <x v="2"/>
    <x v="3"/>
    <n v="50"/>
    <n v="158857.94315586874"/>
    <n v="263241"/>
    <n v="1882177"/>
    <n v="0.60346960829000318"/>
  </r>
  <r>
    <x v="0"/>
    <x v="1"/>
    <x v="2"/>
    <x v="4"/>
    <n v="215"/>
    <n v="232624.75992853564"/>
    <n v="263241"/>
    <n v="1882177"/>
    <n v="0.88369501684211671"/>
  </r>
  <r>
    <x v="0"/>
    <x v="1"/>
    <x v="3"/>
    <x v="1"/>
    <n v="18128"/>
    <n v="121493224.30754511"/>
    <n v="285560"/>
    <n v="1947132"/>
    <n v="425.45603133332787"/>
  </r>
  <r>
    <x v="0"/>
    <x v="1"/>
    <x v="3"/>
    <x v="0"/>
    <n v="13851"/>
    <n v="9538690.9164246339"/>
    <n v="285560"/>
    <n v="1947132"/>
    <n v="33.403456073766051"/>
  </r>
  <r>
    <x v="0"/>
    <x v="1"/>
    <x v="3"/>
    <x v="2"/>
    <n v="2920"/>
    <n v="5247500.4879023759"/>
    <n v="285560"/>
    <n v="1947132"/>
    <n v="18.376174842073034"/>
  </r>
  <r>
    <x v="0"/>
    <x v="1"/>
    <x v="3"/>
    <x v="3"/>
    <n v="60"/>
    <n v="295937.21108988649"/>
    <n v="285560"/>
    <n v="1947132"/>
    <n v="1.0363398623402664"/>
  </r>
  <r>
    <x v="0"/>
    <x v="1"/>
    <x v="3"/>
    <x v="4"/>
    <n v="200"/>
    <n v="263177.59441588831"/>
    <n v="285560"/>
    <n v="1947132"/>
    <n v="0.92161925485322982"/>
  </r>
  <r>
    <x v="0"/>
    <x v="2"/>
    <x v="0"/>
    <x v="1"/>
    <n v="18324"/>
    <n v="142332401.79234773"/>
    <n v="312048"/>
    <n v="2129446"/>
    <n v="456.12342265403953"/>
  </r>
  <r>
    <x v="0"/>
    <x v="2"/>
    <x v="0"/>
    <x v="0"/>
    <n v="18268"/>
    <n v="10850414.023977457"/>
    <n v="312048"/>
    <n v="2129446"/>
    <n v="34.771618545792492"/>
  </r>
  <r>
    <x v="0"/>
    <x v="2"/>
    <x v="0"/>
    <x v="2"/>
    <n v="4424"/>
    <n v="7752871.558217709"/>
    <n v="312048"/>
    <n v="2129446"/>
    <n v="24.845124975060596"/>
  </r>
  <r>
    <x v="0"/>
    <x v="2"/>
    <x v="0"/>
    <x v="3"/>
    <n v="66"/>
    <n v="208231.73071652642"/>
    <n v="312048"/>
    <n v="2129446"/>
    <n v="0.66730673074823876"/>
  </r>
  <r>
    <x v="0"/>
    <x v="2"/>
    <x v="0"/>
    <x v="4"/>
    <n v="216"/>
    <n v="332393.19201521645"/>
    <n v="312048"/>
    <n v="2129446"/>
    <n v="1.065198918163925"/>
  </r>
  <r>
    <x v="0"/>
    <x v="2"/>
    <x v="1"/>
    <x v="0"/>
    <n v="38125"/>
    <n v="17659622.734188288"/>
    <n v="359810"/>
    <n v="3355792"/>
    <n v="49.08041114529415"/>
  </r>
  <r>
    <x v="0"/>
    <x v="2"/>
    <x v="1"/>
    <x v="1"/>
    <n v="20303"/>
    <n v="141728757.73517442"/>
    <n v="359810"/>
    <n v="3355792"/>
    <n v="393.89888478689983"/>
  </r>
  <r>
    <x v="0"/>
    <x v="2"/>
    <x v="1"/>
    <x v="2"/>
    <n v="4004"/>
    <n v="9236375.7404713426"/>
    <n v="359810"/>
    <n v="3355792"/>
    <n v="25.67014741244363"/>
  </r>
  <r>
    <x v="0"/>
    <x v="2"/>
    <x v="1"/>
    <x v="3"/>
    <n v="175"/>
    <n v="706932.13971158117"/>
    <n v="359810"/>
    <n v="3355792"/>
    <n v="1.964737332791143"/>
  </r>
  <r>
    <x v="0"/>
    <x v="2"/>
    <x v="1"/>
    <x v="4"/>
    <n v="355"/>
    <n v="313313.06460143271"/>
    <n v="359810"/>
    <n v="3355792"/>
    <n v="0.87077364331572971"/>
  </r>
  <r>
    <x v="0"/>
    <x v="2"/>
    <x v="2"/>
    <x v="0"/>
    <n v="59310"/>
    <n v="24756220.875469353"/>
    <n v="454685"/>
    <n v="5671215"/>
    <n v="54.44697070602583"/>
  </r>
  <r>
    <x v="0"/>
    <x v="2"/>
    <x v="2"/>
    <x v="1"/>
    <n v="40697"/>
    <n v="289078946.73123938"/>
    <n v="454685"/>
    <n v="5671215"/>
    <n v="635.77849880959207"/>
  </r>
  <r>
    <x v="0"/>
    <x v="2"/>
    <x v="2"/>
    <x v="2"/>
    <n v="16096"/>
    <n v="22682992.238478824"/>
    <n v="454685"/>
    <n v="5671215"/>
    <n v="49.887267533520621"/>
  </r>
  <r>
    <x v="0"/>
    <x v="2"/>
    <x v="2"/>
    <x v="3"/>
    <n v="572"/>
    <n v="961836.71298602736"/>
    <n v="454685"/>
    <n v="5671215"/>
    <n v="2.1153913434268281"/>
  </r>
  <r>
    <x v="0"/>
    <x v="2"/>
    <x v="2"/>
    <x v="4"/>
    <n v="808"/>
    <n v="539449.77218683623"/>
    <n v="454685"/>
    <n v="5671215"/>
    <n v="1.1864252662542996"/>
  </r>
  <r>
    <x v="0"/>
    <x v="2"/>
    <x v="3"/>
    <x v="1"/>
    <n v="81439"/>
    <n v="533316526.18149829"/>
    <n v="576356"/>
    <n v="9759288"/>
    <n v="925.32484468192968"/>
  </r>
  <r>
    <x v="0"/>
    <x v="2"/>
    <x v="3"/>
    <x v="0"/>
    <n v="80811"/>
    <n v="33710030.534383245"/>
    <n v="576356"/>
    <n v="9759288"/>
    <n v="58.488209603757475"/>
  </r>
  <r>
    <x v="0"/>
    <x v="2"/>
    <x v="3"/>
    <x v="2"/>
    <n v="59391"/>
    <n v="56867468.940003954"/>
    <n v="576356"/>
    <n v="9759288"/>
    <n v="98.667262837558653"/>
  </r>
  <r>
    <x v="0"/>
    <x v="2"/>
    <x v="3"/>
    <x v="3"/>
    <n v="965"/>
    <n v="1880546.9672370641"/>
    <n v="576356"/>
    <n v="9759288"/>
    <n v="3.2628218795970967"/>
  </r>
  <r>
    <x v="0"/>
    <x v="2"/>
    <x v="3"/>
    <x v="4"/>
    <n v="1925"/>
    <n v="1508083.6917299272"/>
    <n v="576356"/>
    <n v="9759288"/>
    <n v="2.61658365963038"/>
  </r>
  <r>
    <x v="0"/>
    <x v="3"/>
    <x v="0"/>
    <x v="1"/>
    <n v="105458"/>
    <n v="665391395.71547794"/>
    <n v="635338"/>
    <n v="11047696"/>
    <n v="1047.3030036224466"/>
  </r>
  <r>
    <x v="0"/>
    <x v="3"/>
    <x v="0"/>
    <x v="0"/>
    <n v="84119"/>
    <n v="37160922.865069963"/>
    <n v="635338"/>
    <n v="11047696"/>
    <n v="58.490005107627695"/>
  </r>
  <r>
    <x v="0"/>
    <x v="3"/>
    <x v="0"/>
    <x v="2"/>
    <n v="53090"/>
    <n v="78606979.057514578"/>
    <n v="635338"/>
    <n v="11047696"/>
    <n v="123.72466160927661"/>
  </r>
  <r>
    <x v="0"/>
    <x v="3"/>
    <x v="0"/>
    <x v="3"/>
    <n v="884"/>
    <n v="1469351.0852598653"/>
    <n v="635338"/>
    <n v="11047696"/>
    <n v="2.3127077008771164"/>
  </r>
  <r>
    <x v="0"/>
    <x v="3"/>
    <x v="0"/>
    <x v="4"/>
    <n v="1201"/>
    <n v="1077918.6664332279"/>
    <n v="635338"/>
    <n v="11047696"/>
    <n v="1.6966066352606455"/>
  </r>
  <r>
    <x v="0"/>
    <x v="3"/>
    <x v="1"/>
    <x v="1"/>
    <n v="132772"/>
    <n v="748382044.77073073"/>
    <n v="683045"/>
    <n v="24730453"/>
    <n v="1095.6555494451036"/>
  </r>
  <r>
    <x v="0"/>
    <x v="3"/>
    <x v="1"/>
    <x v="0"/>
    <n v="120911"/>
    <n v="43691961.262751207"/>
    <n v="683045"/>
    <n v="24730453"/>
    <n v="63.966446226458295"/>
  </r>
  <r>
    <x v="0"/>
    <x v="3"/>
    <x v="1"/>
    <x v="2"/>
    <n v="85143"/>
    <n v="103707408.50908463"/>
    <n v="683045"/>
    <n v="24730453"/>
    <n v="151.83100455912074"/>
  </r>
  <r>
    <x v="0"/>
    <x v="3"/>
    <x v="1"/>
    <x v="3"/>
    <n v="960"/>
    <n v="2038521.5136710338"/>
    <n v="683045"/>
    <n v="24730453"/>
    <n v="2.9844615123030458"/>
  </r>
  <r>
    <x v="0"/>
    <x v="3"/>
    <x v="1"/>
    <x v="4"/>
    <n v="1628"/>
    <n v="1327080.0560584562"/>
    <n v="683045"/>
    <n v="24730453"/>
    <n v="1.9428881787560939"/>
  </r>
  <r>
    <x v="0"/>
    <x v="3"/>
    <x v="2"/>
    <x v="1"/>
    <n v="192321"/>
    <n v="1077787837.1562996"/>
    <n v="736802"/>
    <n v="34337875"/>
    <n v="1462.79168237369"/>
  </r>
  <r>
    <x v="0"/>
    <x v="3"/>
    <x v="2"/>
    <x v="0"/>
    <n v="136010"/>
    <n v="51243450.859250553"/>
    <n v="736802"/>
    <n v="34337875"/>
    <n v="69.54846873278106"/>
  </r>
  <r>
    <x v="0"/>
    <x v="3"/>
    <x v="2"/>
    <x v="2"/>
    <n v="118340"/>
    <n v="176991328.21761328"/>
    <n v="736802"/>
    <n v="34337875"/>
    <n v="240.21559145823883"/>
  </r>
  <r>
    <x v="0"/>
    <x v="3"/>
    <x v="2"/>
    <x v="3"/>
    <n v="990"/>
    <n v="2351013.4417295731"/>
    <n v="736802"/>
    <n v="34337875"/>
    <n v="3.1908347720684431"/>
  </r>
  <r>
    <x v="0"/>
    <x v="3"/>
    <x v="2"/>
    <x v="4"/>
    <n v="2103"/>
    <n v="1650766.1267105162"/>
    <n v="736802"/>
    <n v="34337875"/>
    <n v="2.2404474020300111"/>
  </r>
  <r>
    <x v="0"/>
    <x v="3"/>
    <x v="3"/>
    <x v="1"/>
    <n v="285778"/>
    <n v="1544932663.2744582"/>
    <n v="789580"/>
    <n v="23242010"/>
    <n v="1956.6512111178831"/>
  </r>
  <r>
    <x v="0"/>
    <x v="3"/>
    <x v="3"/>
    <x v="2"/>
    <n v="210164"/>
    <n v="322842314.62433755"/>
    <n v="789580"/>
    <n v="23242010"/>
    <n v="408.87853621461733"/>
  </r>
  <r>
    <x v="0"/>
    <x v="3"/>
    <x v="3"/>
    <x v="0"/>
    <n v="135608"/>
    <n v="59243518.114643581"/>
    <n v="789580"/>
    <n v="23242010"/>
    <n v="75.031685344922082"/>
  </r>
  <r>
    <x v="0"/>
    <x v="3"/>
    <x v="3"/>
    <x v="3"/>
    <n v="1718"/>
    <n v="3137965.1674740678"/>
    <n v="789580"/>
    <n v="23242010"/>
    <n v="3.9742206837484075"/>
  </r>
  <r>
    <x v="0"/>
    <x v="3"/>
    <x v="3"/>
    <x v="4"/>
    <n v="2855"/>
    <n v="2453640.1427439442"/>
    <n v="789580"/>
    <n v="23242010"/>
    <n v="3.1075257006813044"/>
  </r>
  <r>
    <x v="1"/>
    <x v="0"/>
    <x v="0"/>
    <x v="0"/>
    <n v="5027448"/>
    <n v="892293975.66985619"/>
    <n v="36700950"/>
    <n v="0"/>
    <n v="24.312558003807972"/>
  </r>
  <r>
    <x v="1"/>
    <x v="0"/>
    <x v="0"/>
    <x v="1"/>
    <n v="3049646"/>
    <n v="10524250283.178782"/>
    <n v="36700950"/>
    <n v="0"/>
    <n v="286.75689003087882"/>
  </r>
  <r>
    <x v="1"/>
    <x v="0"/>
    <x v="0"/>
    <x v="2"/>
    <n v="362672"/>
    <n v="247297640.24000686"/>
    <n v="36700950"/>
    <n v="0"/>
    <n v="6.7381808983148082"/>
  </r>
  <r>
    <x v="1"/>
    <x v="0"/>
    <x v="0"/>
    <x v="3"/>
    <n v="204305"/>
    <n v="44808449.763954401"/>
    <n v="36700950"/>
    <n v="0"/>
    <n v="1.2209070818045418"/>
  </r>
  <r>
    <x v="1"/>
    <x v="0"/>
    <x v="0"/>
    <x v="4"/>
    <n v="395514"/>
    <n v="287626042.97070497"/>
    <n v="36700950"/>
    <n v="0"/>
    <n v="7.8370190136959659"/>
  </r>
  <r>
    <x v="1"/>
    <x v="0"/>
    <x v="1"/>
    <x v="0"/>
    <n v="6456387"/>
    <n v="1598591488.4880352"/>
    <n v="48427940"/>
    <n v="0"/>
    <n v="33.009694165971858"/>
  </r>
  <r>
    <x v="1"/>
    <x v="0"/>
    <x v="1"/>
    <x v="1"/>
    <n v="4745000"/>
    <n v="20451493098.895302"/>
    <n v="48427940"/>
    <n v="0"/>
    <n v="422.30772357641689"/>
  </r>
  <r>
    <x v="1"/>
    <x v="0"/>
    <x v="1"/>
    <x v="2"/>
    <n v="604847"/>
    <n v="436785223.86032957"/>
    <n v="48427940"/>
    <n v="0"/>
    <n v="9.0192815110518758"/>
  </r>
  <r>
    <x v="1"/>
    <x v="0"/>
    <x v="1"/>
    <x v="3"/>
    <n v="225621"/>
    <n v="68952114.81374599"/>
    <n v="48427940"/>
    <n v="0"/>
    <n v="1.4238085455162039"/>
  </r>
  <r>
    <x v="1"/>
    <x v="0"/>
    <x v="1"/>
    <x v="4"/>
    <n v="322063"/>
    <n v="328092346.57565099"/>
    <n v="48427940"/>
    <n v="0"/>
    <n v="6.7748565513141994"/>
  </r>
  <r>
    <x v="1"/>
    <x v="0"/>
    <x v="2"/>
    <x v="1"/>
    <n v="16129591"/>
    <n v="32738630444.668724"/>
    <n v="59703787"/>
    <n v="0"/>
    <n v="548.35098558603534"/>
  </r>
  <r>
    <x v="1"/>
    <x v="0"/>
    <x v="2"/>
    <x v="0"/>
    <n v="7542005"/>
    <n v="1949098146.8941927"/>
    <n v="59703787"/>
    <n v="0"/>
    <n v="32.646139295890777"/>
  </r>
  <r>
    <x v="1"/>
    <x v="0"/>
    <x v="2"/>
    <x v="2"/>
    <n v="1225416"/>
    <n v="685277254.50762117"/>
    <n v="59703787"/>
    <n v="0"/>
    <n v="11.477952889447719"/>
  </r>
  <r>
    <x v="1"/>
    <x v="0"/>
    <x v="2"/>
    <x v="3"/>
    <n v="380324"/>
    <n v="60790077.574373081"/>
    <n v="59703787"/>
    <n v="0"/>
    <n v="1.0181946678587253"/>
  </r>
  <r>
    <x v="1"/>
    <x v="0"/>
    <x v="2"/>
    <x v="4"/>
    <n v="348725"/>
    <n v="284248675.5700202"/>
    <n v="59703787"/>
    <n v="0"/>
    <n v="4.760982340534281"/>
  </r>
  <r>
    <x v="1"/>
    <x v="0"/>
    <x v="3"/>
    <x v="1"/>
    <n v="17580086"/>
    <n v="47011639726.136078"/>
    <n v="75431499"/>
    <n v="0"/>
    <n v="623.23618580264565"/>
  </r>
  <r>
    <x v="1"/>
    <x v="0"/>
    <x v="3"/>
    <x v="0"/>
    <n v="9767083"/>
    <n v="2418164314.4709568"/>
    <n v="75431499"/>
    <n v="0"/>
    <n v="32.057752351851803"/>
  </r>
  <r>
    <x v="1"/>
    <x v="0"/>
    <x v="3"/>
    <x v="2"/>
    <n v="2622131"/>
    <n v="1671585888.5682559"/>
    <n v="75431499"/>
    <n v="0"/>
    <n v="22.160316455705804"/>
  </r>
  <r>
    <x v="1"/>
    <x v="0"/>
    <x v="3"/>
    <x v="3"/>
    <n v="400837"/>
    <n v="57178116.403220683"/>
    <n v="75431499"/>
    <n v="0"/>
    <n v="0.75801378948097908"/>
  </r>
  <r>
    <x v="1"/>
    <x v="0"/>
    <x v="3"/>
    <x v="4"/>
    <n v="389411"/>
    <n v="315211361.26249415"/>
    <n v="75431499"/>
    <n v="0"/>
    <n v="4.1787763128304549"/>
  </r>
  <r>
    <x v="1"/>
    <x v="1"/>
    <x v="0"/>
    <x v="1"/>
    <n v="37420988"/>
    <n v="77524329742.259506"/>
    <n v="91113209"/>
    <n v="0"/>
    <n v="850.85719834826045"/>
  </r>
  <r>
    <x v="1"/>
    <x v="1"/>
    <x v="0"/>
    <x v="0"/>
    <n v="14022264"/>
    <n v="3480641602.3771377"/>
    <n v="91113209"/>
    <n v="0"/>
    <n v="38.201284320664612"/>
  </r>
  <r>
    <x v="1"/>
    <x v="1"/>
    <x v="0"/>
    <x v="2"/>
    <n v="5043682"/>
    <n v="2423536770.3706346"/>
    <n v="91113209"/>
    <n v="0"/>
    <n v="26.599181358771311"/>
  </r>
  <r>
    <x v="1"/>
    <x v="1"/>
    <x v="0"/>
    <x v="3"/>
    <n v="416325"/>
    <n v="47150177.529820479"/>
    <n v="91113209"/>
    <n v="0"/>
    <n v="0.51749003297447771"/>
  </r>
  <r>
    <x v="1"/>
    <x v="1"/>
    <x v="0"/>
    <x v="4"/>
    <n v="361263"/>
    <n v="284937624.53930187"/>
    <n v="91113209"/>
    <n v="0"/>
    <n v="3.1272921639638649"/>
  </r>
  <r>
    <x v="1"/>
    <x v="1"/>
    <x v="1"/>
    <x v="1"/>
    <n v="32494402"/>
    <n v="103924649232.47021"/>
    <n v="103279033"/>
    <n v="895127761"/>
    <n v="1006.2511839404056"/>
  </r>
  <r>
    <x v="1"/>
    <x v="1"/>
    <x v="1"/>
    <x v="0"/>
    <n v="14093964"/>
    <n v="4708345387.9101095"/>
    <n v="103279033"/>
    <n v="895127761"/>
    <n v="45.588589001507302"/>
  </r>
  <r>
    <x v="1"/>
    <x v="1"/>
    <x v="1"/>
    <x v="2"/>
    <n v="9226537"/>
    <n v="4613405202.6819592"/>
    <n v="103279033"/>
    <n v="895127761"/>
    <n v="44.66932995666177"/>
  </r>
  <r>
    <x v="1"/>
    <x v="1"/>
    <x v="1"/>
    <x v="3"/>
    <n v="145310"/>
    <n v="26626696.771042537"/>
    <n v="103279033"/>
    <n v="895127761"/>
    <n v="0.25781318819128118"/>
  </r>
  <r>
    <x v="1"/>
    <x v="1"/>
    <x v="1"/>
    <x v="4"/>
    <n v="448802"/>
    <n v="361492238.39664549"/>
    <n v="103279033"/>
    <n v="895127761"/>
    <n v="3.5001512688121847"/>
  </r>
  <r>
    <x v="1"/>
    <x v="1"/>
    <x v="2"/>
    <x v="1"/>
    <n v="39023491"/>
    <n v="124338645329.51532"/>
    <n v="115045623"/>
    <n v="3420488962"/>
    <n v="1080.776843891882"/>
  </r>
  <r>
    <x v="1"/>
    <x v="1"/>
    <x v="2"/>
    <x v="0"/>
    <n v="20147629"/>
    <n v="6893984676.5989056"/>
    <n v="115045623"/>
    <n v="3420488962"/>
    <n v="59.923919718344308"/>
  </r>
  <r>
    <x v="1"/>
    <x v="1"/>
    <x v="2"/>
    <x v="2"/>
    <n v="16581787"/>
    <n v="7887394038.0663691"/>
    <n v="115045623"/>
    <n v="3420488962"/>
    <n v="68.558836332837885"/>
  </r>
  <r>
    <x v="1"/>
    <x v="1"/>
    <x v="2"/>
    <x v="3"/>
    <n v="122270"/>
    <n v="29778183.027080443"/>
    <n v="115045623"/>
    <n v="3420488962"/>
    <n v="0.2588380352990956"/>
  </r>
  <r>
    <x v="1"/>
    <x v="1"/>
    <x v="2"/>
    <x v="4"/>
    <n v="413437"/>
    <n v="298142027.58625776"/>
    <n v="115045623"/>
    <n v="3420488962"/>
    <n v="2.5915112614606621"/>
  </r>
  <r>
    <x v="1"/>
    <x v="1"/>
    <x v="3"/>
    <x v="1"/>
    <n v="57181511"/>
    <n v="178893550050.68753"/>
    <n v="129336713"/>
    <n v="4523216698"/>
    <n v="1383.1614079344008"/>
  </r>
  <r>
    <x v="1"/>
    <x v="1"/>
    <x v="3"/>
    <x v="2"/>
    <n v="25122370"/>
    <n v="13476303367.50486"/>
    <n v="129336713"/>
    <n v="4523216698"/>
    <n v="104.19549913491971"/>
  </r>
  <r>
    <x v="1"/>
    <x v="1"/>
    <x v="3"/>
    <x v="0"/>
    <n v="24469888"/>
    <n v="8335168605.6919994"/>
    <n v="129336713"/>
    <n v="4523216698"/>
    <n v="64.445495887095873"/>
  </r>
  <r>
    <x v="1"/>
    <x v="1"/>
    <x v="3"/>
    <x v="3"/>
    <n v="105662"/>
    <n v="26796571.745749153"/>
    <n v="129336713"/>
    <n v="4523216698"/>
    <n v="0.2071845736929247"/>
  </r>
  <r>
    <x v="1"/>
    <x v="1"/>
    <x v="3"/>
    <x v="4"/>
    <n v="338672"/>
    <n v="216496893.16102877"/>
    <n v="129336713"/>
    <n v="4523216698"/>
    <n v="1.673901308757002"/>
  </r>
  <r>
    <x v="1"/>
    <x v="2"/>
    <x v="0"/>
    <x v="1"/>
    <n v="65452143"/>
    <n v="223088554055.04755"/>
    <n v="143242660"/>
    <n v="5351651503"/>
    <n v="1557.4170017161616"/>
  </r>
  <r>
    <x v="1"/>
    <x v="2"/>
    <x v="0"/>
    <x v="2"/>
    <n v="31408022"/>
    <n v="18603161784.496994"/>
    <n v="143242660"/>
    <n v="5351651503"/>
    <n v="129.87165823712709"/>
  </r>
  <r>
    <x v="1"/>
    <x v="2"/>
    <x v="0"/>
    <x v="0"/>
    <n v="30449644"/>
    <n v="10813530777.973532"/>
    <n v="143242660"/>
    <n v="5351651503"/>
    <n v="75.490993939749032"/>
  </r>
  <r>
    <x v="1"/>
    <x v="2"/>
    <x v="0"/>
    <x v="3"/>
    <n v="75238"/>
    <n v="43739133.169823855"/>
    <n v="143242660"/>
    <n v="5351651503"/>
    <n v="0.30534990881783303"/>
  </r>
  <r>
    <x v="1"/>
    <x v="2"/>
    <x v="0"/>
    <x v="4"/>
    <n v="292310"/>
    <n v="188228538.37489766"/>
    <n v="143242660"/>
    <n v="5351651503"/>
    <n v="1.3140536371978686"/>
  </r>
  <r>
    <x v="1"/>
    <x v="2"/>
    <x v="1"/>
    <x v="1"/>
    <n v="73609921"/>
    <n v="262731724130.79071"/>
    <n v="157516425"/>
    <n v="5437758678"/>
    <n v="1667.9639861734465"/>
  </r>
  <r>
    <x v="1"/>
    <x v="2"/>
    <x v="1"/>
    <x v="0"/>
    <n v="41013987"/>
    <n v="16991006436.573467"/>
    <n v="157516425"/>
    <n v="5437758678"/>
    <n v="107.8681568387136"/>
  </r>
  <r>
    <x v="1"/>
    <x v="2"/>
    <x v="1"/>
    <x v="2"/>
    <n v="29976765"/>
    <n v="22625596525.442692"/>
    <n v="157516425"/>
    <n v="5437758678"/>
    <n v="143.63960155547392"/>
  </r>
  <r>
    <x v="1"/>
    <x v="2"/>
    <x v="1"/>
    <x v="3"/>
    <n v="140941"/>
    <n v="145274999.15679634"/>
    <n v="157516425"/>
    <n v="5437758678"/>
    <n v="0.92228476590169139"/>
  </r>
  <r>
    <x v="1"/>
    <x v="2"/>
    <x v="1"/>
    <x v="4"/>
    <n v="176241"/>
    <n v="90087654.600099787"/>
    <n v="157516425"/>
    <n v="5437758678"/>
    <n v="0.57192546491643514"/>
  </r>
  <r>
    <x v="1"/>
    <x v="2"/>
    <x v="2"/>
    <x v="1"/>
    <n v="106791894"/>
    <n v="406461788252.32056"/>
    <n v="172616455"/>
    <n v="7659304202"/>
    <n v="2354.710553245463"/>
  </r>
  <r>
    <x v="1"/>
    <x v="2"/>
    <x v="2"/>
    <x v="2"/>
    <n v="54055557"/>
    <n v="40739580213.860519"/>
    <n v="172616455"/>
    <n v="7659304202"/>
    <n v="236.01214735791277"/>
  </r>
  <r>
    <x v="1"/>
    <x v="2"/>
    <x v="2"/>
    <x v="0"/>
    <n v="43500067"/>
    <n v="19475104674.827175"/>
    <n v="172616455"/>
    <n v="7659304202"/>
    <n v="112.82299057078409"/>
  </r>
  <r>
    <x v="1"/>
    <x v="2"/>
    <x v="2"/>
    <x v="3"/>
    <n v="243088"/>
    <n v="256074924.71875289"/>
    <n v="172616455"/>
    <n v="7659304202"/>
    <n v="1.4834908104140645"/>
  </r>
  <r>
    <x v="1"/>
    <x v="2"/>
    <x v="2"/>
    <x v="4"/>
    <n v="312329"/>
    <n v="151582519.18136686"/>
    <n v="172616455"/>
    <n v="7659304202"/>
    <n v="0.87814640372128405"/>
  </r>
  <r>
    <x v="1"/>
    <x v="2"/>
    <x v="3"/>
    <x v="1"/>
    <n v="152003791"/>
    <n v="566639138543.77075"/>
    <n v="187842215"/>
    <n v="9559863918"/>
    <n v="3016.569723391362"/>
  </r>
  <r>
    <x v="1"/>
    <x v="2"/>
    <x v="3"/>
    <x v="2"/>
    <n v="86581460"/>
    <n v="66654048149.951683"/>
    <n v="187842215"/>
    <n v="9559863918"/>
    <n v="354.84062062381281"/>
  </r>
  <r>
    <x v="1"/>
    <x v="2"/>
    <x v="3"/>
    <x v="0"/>
    <n v="46810304"/>
    <n v="20936337211.557747"/>
    <n v="187842215"/>
    <n v="9559863918"/>
    <n v="111.45703968385247"/>
  </r>
  <r>
    <x v="1"/>
    <x v="2"/>
    <x v="3"/>
    <x v="3"/>
    <n v="265470"/>
    <n v="305168772.45601684"/>
    <n v="187842215"/>
    <n v="9559863918"/>
    <n v="1.6246016501456653"/>
  </r>
  <r>
    <x v="1"/>
    <x v="2"/>
    <x v="3"/>
    <x v="4"/>
    <n v="457527"/>
    <n v="306853355.59473807"/>
    <n v="187842215"/>
    <n v="9559863918"/>
    <n v="1.6335697254993402"/>
  </r>
  <r>
    <x v="1"/>
    <x v="3"/>
    <x v="0"/>
    <x v="1"/>
    <n v="149313738"/>
    <n v="580542193013.00183"/>
    <n v="202001063"/>
    <n v="10534803917"/>
    <n v="2873.9561287011734"/>
  </r>
  <r>
    <x v="1"/>
    <x v="3"/>
    <x v="0"/>
    <x v="2"/>
    <n v="97920281"/>
    <n v="70813192713.434769"/>
    <n v="202001063"/>
    <n v="10534803917"/>
    <n v="350.55851519669858"/>
  </r>
  <r>
    <x v="1"/>
    <x v="3"/>
    <x v="0"/>
    <x v="0"/>
    <n v="41940689"/>
    <n v="20546424964.144821"/>
    <n v="202001063"/>
    <n v="10534803917"/>
    <n v="101.71443981037278"/>
  </r>
  <r>
    <x v="1"/>
    <x v="3"/>
    <x v="0"/>
    <x v="3"/>
    <n v="225355"/>
    <n v="270313028.48452014"/>
    <n v="202001063"/>
    <n v="10534803917"/>
    <n v="1.3381762673423165"/>
  </r>
  <r>
    <x v="1"/>
    <x v="3"/>
    <x v="0"/>
    <x v="4"/>
    <n v="347907"/>
    <n v="272546457.5502677"/>
    <n v="202001063"/>
    <n v="10534803917"/>
    <n v="1.3492327886921451"/>
  </r>
  <r>
    <x v="1"/>
    <x v="3"/>
    <x v="1"/>
    <x v="1"/>
    <n v="189614879"/>
    <n v="737004484057.43896"/>
    <n v="215829955"/>
    <n v="11491759796"/>
    <n v="3414.7460395728617"/>
  </r>
  <r>
    <x v="1"/>
    <x v="3"/>
    <x v="1"/>
    <x v="2"/>
    <n v="112875274"/>
    <n v="88512429436.912476"/>
    <n v="215829955"/>
    <n v="11491759796"/>
    <n v="410.10261729847684"/>
  </r>
  <r>
    <x v="1"/>
    <x v="3"/>
    <x v="1"/>
    <x v="0"/>
    <n v="49626902"/>
    <n v="24646800345.106976"/>
    <n v="215829955"/>
    <n v="11491759796"/>
    <n v="114.19545699811212"/>
  </r>
  <r>
    <x v="1"/>
    <x v="3"/>
    <x v="1"/>
    <x v="3"/>
    <n v="243237"/>
    <n v="265483044.40124667"/>
    <n v="215829955"/>
    <n v="11491759796"/>
    <n v="1.2300565248287554"/>
  </r>
  <r>
    <x v="1"/>
    <x v="3"/>
    <x v="1"/>
    <x v="4"/>
    <n v="406842"/>
    <n v="308302224.38560069"/>
    <n v="215829955"/>
    <n v="11491759796"/>
    <n v="1.4284496532726456"/>
  </r>
  <r>
    <x v="1"/>
    <x v="3"/>
    <x v="2"/>
    <x v="1"/>
    <n v="221280317"/>
    <n v="837841124664.30701"/>
    <n v="231658878"/>
    <n v="13843905669"/>
    <n v="3616.7019882756535"/>
  </r>
  <r>
    <x v="1"/>
    <x v="3"/>
    <x v="2"/>
    <x v="2"/>
    <n v="158290953"/>
    <n v="118164377968.16754"/>
    <n v="231658878"/>
    <n v="13843905669"/>
    <n v="510.07921210845001"/>
  </r>
  <r>
    <x v="1"/>
    <x v="3"/>
    <x v="2"/>
    <x v="0"/>
    <n v="51702350"/>
    <n v="27511344958.24361"/>
    <n v="231658878"/>
    <n v="13843905669"/>
    <n v="118.75799967503775"/>
  </r>
  <r>
    <x v="1"/>
    <x v="3"/>
    <x v="2"/>
    <x v="3"/>
    <n v="211171"/>
    <n v="297239697.83073866"/>
    <n v="231658878"/>
    <n v="13843905669"/>
    <n v="1.2830921931286341"/>
  </r>
  <r>
    <x v="1"/>
    <x v="3"/>
    <x v="2"/>
    <x v="4"/>
    <n v="547759"/>
    <n v="403948275.56756073"/>
    <n v="231658878"/>
    <n v="13843905669"/>
    <n v="1.7437202452804796"/>
  </r>
  <r>
    <x v="1"/>
    <x v="3"/>
    <x v="3"/>
    <x v="1"/>
    <n v="262006450"/>
    <n v="971269765249.12817"/>
    <n v="247379319"/>
    <n v="15924893611"/>
    <n v="3926.2367168580013"/>
  </r>
  <r>
    <x v="1"/>
    <x v="3"/>
    <x v="3"/>
    <x v="2"/>
    <n v="207538904"/>
    <n v="152883933596.5386"/>
    <n v="247379319"/>
    <n v="15924893611"/>
    <n v="618.01420674352573"/>
  </r>
  <r>
    <x v="1"/>
    <x v="3"/>
    <x v="3"/>
    <x v="0"/>
    <n v="51762842"/>
    <n v="31232784713.985794"/>
    <n v="247379319"/>
    <n v="15924893611"/>
    <n v="126.25463130968436"/>
  </r>
  <r>
    <x v="1"/>
    <x v="3"/>
    <x v="3"/>
    <x v="3"/>
    <n v="243951"/>
    <n v="332740108.66358811"/>
    <n v="247379319"/>
    <n v="15924893611"/>
    <n v="1.3450603308661713"/>
  </r>
  <r>
    <x v="1"/>
    <x v="3"/>
    <x v="3"/>
    <x v="4"/>
    <n v="701856"/>
    <n v="545223415.66388321"/>
    <n v="247379319"/>
    <n v="15924893611"/>
    <n v="2.2039975607818825"/>
  </r>
  <r>
    <x v="2"/>
    <x v="0"/>
    <x v="0"/>
    <x v="0"/>
    <n v="28729"/>
    <n v="5184132.5149343377"/>
    <n v="236445"/>
    <n v="0"/>
    <n v="21.925320962314018"/>
  </r>
  <r>
    <x v="2"/>
    <x v="0"/>
    <x v="0"/>
    <x v="1"/>
    <n v="13320"/>
    <n v="82889682.724183053"/>
    <n v="236445"/>
    <n v="0"/>
    <n v="350.56644346119839"/>
  </r>
  <r>
    <x v="2"/>
    <x v="0"/>
    <x v="0"/>
    <x v="2"/>
    <n v="1042"/>
    <n v="2420374.1905855755"/>
    <n v="236445"/>
    <n v="0"/>
    <n v="10.236520927004486"/>
  </r>
  <r>
    <x v="2"/>
    <x v="0"/>
    <x v="0"/>
    <x v="3"/>
    <n v="416"/>
    <n v="58893.762015330882"/>
    <n v="236445"/>
    <n v="0"/>
    <n v="0.24908017515841266"/>
  </r>
  <r>
    <x v="2"/>
    <x v="0"/>
    <x v="0"/>
    <x v="4"/>
    <n v="1990"/>
    <n v="1834252.8176908877"/>
    <n v="236445"/>
    <n v="0"/>
    <n v="7.7576299676072145"/>
  </r>
  <r>
    <x v="2"/>
    <x v="0"/>
    <x v="1"/>
    <x v="0"/>
    <n v="50700"/>
    <n v="10468878.537107183"/>
    <n v="361713"/>
    <n v="0"/>
    <n v="28.942500095675804"/>
  </r>
  <r>
    <x v="2"/>
    <x v="0"/>
    <x v="1"/>
    <x v="1"/>
    <n v="26477"/>
    <n v="181576281.19464755"/>
    <n v="361713"/>
    <n v="0"/>
    <n v="501.98992348809014"/>
  </r>
  <r>
    <x v="2"/>
    <x v="0"/>
    <x v="1"/>
    <x v="2"/>
    <n v="2378"/>
    <n v="4718953.4395610113"/>
    <n v="361713"/>
    <n v="0"/>
    <n v="13.046126181699334"/>
  </r>
  <r>
    <x v="2"/>
    <x v="0"/>
    <x v="1"/>
    <x v="3"/>
    <n v="559"/>
    <n v="363761.80159549194"/>
    <n v="361713"/>
    <n v="0"/>
    <n v="1.0056641635647376"/>
  </r>
  <r>
    <x v="2"/>
    <x v="0"/>
    <x v="1"/>
    <x v="4"/>
    <n v="2043"/>
    <n v="1842317.3691352482"/>
    <n v="361713"/>
    <n v="0"/>
    <n v="5.0933125686255352"/>
  </r>
  <r>
    <x v="2"/>
    <x v="0"/>
    <x v="2"/>
    <x v="0"/>
    <n v="74122"/>
    <n v="15997565.906016497"/>
    <n v="505142"/>
    <n v="0"/>
    <n v="31.669443257572123"/>
  </r>
  <r>
    <x v="2"/>
    <x v="0"/>
    <x v="2"/>
    <x v="1"/>
    <n v="49740"/>
    <n v="308106303.45342577"/>
    <n v="505142"/>
    <n v="0"/>
    <n v="609.93998411026155"/>
  </r>
  <r>
    <x v="2"/>
    <x v="0"/>
    <x v="2"/>
    <x v="2"/>
    <n v="4738"/>
    <n v="5505694.5679134289"/>
    <n v="505142"/>
    <n v="0"/>
    <n v="10.899300727148859"/>
  </r>
  <r>
    <x v="2"/>
    <x v="0"/>
    <x v="2"/>
    <x v="3"/>
    <n v="507"/>
    <n v="72133.845254878004"/>
    <n v="505142"/>
    <n v="0"/>
    <n v="0.14279914411171116"/>
  </r>
  <r>
    <x v="2"/>
    <x v="0"/>
    <x v="2"/>
    <x v="4"/>
    <n v="2039"/>
    <n v="2044708.9687807972"/>
    <n v="505142"/>
    <n v="0"/>
    <n v="4.0477904604661603"/>
  </r>
  <r>
    <x v="2"/>
    <x v="0"/>
    <x v="3"/>
    <x v="0"/>
    <n v="97751"/>
    <n v="20662691.882313278"/>
    <n v="680372"/>
    <n v="0"/>
    <n v="30.369697580607781"/>
  </r>
  <r>
    <x v="2"/>
    <x v="0"/>
    <x v="3"/>
    <x v="1"/>
    <n v="68169"/>
    <n v="468831493.23280358"/>
    <n v="680372"/>
    <n v="0"/>
    <n v="689.08111038197274"/>
  </r>
  <r>
    <x v="2"/>
    <x v="0"/>
    <x v="3"/>
    <x v="2"/>
    <n v="7726"/>
    <n v="11998974.1040326"/>
    <n v="680372"/>
    <n v="0"/>
    <n v="17.635902277037562"/>
  </r>
  <r>
    <x v="2"/>
    <x v="0"/>
    <x v="3"/>
    <x v="3"/>
    <n v="561"/>
    <n v="100597.90379906222"/>
    <n v="680372"/>
    <n v="0"/>
    <n v="0.14785720723231147"/>
  </r>
  <r>
    <x v="2"/>
    <x v="0"/>
    <x v="3"/>
    <x v="4"/>
    <n v="2222"/>
    <n v="2446271.9688117937"/>
    <n v="680372"/>
    <n v="0"/>
    <n v="3.5954918321327063"/>
  </r>
  <r>
    <x v="2"/>
    <x v="1"/>
    <x v="0"/>
    <x v="0"/>
    <n v="121303"/>
    <n v="26796894.998233315"/>
    <n v="846527"/>
    <n v="0"/>
    <n v="31.6550978270431"/>
  </r>
  <r>
    <x v="2"/>
    <x v="1"/>
    <x v="0"/>
    <x v="1"/>
    <n v="93494"/>
    <n v="568554821.44563174"/>
    <n v="846527"/>
    <n v="0"/>
    <n v="671.6322355289692"/>
  </r>
  <r>
    <x v="2"/>
    <x v="1"/>
    <x v="0"/>
    <x v="2"/>
    <n v="9214"/>
    <n v="11727218.401334248"/>
    <n v="846527"/>
    <n v="0"/>
    <n v="13.853330610050534"/>
  </r>
  <r>
    <x v="2"/>
    <x v="1"/>
    <x v="0"/>
    <x v="3"/>
    <n v="256"/>
    <n v="140622.87093631705"/>
    <n v="846527"/>
    <n v="0"/>
    <n v="0.16611740787513812"/>
  </r>
  <r>
    <x v="2"/>
    <x v="1"/>
    <x v="0"/>
    <x v="4"/>
    <n v="2239"/>
    <n v="2730548.5978140826"/>
    <n v="846527"/>
    <n v="0"/>
    <n v="3.2255894942678527"/>
  </r>
  <r>
    <x v="2"/>
    <x v="1"/>
    <x v="1"/>
    <x v="0"/>
    <n v="131988"/>
    <n v="30420803.412712339"/>
    <n v="1054735"/>
    <n v="5531603"/>
    <n v="28.842129456889491"/>
  </r>
  <r>
    <x v="2"/>
    <x v="1"/>
    <x v="1"/>
    <x v="1"/>
    <n v="106527"/>
    <n v="704237943.40544355"/>
    <n v="1054735"/>
    <n v="5531603"/>
    <n v="667.69183103380806"/>
  </r>
  <r>
    <x v="2"/>
    <x v="1"/>
    <x v="1"/>
    <x v="2"/>
    <n v="16828"/>
    <n v="13955724.130712911"/>
    <n v="1054735"/>
    <n v="5531603"/>
    <n v="13.231498083132646"/>
  </r>
  <r>
    <x v="2"/>
    <x v="1"/>
    <x v="1"/>
    <x v="3"/>
    <n v="267"/>
    <n v="160660.88213627809"/>
    <n v="1054735"/>
    <n v="5531603"/>
    <n v="0.15232345768015482"/>
  </r>
  <r>
    <x v="2"/>
    <x v="1"/>
    <x v="1"/>
    <x v="4"/>
    <n v="3046"/>
    <n v="3880742.5240231371"/>
    <n v="1054735"/>
    <n v="5531603"/>
    <n v="3.6793531304291003"/>
  </r>
  <r>
    <x v="2"/>
    <x v="1"/>
    <x v="2"/>
    <x v="0"/>
    <n v="216228"/>
    <n v="50946104.942898422"/>
    <n v="1233639"/>
    <n v="19928700"/>
    <n v="41.297417593719416"/>
  </r>
  <r>
    <x v="2"/>
    <x v="1"/>
    <x v="2"/>
    <x v="1"/>
    <n v="133484"/>
    <n v="841037395.2474606"/>
    <n v="1233639"/>
    <n v="19928700"/>
    <n v="681.75324811185487"/>
  </r>
  <r>
    <x v="2"/>
    <x v="1"/>
    <x v="2"/>
    <x v="2"/>
    <n v="16900"/>
    <n v="17178248.074270021"/>
    <n v="1233639"/>
    <n v="19928700"/>
    <n v="13.924858142673846"/>
  </r>
  <r>
    <x v="2"/>
    <x v="1"/>
    <x v="2"/>
    <x v="3"/>
    <n v="864"/>
    <n v="64089.113502671949"/>
    <n v="1233639"/>
    <n v="19928700"/>
    <n v="5.1951270592670913E-2"/>
  </r>
  <r>
    <x v="2"/>
    <x v="1"/>
    <x v="2"/>
    <x v="4"/>
    <n v="2758"/>
    <n v="3419197.4177385764"/>
    <n v="1233639"/>
    <n v="19928700"/>
    <n v="2.7716353144952262"/>
  </r>
  <r>
    <x v="2"/>
    <x v="1"/>
    <x v="3"/>
    <x v="0"/>
    <n v="259183"/>
    <n v="63516906.090604328"/>
    <n v="1422531"/>
    <n v="23543740"/>
    <n v="44.650630524469648"/>
  </r>
  <r>
    <x v="2"/>
    <x v="1"/>
    <x v="3"/>
    <x v="1"/>
    <n v="177833"/>
    <n v="1100137447.9340453"/>
    <n v="1422531"/>
    <n v="23543740"/>
    <n v="773.36623801804342"/>
  </r>
  <r>
    <x v="2"/>
    <x v="1"/>
    <x v="3"/>
    <x v="2"/>
    <n v="19769"/>
    <n v="23192271.691576812"/>
    <n v="1422531"/>
    <n v="23543740"/>
    <n v="16.303526384716264"/>
  </r>
  <r>
    <x v="2"/>
    <x v="1"/>
    <x v="3"/>
    <x v="3"/>
    <n v="314"/>
    <n v="305379.7987782319"/>
    <n v="1422531"/>
    <n v="23543740"/>
    <n v="0.21467356337277141"/>
  </r>
  <r>
    <x v="2"/>
    <x v="1"/>
    <x v="3"/>
    <x v="4"/>
    <n v="2376"/>
    <n v="3421174.0122779701"/>
    <n v="1422531"/>
    <n v="23543740"/>
    <n v="2.4049908313266775"/>
  </r>
  <r>
    <x v="2"/>
    <x v="2"/>
    <x v="0"/>
    <x v="0"/>
    <n v="329834"/>
    <n v="86011654.774745822"/>
    <n v="1639726"/>
    <n v="28581531"/>
    <n v="52.454894765799786"/>
  </r>
  <r>
    <x v="2"/>
    <x v="2"/>
    <x v="0"/>
    <x v="1"/>
    <n v="203429"/>
    <n v="1263912288.4066367"/>
    <n v="1639726"/>
    <n v="28581531"/>
    <n v="770.80700580867574"/>
  </r>
  <r>
    <x v="2"/>
    <x v="2"/>
    <x v="0"/>
    <x v="2"/>
    <n v="31181"/>
    <n v="28553052.133918796"/>
    <n v="1639726"/>
    <n v="28581531"/>
    <n v="17.413306939036641"/>
  </r>
  <r>
    <x v="2"/>
    <x v="2"/>
    <x v="0"/>
    <x v="3"/>
    <n v="470"/>
    <n v="337812.94816169393"/>
    <n v="1639726"/>
    <n v="28581531"/>
    <n v="0.20601792504460742"/>
  </r>
  <r>
    <x v="2"/>
    <x v="2"/>
    <x v="0"/>
    <x v="4"/>
    <n v="2261"/>
    <n v="2943873.0666838237"/>
    <n v="1639726"/>
    <n v="28581531"/>
    <n v="1.7953445067552893"/>
  </r>
  <r>
    <x v="2"/>
    <x v="2"/>
    <x v="1"/>
    <x v="0"/>
    <n v="522495"/>
    <n v="145198528.22961134"/>
    <n v="1952874"/>
    <n v="37257066"/>
    <n v="74.351201475164984"/>
  </r>
  <r>
    <x v="2"/>
    <x v="2"/>
    <x v="1"/>
    <x v="1"/>
    <n v="247861"/>
    <n v="1630654426.0441835"/>
    <n v="1952874"/>
    <n v="37257066"/>
    <n v="835.0023739597043"/>
  </r>
  <r>
    <x v="2"/>
    <x v="2"/>
    <x v="1"/>
    <x v="2"/>
    <n v="35169"/>
    <n v="46446966.612447515"/>
    <n v="1952874"/>
    <n v="37257066"/>
    <n v="23.783903422569768"/>
  </r>
  <r>
    <x v="2"/>
    <x v="2"/>
    <x v="1"/>
    <x v="3"/>
    <n v="1310"/>
    <n v="2655507.6964110374"/>
    <n v="1952874"/>
    <n v="37257066"/>
    <n v="1.3597946904977163"/>
  </r>
  <r>
    <x v="2"/>
    <x v="2"/>
    <x v="1"/>
    <x v="4"/>
    <n v="1939"/>
    <n v="1761404.4023099935"/>
    <n v="1952874"/>
    <n v="37257066"/>
    <n v="0.9019549660193098"/>
  </r>
  <r>
    <x v="2"/>
    <x v="2"/>
    <x v="2"/>
    <x v="0"/>
    <n v="514907"/>
    <n v="153463816.21184397"/>
    <n v="2266506"/>
    <n v="44037631"/>
    <n v="67.709424202646701"/>
  </r>
  <r>
    <x v="2"/>
    <x v="2"/>
    <x v="2"/>
    <x v="1"/>
    <n v="370418"/>
    <n v="2361603431.3757801"/>
    <n v="2266506"/>
    <n v="44037631"/>
    <n v="1041.9577231985179"/>
  </r>
  <r>
    <x v="2"/>
    <x v="2"/>
    <x v="2"/>
    <x v="2"/>
    <n v="72736"/>
    <n v="88145178.692727134"/>
    <n v="2266506"/>
    <n v="44037631"/>
    <n v="38.890335473511712"/>
  </r>
  <r>
    <x v="2"/>
    <x v="2"/>
    <x v="2"/>
    <x v="3"/>
    <n v="1761"/>
    <n v="4030599.9171272423"/>
    <n v="2266506"/>
    <n v="44037631"/>
    <n v="1.778331898140681"/>
  </r>
  <r>
    <x v="2"/>
    <x v="2"/>
    <x v="2"/>
    <x v="4"/>
    <n v="3005"/>
    <n v="2695539.3607389224"/>
    <n v="2266506"/>
    <n v="44037631"/>
    <n v="1.1892928413773987"/>
  </r>
  <r>
    <x v="2"/>
    <x v="2"/>
    <x v="3"/>
    <x v="1"/>
    <n v="522019"/>
    <n v="3254744938.4105625"/>
    <n v="2544212"/>
    <n v="49199337"/>
    <n v="1279.2742658279114"/>
  </r>
  <r>
    <x v="2"/>
    <x v="2"/>
    <x v="3"/>
    <x v="0"/>
    <n v="513895"/>
    <n v="152389181.21743062"/>
    <n v="2544212"/>
    <n v="49199337"/>
    <n v="59.896416343225575"/>
  </r>
  <r>
    <x v="2"/>
    <x v="2"/>
    <x v="3"/>
    <x v="2"/>
    <n v="167387"/>
    <n v="156682926.02384603"/>
    <n v="2544212"/>
    <n v="49199337"/>
    <n v="61.584068475365271"/>
  </r>
  <r>
    <x v="2"/>
    <x v="2"/>
    <x v="3"/>
    <x v="3"/>
    <n v="1749"/>
    <n v="2391651.8783250954"/>
    <n v="2544212"/>
    <n v="49199337"/>
    <n v="0.94003639567972141"/>
  </r>
  <r>
    <x v="2"/>
    <x v="2"/>
    <x v="3"/>
    <x v="4"/>
    <n v="4079"/>
    <n v="4055324.315454754"/>
    <n v="2544212"/>
    <n v="49199337"/>
    <n v="1.5939411949376678"/>
  </r>
  <r>
    <x v="2"/>
    <x v="3"/>
    <x v="0"/>
    <x v="1"/>
    <n v="566209"/>
    <n v="3460488558.9436507"/>
    <n v="2763640"/>
    <n v="52763788"/>
    <n v="1252.1488178430081"/>
  </r>
  <r>
    <x v="2"/>
    <x v="3"/>
    <x v="0"/>
    <x v="0"/>
    <n v="450649"/>
    <n v="142358376.90038359"/>
    <n v="2763640"/>
    <n v="52763788"/>
    <n v="51.511187021603241"/>
  </r>
  <r>
    <x v="2"/>
    <x v="3"/>
    <x v="0"/>
    <x v="2"/>
    <n v="155966"/>
    <n v="204958020.0891498"/>
    <n v="2763640"/>
    <n v="52763788"/>
    <n v="74.162343897595136"/>
  </r>
  <r>
    <x v="2"/>
    <x v="3"/>
    <x v="0"/>
    <x v="3"/>
    <n v="1558"/>
    <n v="2672460.4740365944"/>
    <n v="2763640"/>
    <n v="52763788"/>
    <n v="0.96700745177975223"/>
  </r>
  <r>
    <x v="2"/>
    <x v="3"/>
    <x v="0"/>
    <x v="4"/>
    <n v="3074"/>
    <n v="3301662.6094231335"/>
    <n v="2763640"/>
    <n v="52763788"/>
    <n v="1.1946789775162949"/>
  </r>
  <r>
    <x v="2"/>
    <x v="3"/>
    <x v="1"/>
    <x v="1"/>
    <n v="762946"/>
    <n v="4000960152.0755496"/>
    <n v="2976292"/>
    <n v="143284339"/>
    <n v="1344.2767551287136"/>
  </r>
  <r>
    <x v="2"/>
    <x v="3"/>
    <x v="1"/>
    <x v="0"/>
    <n v="556680"/>
    <n v="165579844.25105897"/>
    <n v="2976292"/>
    <n v="143284339"/>
    <n v="55.632929917850454"/>
  </r>
  <r>
    <x v="2"/>
    <x v="3"/>
    <x v="1"/>
    <x v="2"/>
    <n v="243375"/>
    <n v="283709438.53631419"/>
    <n v="2976292"/>
    <n v="143284339"/>
    <n v="95.323119685942842"/>
  </r>
  <r>
    <x v="2"/>
    <x v="3"/>
    <x v="1"/>
    <x v="3"/>
    <n v="1582"/>
    <n v="2761076.7934988844"/>
    <n v="2976292"/>
    <n v="143284339"/>
    <n v="0.92769015724898107"/>
  </r>
  <r>
    <x v="2"/>
    <x v="3"/>
    <x v="1"/>
    <x v="4"/>
    <n v="3755"/>
    <n v="3415105.3379601175"/>
    <n v="2976292"/>
    <n v="143284339"/>
    <n v="1.1474362522091641"/>
  </r>
  <r>
    <x v="2"/>
    <x v="3"/>
    <x v="2"/>
    <x v="1"/>
    <n v="986088"/>
    <n v="5033603845.0328846"/>
    <n v="3223803"/>
    <n v="189306194"/>
    <n v="1561.3869225361739"/>
  </r>
  <r>
    <x v="2"/>
    <x v="3"/>
    <x v="2"/>
    <x v="0"/>
    <n v="600102"/>
    <n v="187390578.30403775"/>
    <n v="3223803"/>
    <n v="189306194"/>
    <n v="58.127180322134372"/>
  </r>
  <r>
    <x v="2"/>
    <x v="3"/>
    <x v="2"/>
    <x v="2"/>
    <n v="314658"/>
    <n v="449869060.78426212"/>
    <n v="3223803"/>
    <n v="189306194"/>
    <n v="139.54607672499284"/>
  </r>
  <r>
    <x v="2"/>
    <x v="3"/>
    <x v="2"/>
    <x v="3"/>
    <n v="1934"/>
    <n v="3348547.8272713376"/>
    <n v="3223803"/>
    <n v="189306194"/>
    <n v="1.0386949287134908"/>
  </r>
  <r>
    <x v="2"/>
    <x v="3"/>
    <x v="2"/>
    <x v="4"/>
    <n v="4185"/>
    <n v="3912143.3503634185"/>
    <n v="3223803"/>
    <n v="189306194"/>
    <n v="1.2135181183103987"/>
  </r>
  <r>
    <x v="2"/>
    <x v="3"/>
    <x v="3"/>
    <x v="1"/>
    <n v="1227616"/>
    <n v="6022733378.1200819"/>
    <n v="3464384"/>
    <n v="123533245"/>
    <n v="1738.4716527151961"/>
  </r>
  <r>
    <x v="2"/>
    <x v="3"/>
    <x v="3"/>
    <x v="0"/>
    <n v="633248"/>
    <n v="207784816.33218512"/>
    <n v="3464384"/>
    <n v="123533245"/>
    <n v="59.977420612779966"/>
  </r>
  <r>
    <x v="2"/>
    <x v="3"/>
    <x v="3"/>
    <x v="2"/>
    <n v="521447"/>
    <n v="704195694.99391866"/>
    <n v="3464384"/>
    <n v="123533245"/>
    <n v="203.26721720049471"/>
  </r>
  <r>
    <x v="2"/>
    <x v="3"/>
    <x v="3"/>
    <x v="3"/>
    <n v="2386"/>
    <n v="3933557.2795471298"/>
    <n v="3464384"/>
    <n v="123533245"/>
    <n v="1.1354276199021616"/>
  </r>
  <r>
    <x v="2"/>
    <x v="3"/>
    <x v="3"/>
    <x v="4"/>
    <n v="5901"/>
    <n v="4862905.8856150554"/>
    <n v="3464384"/>
    <n v="123533245"/>
    <n v="1.4036855861287476"/>
  </r>
  <r>
    <x v="3"/>
    <x v="0"/>
    <x v="0"/>
    <x v="0"/>
    <n v="632092"/>
    <n v="93491181.140563786"/>
    <n v="4237607"/>
    <n v="0"/>
    <n v="22.0622585200949"/>
  </r>
  <r>
    <x v="3"/>
    <x v="0"/>
    <x v="0"/>
    <x v="1"/>
    <n v="318025"/>
    <n v="993525195.98186553"/>
    <n v="4237607"/>
    <n v="0"/>
    <n v="234.45430309650365"/>
  </r>
  <r>
    <x v="3"/>
    <x v="0"/>
    <x v="0"/>
    <x v="2"/>
    <n v="40482"/>
    <n v="34501622.892667547"/>
    <n v="4237607"/>
    <n v="0"/>
    <n v="8.1417703181695575"/>
  </r>
  <r>
    <x v="3"/>
    <x v="0"/>
    <x v="0"/>
    <x v="3"/>
    <n v="18172"/>
    <n v="4936862.2006885624"/>
    <n v="4237607"/>
    <n v="0"/>
    <n v="1.1650118098937825"/>
  </r>
  <r>
    <x v="3"/>
    <x v="0"/>
    <x v="0"/>
    <x v="4"/>
    <n v="48110"/>
    <n v="31349593.99668264"/>
    <n v="4237607"/>
    <n v="0"/>
    <n v="7.3979474728738746"/>
  </r>
  <r>
    <x v="3"/>
    <x v="0"/>
    <x v="1"/>
    <x v="0"/>
    <n v="984160"/>
    <n v="174427478.21340805"/>
    <n v="6281506"/>
    <n v="0"/>
    <n v="27.768417034610497"/>
  </r>
  <r>
    <x v="3"/>
    <x v="0"/>
    <x v="1"/>
    <x v="1"/>
    <n v="530781"/>
    <n v="2064314053.1339972"/>
    <n v="6281506"/>
    <n v="0"/>
    <n v="328.63361957052928"/>
  </r>
  <r>
    <x v="3"/>
    <x v="0"/>
    <x v="1"/>
    <x v="2"/>
    <n v="79307"/>
    <n v="73366344.807392254"/>
    <n v="6281506"/>
    <n v="0"/>
    <n v="11.679738076727501"/>
  </r>
  <r>
    <x v="3"/>
    <x v="0"/>
    <x v="1"/>
    <x v="3"/>
    <n v="22773"/>
    <n v="7051504.6576111019"/>
    <n v="6281506"/>
    <n v="0"/>
    <n v="1.1225818549900457"/>
  </r>
  <r>
    <x v="3"/>
    <x v="0"/>
    <x v="1"/>
    <x v="4"/>
    <n v="46852"/>
    <n v="31425754.725386057"/>
    <n v="6281506"/>
    <n v="0"/>
    <n v="5.0029013305704169"/>
  </r>
  <r>
    <x v="3"/>
    <x v="0"/>
    <x v="2"/>
    <x v="0"/>
    <n v="1275136"/>
    <n v="254569069.32411742"/>
    <n v="8632822"/>
    <n v="0"/>
    <n v="29.488511326205664"/>
  </r>
  <r>
    <x v="3"/>
    <x v="0"/>
    <x v="2"/>
    <x v="1"/>
    <n v="843571"/>
    <n v="3424136709.5088205"/>
    <n v="8632822"/>
    <n v="0"/>
    <n v="396.64164389220821"/>
  </r>
  <r>
    <x v="3"/>
    <x v="0"/>
    <x v="2"/>
    <x v="2"/>
    <n v="159532"/>
    <n v="96783839.374669418"/>
    <n v="8632822"/>
    <n v="0"/>
    <n v="11.211147336834863"/>
  </r>
  <r>
    <x v="3"/>
    <x v="0"/>
    <x v="2"/>
    <x v="3"/>
    <n v="22677"/>
    <n v="4741123.8218801152"/>
    <n v="8632822"/>
    <n v="0"/>
    <n v="0.54919744920955338"/>
  </r>
  <r>
    <x v="3"/>
    <x v="0"/>
    <x v="2"/>
    <x v="4"/>
    <n v="50935"/>
    <n v="30904247.884785894"/>
    <n v="8632822"/>
    <n v="0"/>
    <n v="3.5798546390491888"/>
  </r>
  <r>
    <x v="3"/>
    <x v="0"/>
    <x v="3"/>
    <x v="0"/>
    <n v="1703488"/>
    <n v="317661277.34709972"/>
    <n v="11431431"/>
    <n v="0"/>
    <n v="27.788408760644202"/>
  </r>
  <r>
    <x v="3"/>
    <x v="0"/>
    <x v="3"/>
    <x v="1"/>
    <n v="1279089"/>
    <n v="5284776455.0707836"/>
    <n v="11431431"/>
    <n v="0"/>
    <n v="462.3022660129588"/>
  </r>
  <r>
    <x v="3"/>
    <x v="0"/>
    <x v="3"/>
    <x v="2"/>
    <n v="667293"/>
    <n v="240563395.27779391"/>
    <n v="11431431"/>
    <n v="0"/>
    <n v="21.044031607048488"/>
  </r>
  <r>
    <x v="3"/>
    <x v="0"/>
    <x v="3"/>
    <x v="3"/>
    <n v="28035"/>
    <n v="6331912.5265525198"/>
    <n v="11431431"/>
    <n v="0"/>
    <n v="0.55390375243069045"/>
  </r>
  <r>
    <x v="3"/>
    <x v="0"/>
    <x v="3"/>
    <x v="4"/>
    <n v="56267"/>
    <n v="38689818.790878206"/>
    <n v="11431431"/>
    <n v="0"/>
    <n v="3.3845122969187504"/>
  </r>
  <r>
    <x v="3"/>
    <x v="1"/>
    <x v="0"/>
    <x v="0"/>
    <n v="1993220"/>
    <n v="400281677.94382846"/>
    <n v="13849935"/>
    <n v="0"/>
    <n v="28.90133982172685"/>
  </r>
  <r>
    <x v="3"/>
    <x v="1"/>
    <x v="0"/>
    <x v="1"/>
    <n v="1976310"/>
    <n v="7291433300.7002468"/>
    <n v="13849935"/>
    <n v="0"/>
    <n v="526.45974877862216"/>
  </r>
  <r>
    <x v="3"/>
    <x v="1"/>
    <x v="0"/>
    <x v="2"/>
    <n v="494871"/>
    <n v="266644645.74929428"/>
    <n v="13849935"/>
    <n v="0"/>
    <n v="19.252411347005907"/>
  </r>
  <r>
    <x v="3"/>
    <x v="1"/>
    <x v="0"/>
    <x v="3"/>
    <n v="20162"/>
    <n v="4612454.1127945455"/>
    <n v="13849935"/>
    <n v="0"/>
    <n v="0.33303074077925604"/>
  </r>
  <r>
    <x v="3"/>
    <x v="1"/>
    <x v="0"/>
    <x v="4"/>
    <n v="48442"/>
    <n v="39127457.944687635"/>
    <n v="13849935"/>
    <n v="0"/>
    <n v="2.8251004748172202"/>
  </r>
  <r>
    <x v="3"/>
    <x v="1"/>
    <x v="1"/>
    <x v="0"/>
    <n v="2512932"/>
    <n v="539315772.86065733"/>
    <n v="16501408"/>
    <n v="80853586"/>
    <n v="32.683015465144386"/>
  </r>
  <r>
    <x v="3"/>
    <x v="1"/>
    <x v="1"/>
    <x v="1"/>
    <n v="2293770"/>
    <n v="10035232820.852964"/>
    <n v="16501408"/>
    <n v="80853586"/>
    <n v="608.14403357901119"/>
  </r>
  <r>
    <x v="3"/>
    <x v="1"/>
    <x v="1"/>
    <x v="2"/>
    <n v="573646"/>
    <n v="326844709.5879724"/>
    <n v="16501408"/>
    <n v="80853586"/>
    <n v="19.807080073892628"/>
  </r>
  <r>
    <x v="3"/>
    <x v="1"/>
    <x v="1"/>
    <x v="3"/>
    <n v="13654"/>
    <n v="4037222.4142405642"/>
    <n v="16501408"/>
    <n v="80853586"/>
    <n v="0.24465926872667862"/>
  </r>
  <r>
    <x v="3"/>
    <x v="1"/>
    <x v="1"/>
    <x v="4"/>
    <n v="60927"/>
    <n v="49538663.410375819"/>
    <n v="16501408"/>
    <n v="80853586"/>
    <n v="3.0020870588967812"/>
  </r>
  <r>
    <x v="3"/>
    <x v="1"/>
    <x v="2"/>
    <x v="1"/>
    <n v="2713539"/>
    <n v="11835800855.176552"/>
    <n v="19046753"/>
    <n v="279330403"/>
    <n v="621.40779875585895"/>
  </r>
  <r>
    <x v="3"/>
    <x v="1"/>
    <x v="2"/>
    <x v="0"/>
    <n v="2645302"/>
    <n v="639885372.74809051"/>
    <n v="19046753"/>
    <n v="279330403"/>
    <n v="33.59550957310627"/>
  </r>
  <r>
    <x v="3"/>
    <x v="1"/>
    <x v="2"/>
    <x v="2"/>
    <n v="513728"/>
    <n v="421380275.42074293"/>
    <n v="19046753"/>
    <n v="279330403"/>
    <n v="22.123470358477526"/>
  </r>
  <r>
    <x v="3"/>
    <x v="1"/>
    <x v="2"/>
    <x v="3"/>
    <n v="8606"/>
    <n v="6403456.3447687859"/>
    <n v="19046753"/>
    <n v="279330403"/>
    <n v="0.33619674412582479"/>
  </r>
  <r>
    <x v="3"/>
    <x v="1"/>
    <x v="2"/>
    <x v="4"/>
    <n v="61396"/>
    <n v="46973660.736343533"/>
    <n v="19046753"/>
    <n v="279330403"/>
    <n v="2.4662293219397307"/>
  </r>
  <r>
    <x v="3"/>
    <x v="1"/>
    <x v="3"/>
    <x v="1"/>
    <n v="3222143"/>
    <n v="14083346879.361855"/>
    <n v="21353420"/>
    <n v="292593939"/>
    <n v="659.53589070799217"/>
  </r>
  <r>
    <x v="3"/>
    <x v="1"/>
    <x v="3"/>
    <x v="0"/>
    <n v="2937800"/>
    <n v="704118873.97209406"/>
    <n v="21353420"/>
    <n v="292593939"/>
    <n v="32.974524641584068"/>
  </r>
  <r>
    <x v="3"/>
    <x v="1"/>
    <x v="3"/>
    <x v="2"/>
    <n v="544053"/>
    <n v="456318130.082201"/>
    <n v="21353420"/>
    <n v="292593939"/>
    <n v="21.369791353431957"/>
  </r>
  <r>
    <x v="3"/>
    <x v="1"/>
    <x v="3"/>
    <x v="3"/>
    <n v="9621"/>
    <n v="3492255.0860687294"/>
    <n v="21353420"/>
    <n v="292593939"/>
    <n v="0.16354546887893037"/>
  </r>
  <r>
    <x v="3"/>
    <x v="1"/>
    <x v="3"/>
    <x v="4"/>
    <n v="46893"/>
    <n v="34707757.009855896"/>
    <n v="21353420"/>
    <n v="292593939"/>
    <n v="1.6253956981999087"/>
  </r>
  <r>
    <x v="3"/>
    <x v="2"/>
    <x v="0"/>
    <x v="1"/>
    <n v="4058740"/>
    <n v="18977446151.768826"/>
    <n v="24045318"/>
    <n v="364076812"/>
    <n v="789.2366468918741"/>
  </r>
  <r>
    <x v="3"/>
    <x v="2"/>
    <x v="0"/>
    <x v="0"/>
    <n v="3897975"/>
    <n v="971722606.15794683"/>
    <n v="24045318"/>
    <n v="364076812"/>
    <n v="40.412133711766543"/>
  </r>
  <r>
    <x v="3"/>
    <x v="2"/>
    <x v="0"/>
    <x v="2"/>
    <n v="792646"/>
    <n v="675423852.95127487"/>
    <n v="24045318"/>
    <n v="364076812"/>
    <n v="28.089620314078395"/>
  </r>
  <r>
    <x v="3"/>
    <x v="2"/>
    <x v="0"/>
    <x v="3"/>
    <n v="10173"/>
    <n v="7054325.5075156558"/>
    <n v="24045318"/>
    <n v="364076812"/>
    <n v="0.29337626175356285"/>
  </r>
  <r>
    <x v="3"/>
    <x v="2"/>
    <x v="0"/>
    <x v="4"/>
    <n v="49326"/>
    <n v="36781411.343680352"/>
    <n v="24045318"/>
    <n v="364076812"/>
    <n v="1.5296704058428485"/>
  </r>
  <r>
    <x v="3"/>
    <x v="2"/>
    <x v="1"/>
    <x v="0"/>
    <n v="6045321"/>
    <n v="1612522828.7163475"/>
    <n v="28059713"/>
    <n v="432354164"/>
    <n v="57.467545327935014"/>
  </r>
  <r>
    <x v="3"/>
    <x v="2"/>
    <x v="1"/>
    <x v="1"/>
    <n v="3648386"/>
    <n v="17358374071.266159"/>
    <n v="28059713"/>
    <n v="432354164"/>
    <n v="618.6226520301957"/>
  </r>
  <r>
    <x v="3"/>
    <x v="2"/>
    <x v="1"/>
    <x v="2"/>
    <n v="742400"/>
    <n v="749018053.24005842"/>
    <n v="28059713"/>
    <n v="432354164"/>
    <n v="26.693717545865791"/>
  </r>
  <r>
    <x v="3"/>
    <x v="2"/>
    <x v="1"/>
    <x v="3"/>
    <n v="19814"/>
    <n v="18130004.687672265"/>
    <n v="28059713"/>
    <n v="432354164"/>
    <n v="0.64612224250733663"/>
  </r>
  <r>
    <x v="3"/>
    <x v="2"/>
    <x v="1"/>
    <x v="4"/>
    <n v="49278"/>
    <n v="28255168.009208795"/>
    <n v="28059713"/>
    <n v="432354164"/>
    <n v="1.0069656809821539"/>
  </r>
  <r>
    <x v="3"/>
    <x v="2"/>
    <x v="2"/>
    <x v="1"/>
    <n v="5637893"/>
    <n v="26646565777.43919"/>
    <n v="31130121"/>
    <n v="460628058"/>
    <n v="855.97372966970443"/>
  </r>
  <r>
    <x v="3"/>
    <x v="2"/>
    <x v="2"/>
    <x v="0"/>
    <n v="5292154"/>
    <n v="1627282415.9451878"/>
    <n v="31130121"/>
    <n v="460628058"/>
    <n v="52.273565398129605"/>
  </r>
  <r>
    <x v="3"/>
    <x v="2"/>
    <x v="2"/>
    <x v="2"/>
    <n v="1383230"/>
    <n v="1492484153.3873158"/>
    <n v="31130121"/>
    <n v="460628058"/>
    <n v="47.94340996577931"/>
  </r>
  <r>
    <x v="3"/>
    <x v="2"/>
    <x v="2"/>
    <x v="3"/>
    <n v="24954"/>
    <n v="28452966.026372254"/>
    <n v="31130121"/>
    <n v="460628058"/>
    <n v="0.91400113820220141"/>
  </r>
  <r>
    <x v="3"/>
    <x v="2"/>
    <x v="2"/>
    <x v="4"/>
    <n v="59480"/>
    <n v="36605946.746002689"/>
    <n v="31130121"/>
    <n v="460628058"/>
    <n v="1.1759012034036966"/>
  </r>
  <r>
    <x v="3"/>
    <x v="2"/>
    <x v="3"/>
    <x v="1"/>
    <n v="7538478"/>
    <n v="36013292450.814384"/>
    <n v="34167683"/>
    <n v="542539954"/>
    <n v="1054.0162307995654"/>
  </r>
  <r>
    <x v="3"/>
    <x v="2"/>
    <x v="3"/>
    <x v="0"/>
    <n v="5383505"/>
    <n v="1662189124.4177454"/>
    <n v="34167683"/>
    <n v="542539954"/>
    <n v="48.647990688093934"/>
  </r>
  <r>
    <x v="3"/>
    <x v="2"/>
    <x v="3"/>
    <x v="2"/>
    <n v="2392184"/>
    <n v="2466913305.5903902"/>
    <n v="34167683"/>
    <n v="542539954"/>
    <n v="72.200192959832549"/>
  </r>
  <r>
    <x v="3"/>
    <x v="2"/>
    <x v="3"/>
    <x v="3"/>
    <n v="29764"/>
    <n v="32314809.975261033"/>
    <n v="34167683"/>
    <n v="542539954"/>
    <n v="0.94577118311654418"/>
  </r>
  <r>
    <x v="3"/>
    <x v="2"/>
    <x v="3"/>
    <x v="4"/>
    <n v="79523"/>
    <n v="51901628.466430493"/>
    <n v="34167683"/>
    <n v="542539954"/>
    <n v="1.5190268671841312"/>
  </r>
  <r>
    <x v="3"/>
    <x v="3"/>
    <x v="0"/>
    <x v="1"/>
    <n v="9449096"/>
    <n v="45476079487.104637"/>
    <n v="36942928"/>
    <n v="624276004"/>
    <n v="1230.9820024851479"/>
  </r>
  <r>
    <x v="3"/>
    <x v="3"/>
    <x v="0"/>
    <x v="0"/>
    <n v="6494111"/>
    <n v="2103017761.5465331"/>
    <n v="36942928"/>
    <n v="624276004"/>
    <n v="56.926125659193367"/>
  </r>
  <r>
    <x v="3"/>
    <x v="3"/>
    <x v="0"/>
    <x v="2"/>
    <n v="3459132"/>
    <n v="3657261586.2001615"/>
    <n v="36942928"/>
    <n v="624276004"/>
    <n v="98.997610211084549"/>
  </r>
  <r>
    <x v="3"/>
    <x v="3"/>
    <x v="0"/>
    <x v="3"/>
    <n v="34049"/>
    <n v="41291047.383212402"/>
    <n v="36942928"/>
    <n v="624276004"/>
    <n v="1.1176982881057074"/>
  </r>
  <r>
    <x v="3"/>
    <x v="3"/>
    <x v="0"/>
    <x v="4"/>
    <n v="75672"/>
    <n v="48814663.887828268"/>
    <n v="36942928"/>
    <n v="624276004"/>
    <n v="1.3213534099903579"/>
  </r>
  <r>
    <x v="3"/>
    <x v="3"/>
    <x v="1"/>
    <x v="1"/>
    <n v="11668399"/>
    <n v="51521387890.612534"/>
    <n v="39787616"/>
    <n v="1122042790"/>
    <n v="1294.9101522094847"/>
  </r>
  <r>
    <x v="3"/>
    <x v="3"/>
    <x v="1"/>
    <x v="0"/>
    <n v="9058005"/>
    <n v="2657676415.2458973"/>
    <n v="39787616"/>
    <n v="1122042790"/>
    <n v="66.796573467631163"/>
  </r>
  <r>
    <x v="3"/>
    <x v="3"/>
    <x v="1"/>
    <x v="2"/>
    <n v="4562669"/>
    <n v="4914753140.0401011"/>
    <n v="39787616"/>
    <n v="1122042790"/>
    <n v="123.52469522275727"/>
  </r>
  <r>
    <x v="3"/>
    <x v="3"/>
    <x v="1"/>
    <x v="3"/>
    <n v="49671"/>
    <n v="46106001.498141706"/>
    <n v="39787616"/>
    <n v="1122042790"/>
    <n v="1.1588028168901023"/>
  </r>
  <r>
    <x v="3"/>
    <x v="3"/>
    <x v="1"/>
    <x v="4"/>
    <n v="94161"/>
    <n v="52549929.267157935"/>
    <n v="39787616"/>
    <n v="1122042790"/>
    <n v="1.3207609439871424"/>
  </r>
  <r>
    <x v="3"/>
    <x v="3"/>
    <x v="2"/>
    <x v="1"/>
    <n v="15617592"/>
    <n v="64131823895.235466"/>
    <n v="43103280"/>
    <n v="1488174941"/>
    <n v="1487.864122990999"/>
  </r>
  <r>
    <x v="3"/>
    <x v="3"/>
    <x v="2"/>
    <x v="0"/>
    <n v="10284267"/>
    <n v="3248364164.1984267"/>
    <n v="43103280"/>
    <n v="1488174941"/>
    <n v="75.362342823989891"/>
  </r>
  <r>
    <x v="3"/>
    <x v="3"/>
    <x v="2"/>
    <x v="2"/>
    <n v="7431371"/>
    <n v="8208706348.034584"/>
    <n v="43103280"/>
    <n v="1488174941"/>
    <n v="190.44273076282326"/>
  </r>
  <r>
    <x v="3"/>
    <x v="3"/>
    <x v="2"/>
    <x v="3"/>
    <n v="39479"/>
    <n v="43889820.495989755"/>
    <n v="43103280"/>
    <n v="1488174941"/>
    <n v="1.0182478107464155"/>
  </r>
  <r>
    <x v="3"/>
    <x v="3"/>
    <x v="2"/>
    <x v="4"/>
    <n v="131732"/>
    <n v="67715045.343172163"/>
    <n v="43103280"/>
    <n v="1488174941"/>
    <n v="1.5709951851267969"/>
  </r>
  <r>
    <x v="3"/>
    <x v="3"/>
    <x v="3"/>
    <x v="1"/>
    <n v="21393962"/>
    <n v="86801625126.534988"/>
    <n v="46305501"/>
    <n v="1436604785"/>
    <n v="1874.542403213281"/>
  </r>
  <r>
    <x v="3"/>
    <x v="3"/>
    <x v="3"/>
    <x v="2"/>
    <n v="12895755"/>
    <n v="13378765005.905182"/>
    <n v="46305501"/>
    <n v="1436604785"/>
    <n v="288.92387981948804"/>
  </r>
  <r>
    <x v="3"/>
    <x v="3"/>
    <x v="3"/>
    <x v="0"/>
    <n v="11484376"/>
    <n v="3842004488.3733196"/>
    <n v="46305501"/>
    <n v="1436604785"/>
    <n v="82.970800561542774"/>
  </r>
  <r>
    <x v="3"/>
    <x v="3"/>
    <x v="3"/>
    <x v="3"/>
    <n v="60724"/>
    <n v="65456475.826191336"/>
    <n v="46305501"/>
    <n v="1436604785"/>
    <n v="1.4135788278414554"/>
  </r>
  <r>
    <x v="3"/>
    <x v="3"/>
    <x v="3"/>
    <x v="4"/>
    <n v="185544"/>
    <n v="97116796.57575196"/>
    <n v="46305501"/>
    <n v="1436604785"/>
    <n v="2.0973058163381486"/>
  </r>
  <r>
    <x v="4"/>
    <x v="0"/>
    <x v="0"/>
    <x v="0"/>
    <n v="3159922"/>
    <n v="375559206.77275932"/>
    <n v="23471844"/>
    <n v="0"/>
    <n v="16.000413379228291"/>
  </r>
  <r>
    <x v="4"/>
    <x v="0"/>
    <x v="0"/>
    <x v="1"/>
    <n v="2052089"/>
    <n v="5295346761.4508305"/>
    <n v="23471844"/>
    <n v="0"/>
    <n v="225.60420738357115"/>
  </r>
  <r>
    <x v="4"/>
    <x v="0"/>
    <x v="0"/>
    <x v="3"/>
    <n v="194295"/>
    <n v="33999413.877399519"/>
    <n v="23471844"/>
    <n v="0"/>
    <n v="1.4485190800262442"/>
  </r>
  <r>
    <x v="4"/>
    <x v="0"/>
    <x v="0"/>
    <x v="2"/>
    <n v="138885"/>
    <n v="139827755.73655012"/>
    <n v="23471844"/>
    <n v="0"/>
    <n v="5.9572548171566799"/>
  </r>
  <r>
    <x v="4"/>
    <x v="0"/>
    <x v="0"/>
    <x v="4"/>
    <n v="279111"/>
    <n v="201025034.17960182"/>
    <n v="23471844"/>
    <n v="0"/>
    <n v="8.5645181596981388"/>
  </r>
  <r>
    <x v="4"/>
    <x v="0"/>
    <x v="1"/>
    <x v="0"/>
    <n v="4346849"/>
    <n v="700649777.06029689"/>
    <n v="33064592"/>
    <n v="0"/>
    <n v="21.190334877269827"/>
  </r>
  <r>
    <x v="4"/>
    <x v="0"/>
    <x v="1"/>
    <x v="1"/>
    <n v="3447898"/>
    <n v="12141448845.077621"/>
    <n v="33064592"/>
    <n v="0"/>
    <n v="367.20395174020661"/>
  </r>
  <r>
    <x v="4"/>
    <x v="0"/>
    <x v="1"/>
    <x v="2"/>
    <n v="311487"/>
    <n v="318571872.82165271"/>
    <n v="33064592"/>
    <n v="0"/>
    <n v="9.6348345330150362"/>
  </r>
  <r>
    <x v="4"/>
    <x v="0"/>
    <x v="1"/>
    <x v="3"/>
    <n v="267433"/>
    <n v="45332532.096432865"/>
    <n v="33064592"/>
    <n v="0"/>
    <n v="1.3710295320272776"/>
  </r>
  <r>
    <x v="4"/>
    <x v="0"/>
    <x v="1"/>
    <x v="4"/>
    <n v="258711"/>
    <n v="300128082.61604577"/>
    <n v="33064592"/>
    <n v="0"/>
    <n v="9.0770236214027911"/>
  </r>
  <r>
    <x v="4"/>
    <x v="0"/>
    <x v="2"/>
    <x v="1"/>
    <n v="8893764"/>
    <n v="18695889187.894321"/>
    <n v="41629885"/>
    <n v="0"/>
    <n v="449.09778607109581"/>
  </r>
  <r>
    <x v="4"/>
    <x v="0"/>
    <x v="2"/>
    <x v="0"/>
    <n v="4401439"/>
    <n v="804061398.5166465"/>
    <n v="41629885"/>
    <n v="0"/>
    <n v="19.314523653299702"/>
  </r>
  <r>
    <x v="4"/>
    <x v="0"/>
    <x v="2"/>
    <x v="2"/>
    <n v="586862"/>
    <n v="367608510.72617811"/>
    <n v="41629885"/>
    <n v="0"/>
    <n v="8.8303993807856571"/>
  </r>
  <r>
    <x v="4"/>
    <x v="0"/>
    <x v="2"/>
    <x v="3"/>
    <n v="274510"/>
    <n v="33276460.452133462"/>
    <n v="41629885"/>
    <n v="0"/>
    <n v="0.79934067682707899"/>
  </r>
  <r>
    <x v="4"/>
    <x v="0"/>
    <x v="2"/>
    <x v="4"/>
    <n v="211229"/>
    <n v="234968821.31206354"/>
    <n v="41629885"/>
    <n v="0"/>
    <n v="5.6442342156857634"/>
  </r>
  <r>
    <x v="4"/>
    <x v="0"/>
    <x v="3"/>
    <x v="1"/>
    <n v="8094296"/>
    <n v="26224303882.803989"/>
    <n v="52543315"/>
    <n v="0"/>
    <n v="499.09876989687439"/>
  </r>
  <r>
    <x v="4"/>
    <x v="0"/>
    <x v="3"/>
    <x v="0"/>
    <n v="5469096"/>
    <n v="986310785.00937021"/>
    <n v="52543315"/>
    <n v="0"/>
    <n v="18.771384809073624"/>
  </r>
  <r>
    <x v="4"/>
    <x v="0"/>
    <x v="3"/>
    <x v="2"/>
    <n v="1680664"/>
    <n v="848968693.06656241"/>
    <n v="52543315"/>
    <n v="0"/>
    <n v="16.157501540710982"/>
  </r>
  <r>
    <x v="4"/>
    <x v="0"/>
    <x v="3"/>
    <x v="3"/>
    <n v="237247"/>
    <n v="36199427.513187692"/>
    <n v="52543315"/>
    <n v="0"/>
    <n v="0.68894449299949367"/>
  </r>
  <r>
    <x v="4"/>
    <x v="0"/>
    <x v="3"/>
    <x v="4"/>
    <n v="251098"/>
    <n v="302214380.18458414"/>
    <n v="52543315"/>
    <n v="0"/>
    <n v="5.7517189424493704"/>
  </r>
  <r>
    <x v="4"/>
    <x v="1"/>
    <x v="0"/>
    <x v="1"/>
    <n v="16807040"/>
    <n v="38824078062.32093"/>
    <n v="63196287"/>
    <n v="0"/>
    <n v="614.34112517276424"/>
  </r>
  <r>
    <x v="4"/>
    <x v="1"/>
    <x v="0"/>
    <x v="0"/>
    <n v="7036367"/>
    <n v="1333688182.5386746"/>
    <n v="63196287"/>
    <n v="0"/>
    <n v="21.103900970300273"/>
  </r>
  <r>
    <x v="4"/>
    <x v="1"/>
    <x v="0"/>
    <x v="2"/>
    <n v="2055267"/>
    <n v="1024996999.5279309"/>
    <n v="63196287"/>
    <n v="0"/>
    <n v="16.219259836071238"/>
  </r>
  <r>
    <x v="4"/>
    <x v="1"/>
    <x v="0"/>
    <x v="3"/>
    <n v="204689"/>
    <n v="28599535.734409343"/>
    <n v="63196287"/>
    <n v="0"/>
    <n v="0.45255088695969342"/>
  </r>
  <r>
    <x v="4"/>
    <x v="1"/>
    <x v="0"/>
    <x v="4"/>
    <n v="252871"/>
    <n v="291464734.40431058"/>
    <n v="63196287"/>
    <n v="0"/>
    <n v="4.6120547304355171"/>
  </r>
  <r>
    <x v="4"/>
    <x v="1"/>
    <x v="1"/>
    <x v="1"/>
    <n v="15837449"/>
    <n v="58381285240.80835"/>
    <n v="72487349"/>
    <n v="435677242"/>
    <n v="805.39964623079743"/>
  </r>
  <r>
    <x v="4"/>
    <x v="1"/>
    <x v="1"/>
    <x v="0"/>
    <n v="9279442"/>
    <n v="1996804238.2749753"/>
    <n v="72487349"/>
    <n v="435677242"/>
    <n v="27.546934269523021"/>
  </r>
  <r>
    <x v="4"/>
    <x v="1"/>
    <x v="1"/>
    <x v="2"/>
    <n v="4365465"/>
    <n v="2308145849.8442569"/>
    <n v="72487349"/>
    <n v="435677242"/>
    <n v="31.84205080867638"/>
  </r>
  <r>
    <x v="4"/>
    <x v="1"/>
    <x v="1"/>
    <x v="3"/>
    <n v="129603"/>
    <n v="63338108.537554339"/>
    <n v="72487349"/>
    <n v="435677242"/>
    <n v="0.87378155514494449"/>
  </r>
  <r>
    <x v="4"/>
    <x v="1"/>
    <x v="1"/>
    <x v="4"/>
    <n v="348520"/>
    <n v="382864846.07675749"/>
    <n v="72487349"/>
    <n v="435677242"/>
    <n v="5.2818160873390125"/>
  </r>
  <r>
    <x v="4"/>
    <x v="1"/>
    <x v="2"/>
    <x v="1"/>
    <n v="15446119"/>
    <n v="61831776093.09613"/>
    <n v="81182915"/>
    <n v="1391734278"/>
    <n v="761.63532798860615"/>
  </r>
  <r>
    <x v="4"/>
    <x v="1"/>
    <x v="2"/>
    <x v="0"/>
    <n v="9115040"/>
    <n v="2140566974.705637"/>
    <n v="81182915"/>
    <n v="1391734278"/>
    <n v="26.367210079924291"/>
  </r>
  <r>
    <x v="4"/>
    <x v="1"/>
    <x v="2"/>
    <x v="2"/>
    <n v="7206001"/>
    <n v="3413490288.3137074"/>
    <n v="81182915"/>
    <n v="1391734278"/>
    <n v="42.046904675863232"/>
  </r>
  <r>
    <x v="4"/>
    <x v="1"/>
    <x v="2"/>
    <x v="3"/>
    <n v="89997"/>
    <n v="20145460.42764103"/>
    <n v="81182915"/>
    <n v="1391734278"/>
    <n v="0.2481490154380516"/>
  </r>
  <r>
    <x v="4"/>
    <x v="1"/>
    <x v="2"/>
    <x v="4"/>
    <n v="282743"/>
    <n v="286804437.73580331"/>
    <n v="81182915"/>
    <n v="1391734278"/>
    <n v="3.5328176838168881"/>
  </r>
  <r>
    <x v="4"/>
    <x v="1"/>
    <x v="3"/>
    <x v="1"/>
    <n v="26337842"/>
    <n v="86340631422.246063"/>
    <n v="91765014"/>
    <n v="1803979067"/>
    <n v="940.8883370545343"/>
  </r>
  <r>
    <x v="4"/>
    <x v="1"/>
    <x v="3"/>
    <x v="0"/>
    <n v="11358597"/>
    <n v="2649616529.8301458"/>
    <n v="91765014"/>
    <n v="1803979067"/>
    <n v="28.873929336840135"/>
  </r>
  <r>
    <x v="4"/>
    <x v="1"/>
    <x v="3"/>
    <x v="2"/>
    <n v="5519582"/>
    <n v="4177574379.0405855"/>
    <n v="91765014"/>
    <n v="1803979067"/>
    <n v="45.524696144443304"/>
  </r>
  <r>
    <x v="4"/>
    <x v="1"/>
    <x v="3"/>
    <x v="3"/>
    <n v="100192"/>
    <n v="18815964.761792127"/>
    <n v="91765014"/>
    <n v="1803979067"/>
    <n v="0.20504508136174998"/>
  </r>
  <r>
    <x v="4"/>
    <x v="1"/>
    <x v="3"/>
    <x v="4"/>
    <n v="214101"/>
    <n v="126788281.9306988"/>
    <n v="91765014"/>
    <n v="1803979067"/>
    <n v="1.3816625356881522"/>
  </r>
  <r>
    <x v="4"/>
    <x v="2"/>
    <x v="0"/>
    <x v="1"/>
    <n v="23163922"/>
    <n v="99873688132.903107"/>
    <n v="102863574"/>
    <n v="2022553555"/>
    <n v="970.93348256500508"/>
  </r>
  <r>
    <x v="4"/>
    <x v="2"/>
    <x v="0"/>
    <x v="0"/>
    <n v="13837430"/>
    <n v="3680590624.9006104"/>
    <n v="102863574"/>
    <n v="2022553555"/>
    <n v="35.781282739608194"/>
  </r>
  <r>
    <x v="4"/>
    <x v="2"/>
    <x v="0"/>
    <x v="2"/>
    <n v="7822567"/>
    <n v="5562692116.5708065"/>
    <n v="102863574"/>
    <n v="2022553555"/>
    <n v="54.078347662417471"/>
  </r>
  <r>
    <x v="4"/>
    <x v="2"/>
    <x v="0"/>
    <x v="3"/>
    <n v="57233"/>
    <n v="23954789.407903705"/>
    <n v="102863574"/>
    <n v="2022553555"/>
    <n v="0.23287922513662324"/>
  </r>
  <r>
    <x v="4"/>
    <x v="2"/>
    <x v="0"/>
    <x v="4"/>
    <n v="200663"/>
    <n v="115927863.46366584"/>
    <n v="102863574"/>
    <n v="2022553555"/>
    <n v="1.1270059842920279"/>
  </r>
  <r>
    <x v="4"/>
    <x v="2"/>
    <x v="1"/>
    <x v="1"/>
    <n v="26572651"/>
    <n v="116244368941.33606"/>
    <n v="116641437"/>
    <n v="2402785385"/>
    <n v="996.59582332937191"/>
  </r>
  <r>
    <x v="4"/>
    <x v="2"/>
    <x v="1"/>
    <x v="0"/>
    <n v="19522564"/>
    <n v="5642294772.4535513"/>
    <n v="116641437"/>
    <n v="2402785385"/>
    <n v="48.372987486887283"/>
  </r>
  <r>
    <x v="4"/>
    <x v="2"/>
    <x v="1"/>
    <x v="2"/>
    <n v="7011681"/>
    <n v="6760404421.6229601"/>
    <n v="116641437"/>
    <n v="2402785385"/>
    <n v="57.958857465233045"/>
  </r>
  <r>
    <x v="4"/>
    <x v="2"/>
    <x v="1"/>
    <x v="3"/>
    <n v="73119"/>
    <n v="54077813.260680601"/>
    <n v="116641437"/>
    <n v="2402785385"/>
    <n v="0.4636243744209067"/>
  </r>
  <r>
    <x v="4"/>
    <x v="2"/>
    <x v="1"/>
    <x v="4"/>
    <n v="206727"/>
    <n v="105377680.17075577"/>
    <n v="116641437"/>
    <n v="2402785385"/>
    <n v="0.9034326297845231"/>
  </r>
  <r>
    <x v="4"/>
    <x v="2"/>
    <x v="2"/>
    <x v="1"/>
    <n v="37294332"/>
    <n v="153664683751.53278"/>
    <n v="129395343"/>
    <n v="2933179084"/>
    <n v="1187.5596152755882"/>
  </r>
  <r>
    <x v="4"/>
    <x v="2"/>
    <x v="2"/>
    <x v="0"/>
    <n v="19027978"/>
    <n v="6313780616.6018286"/>
    <n v="129395343"/>
    <n v="2933179084"/>
    <n v="48.794496542289224"/>
  </r>
  <r>
    <x v="4"/>
    <x v="2"/>
    <x v="2"/>
    <x v="2"/>
    <n v="14777337"/>
    <n v="13111735855.027691"/>
    <n v="129395343"/>
    <n v="2933179084"/>
    <n v="101.33081725381486"/>
  </r>
  <r>
    <x v="4"/>
    <x v="2"/>
    <x v="2"/>
    <x v="3"/>
    <n v="104135"/>
    <n v="81355476.163670227"/>
    <n v="129395343"/>
    <n v="2933179084"/>
    <n v="0.62873573559498375"/>
  </r>
  <r>
    <x v="4"/>
    <x v="2"/>
    <x v="2"/>
    <x v="4"/>
    <n v="299966"/>
    <n v="157309412.49242482"/>
    <n v="129395343"/>
    <n v="2933179084"/>
    <n v="1.2157270025740015"/>
  </r>
  <r>
    <x v="4"/>
    <x v="2"/>
    <x v="3"/>
    <x v="1"/>
    <n v="49432098"/>
    <n v="208484557891.42865"/>
    <n v="141788163"/>
    <n v="3487622600"/>
    <n v="1470.3946611638423"/>
  </r>
  <r>
    <x v="4"/>
    <x v="2"/>
    <x v="3"/>
    <x v="2"/>
    <n v="26750991"/>
    <n v="23185594534.305222"/>
    <n v="141788163"/>
    <n v="3487622600"/>
    <n v="163.5227796434969"/>
  </r>
  <r>
    <x v="4"/>
    <x v="2"/>
    <x v="3"/>
    <x v="0"/>
    <n v="19908687"/>
    <n v="6926960996.688756"/>
    <n v="141788163"/>
    <n v="3487622600"/>
    <n v="48.854296791254399"/>
  </r>
  <r>
    <x v="4"/>
    <x v="2"/>
    <x v="3"/>
    <x v="3"/>
    <n v="119416"/>
    <n v="100785736.00790763"/>
    <n v="141788163"/>
    <n v="3487622600"/>
    <n v="0.71081911123926211"/>
  </r>
  <r>
    <x v="4"/>
    <x v="2"/>
    <x v="3"/>
    <x v="4"/>
    <n v="380481"/>
    <n v="207713978.04223877"/>
    <n v="141788163"/>
    <n v="3487622600"/>
    <n v="1.4649599349293974"/>
  </r>
  <r>
    <x v="4"/>
    <x v="3"/>
    <x v="0"/>
    <x v="1"/>
    <n v="58566582"/>
    <n v="242013312361.31104"/>
    <n v="153409168"/>
    <n v="3913718688"/>
    <n v="1577.5674655983471"/>
  </r>
  <r>
    <x v="4"/>
    <x v="3"/>
    <x v="0"/>
    <x v="2"/>
    <n v="33959313"/>
    <n v="30171144593.369873"/>
    <n v="153409168"/>
    <n v="3913718688"/>
    <n v="196.6710659259287"/>
  </r>
  <r>
    <x v="4"/>
    <x v="3"/>
    <x v="0"/>
    <x v="0"/>
    <n v="21974086"/>
    <n v="8505455545.4487638"/>
    <n v="153409168"/>
    <n v="3913718688"/>
    <n v="55.442941620338907"/>
  </r>
  <r>
    <x v="4"/>
    <x v="3"/>
    <x v="0"/>
    <x v="3"/>
    <n v="124277"/>
    <n v="112949858.25028673"/>
    <n v="153409168"/>
    <n v="3913718688"/>
    <n v="0.73626537268155134"/>
  </r>
  <r>
    <x v="4"/>
    <x v="3"/>
    <x v="0"/>
    <x v="4"/>
    <n v="308219"/>
    <n v="170787342.84811789"/>
    <n v="153409168"/>
    <n v="3913718688"/>
    <n v="1.1132798976402629"/>
  </r>
  <r>
    <x v="4"/>
    <x v="3"/>
    <x v="1"/>
    <x v="1"/>
    <n v="78694099"/>
    <n v="319758683264.15344"/>
    <n v="164693474"/>
    <n v="4083185260"/>
    <n v="1941.5382740918651"/>
  </r>
  <r>
    <x v="4"/>
    <x v="3"/>
    <x v="1"/>
    <x v="2"/>
    <n v="44686786"/>
    <n v="43458914639.771378"/>
    <n v="164693474"/>
    <n v="4083185260"/>
    <n v="263.87757562131077"/>
  </r>
  <r>
    <x v="4"/>
    <x v="3"/>
    <x v="1"/>
    <x v="0"/>
    <n v="31646149"/>
    <n v="11030849713.502428"/>
    <n v="164693474"/>
    <n v="4083185260"/>
    <n v="66.978062005677458"/>
  </r>
  <r>
    <x v="4"/>
    <x v="3"/>
    <x v="1"/>
    <x v="3"/>
    <n v="149791"/>
    <n v="116086345.91301711"/>
    <n v="164693474"/>
    <n v="4083185260"/>
    <n v="0.70486305919454406"/>
  </r>
  <r>
    <x v="4"/>
    <x v="3"/>
    <x v="1"/>
    <x v="4"/>
    <n v="426797"/>
    <n v="215721223.23864049"/>
    <n v="164693474"/>
    <n v="4083185260"/>
    <n v="1.3098346765011495"/>
  </r>
  <r>
    <x v="4"/>
    <x v="3"/>
    <x v="2"/>
    <x v="1"/>
    <n v="92785704"/>
    <n v="331514102784.26312"/>
    <n v="177768481"/>
    <n v="4639815169"/>
    <n v="1864.864350077127"/>
  </r>
  <r>
    <x v="4"/>
    <x v="3"/>
    <x v="2"/>
    <x v="2"/>
    <n v="64094961"/>
    <n v="53849745604.964302"/>
    <n v="177768481"/>
    <n v="4639815169"/>
    <n v="302.9206600745174"/>
  </r>
  <r>
    <x v="4"/>
    <x v="3"/>
    <x v="2"/>
    <x v="0"/>
    <n v="30081746"/>
    <n v="11327303470.019915"/>
    <n v="177768481"/>
    <n v="4639815169"/>
    <n v="63.719414185802229"/>
  </r>
  <r>
    <x v="4"/>
    <x v="3"/>
    <x v="2"/>
    <x v="3"/>
    <n v="135748"/>
    <n v="130349071.61901987"/>
    <n v="177768481"/>
    <n v="4639815169"/>
    <n v="0.73325187280539272"/>
  </r>
  <r>
    <x v="4"/>
    <x v="3"/>
    <x v="2"/>
    <x v="4"/>
    <n v="572954"/>
    <n v="241260025.54569885"/>
    <n v="177768481"/>
    <n v="4639815169"/>
    <n v="1.3571586154561273"/>
  </r>
  <r>
    <x v="4"/>
    <x v="3"/>
    <x v="3"/>
    <x v="1"/>
    <n v="117340712"/>
    <n v="423665098014.27917"/>
    <n v="190695791"/>
    <n v="7121409218"/>
    <n v="2221.680383151609"/>
  </r>
  <r>
    <x v="4"/>
    <x v="3"/>
    <x v="3"/>
    <x v="2"/>
    <n v="95992559"/>
    <n v="81729122295.53772"/>
    <n v="190695791"/>
    <n v="7121409218"/>
    <n v="428.58377663688299"/>
  </r>
  <r>
    <x v="4"/>
    <x v="3"/>
    <x v="3"/>
    <x v="0"/>
    <n v="30824177"/>
    <n v="13438634948.212643"/>
    <n v="190695791"/>
    <n v="7121409218"/>
    <n v="70.471586592137442"/>
  </r>
  <r>
    <x v="4"/>
    <x v="3"/>
    <x v="3"/>
    <x v="3"/>
    <n v="186298"/>
    <n v="173358268.82083318"/>
    <n v="190695791"/>
    <n v="7121409218"/>
    <n v="0.9090828272178969"/>
  </r>
  <r>
    <x v="4"/>
    <x v="3"/>
    <x v="3"/>
    <x v="4"/>
    <n v="783199"/>
    <n v="365400541.9114517"/>
    <n v="190695791"/>
    <n v="7121409218"/>
    <n v="1.9161437176736202"/>
  </r>
  <r>
    <x v="5"/>
    <x v="0"/>
    <x v="0"/>
    <x v="0"/>
    <n v="201262"/>
    <n v="47479581.162644163"/>
    <n v="948948"/>
    <n v="0"/>
    <n v="50.03391246163558"/>
  </r>
  <r>
    <x v="5"/>
    <x v="0"/>
    <x v="0"/>
    <x v="1"/>
    <n v="135136"/>
    <n v="527998849.34055936"/>
    <n v="948948"/>
    <n v="0"/>
    <n v="556.40440713354087"/>
  </r>
  <r>
    <x v="5"/>
    <x v="0"/>
    <x v="0"/>
    <x v="2"/>
    <n v="21431"/>
    <n v="19477066.533276718"/>
    <n v="948948"/>
    <n v="0"/>
    <n v="20.524903928641734"/>
  </r>
  <r>
    <x v="5"/>
    <x v="0"/>
    <x v="0"/>
    <x v="3"/>
    <n v="8473"/>
    <n v="1865618.249949839"/>
    <n v="948948"/>
    <n v="0"/>
    <n v="1.9659857546987178"/>
  </r>
  <r>
    <x v="5"/>
    <x v="0"/>
    <x v="0"/>
    <x v="4"/>
    <n v="15593"/>
    <n v="16614305.581193211"/>
    <n v="948948"/>
    <n v="0"/>
    <n v="17.508130668058957"/>
  </r>
  <r>
    <x v="5"/>
    <x v="0"/>
    <x v="1"/>
    <x v="0"/>
    <n v="224548"/>
    <n v="76722906.678719521"/>
    <n v="1267409"/>
    <n v="0"/>
    <n v="60.535238962891633"/>
  </r>
  <r>
    <x v="5"/>
    <x v="0"/>
    <x v="1"/>
    <x v="1"/>
    <n v="194627"/>
    <n v="835296156.42202044"/>
    <n v="1267409"/>
    <n v="0"/>
    <n v="659.05809128862143"/>
  </r>
  <r>
    <x v="5"/>
    <x v="0"/>
    <x v="1"/>
    <x v="2"/>
    <n v="34606"/>
    <n v="29408471.506333277"/>
    <n v="1267409"/>
    <n v="0"/>
    <n v="23.20361580699938"/>
  </r>
  <r>
    <x v="5"/>
    <x v="0"/>
    <x v="1"/>
    <x v="3"/>
    <n v="11927"/>
    <n v="3679451.8635118967"/>
    <n v="1267409"/>
    <n v="0"/>
    <n v="2.9031290321529171"/>
  </r>
  <r>
    <x v="5"/>
    <x v="0"/>
    <x v="1"/>
    <x v="4"/>
    <n v="13376"/>
    <n v="16116275.274144217"/>
    <n v="1267409"/>
    <n v="0"/>
    <n v="12.715923016282998"/>
  </r>
  <r>
    <x v="5"/>
    <x v="0"/>
    <x v="2"/>
    <x v="1"/>
    <n v="295358"/>
    <n v="1217617705.9681761"/>
    <n v="1582823"/>
    <n v="0"/>
    <n v="769.26965678927843"/>
  </r>
  <r>
    <x v="5"/>
    <x v="0"/>
    <x v="2"/>
    <x v="0"/>
    <n v="236445"/>
    <n v="100639674.6708905"/>
    <n v="1582823"/>
    <n v="0"/>
    <n v="63.582393401467186"/>
  </r>
  <r>
    <x v="5"/>
    <x v="0"/>
    <x v="2"/>
    <x v="2"/>
    <n v="64998"/>
    <n v="37560565.97386869"/>
    <n v="1582823"/>
    <n v="0"/>
    <n v="23.730111309899268"/>
  </r>
  <r>
    <x v="5"/>
    <x v="0"/>
    <x v="2"/>
    <x v="3"/>
    <n v="7642"/>
    <n v="1302311.5967954171"/>
    <n v="1582823"/>
    <n v="0"/>
    <n v="0.82277778172001359"/>
  </r>
  <r>
    <x v="5"/>
    <x v="0"/>
    <x v="2"/>
    <x v="4"/>
    <n v="12493"/>
    <n v="12234189.324580798"/>
    <n v="1582823"/>
    <n v="0"/>
    <n v="7.7293477063327973"/>
  </r>
  <r>
    <x v="5"/>
    <x v="0"/>
    <x v="3"/>
    <x v="1"/>
    <n v="431461"/>
    <n v="1793871702.3196409"/>
    <n v="1955217"/>
    <n v="0"/>
    <n v="917.47959552297311"/>
  </r>
  <r>
    <x v="5"/>
    <x v="0"/>
    <x v="3"/>
    <x v="0"/>
    <n v="310527"/>
    <n v="128130475.99274208"/>
    <n v="1955217"/>
    <n v="0"/>
    <n v="65.532611466012256"/>
  </r>
  <r>
    <x v="5"/>
    <x v="0"/>
    <x v="3"/>
    <x v="2"/>
    <n v="135266"/>
    <n v="94010713.606160268"/>
    <n v="1955217"/>
    <n v="0"/>
    <n v="48.081984560363516"/>
  </r>
  <r>
    <x v="5"/>
    <x v="0"/>
    <x v="3"/>
    <x v="3"/>
    <n v="10008"/>
    <n v="2039811.3372037038"/>
    <n v="1955217"/>
    <n v="0"/>
    <n v="1.0432659583072896"/>
  </r>
  <r>
    <x v="5"/>
    <x v="0"/>
    <x v="3"/>
    <x v="4"/>
    <n v="17854"/>
    <n v="14538888.524227699"/>
    <n v="1955217"/>
    <n v="0"/>
    <n v="7.4359462526296056"/>
  </r>
  <r>
    <x v="5"/>
    <x v="1"/>
    <x v="0"/>
    <x v="1"/>
    <n v="689400"/>
    <n v="2123866601.6513758"/>
    <n v="2300925"/>
    <n v="0"/>
    <n v="923.04903534507889"/>
  </r>
  <r>
    <x v="5"/>
    <x v="1"/>
    <x v="0"/>
    <x v="0"/>
    <n v="390610"/>
    <n v="161414934.10238376"/>
    <n v="2300925"/>
    <n v="0"/>
    <n v="70.152192749604509"/>
  </r>
  <r>
    <x v="5"/>
    <x v="1"/>
    <x v="0"/>
    <x v="2"/>
    <n v="169984"/>
    <n v="97230471.44089967"/>
    <n v="2300925"/>
    <n v="0"/>
    <n v="42.257123305148873"/>
  </r>
  <r>
    <x v="5"/>
    <x v="1"/>
    <x v="0"/>
    <x v="3"/>
    <n v="7412"/>
    <n v="917030.90667607856"/>
    <n v="2300925"/>
    <n v="0"/>
    <n v="0.39854880392715042"/>
  </r>
  <r>
    <x v="5"/>
    <x v="1"/>
    <x v="0"/>
    <x v="4"/>
    <n v="17070"/>
    <n v="12603012.342693318"/>
    <n v="2300925"/>
    <n v="0"/>
    <n v="5.4773677293668062"/>
  </r>
  <r>
    <x v="5"/>
    <x v="1"/>
    <x v="1"/>
    <x v="1"/>
    <n v="604849"/>
    <n v="2339922407.5233479"/>
    <n v="2644829"/>
    <n v="13421936"/>
    <n v="884.71595234449853"/>
  </r>
  <r>
    <x v="5"/>
    <x v="1"/>
    <x v="1"/>
    <x v="0"/>
    <n v="342294"/>
    <n v="185659011.54417655"/>
    <n v="2644829"/>
    <n v="13421936"/>
    <n v="70.196981182593106"/>
  </r>
  <r>
    <x v="5"/>
    <x v="1"/>
    <x v="1"/>
    <x v="2"/>
    <n v="277811"/>
    <n v="152766864.66190332"/>
    <n v="2644829"/>
    <n v="13421936"/>
    <n v="57.760582881503232"/>
  </r>
  <r>
    <x v="5"/>
    <x v="1"/>
    <x v="1"/>
    <x v="3"/>
    <n v="5590"/>
    <n v="839765.16135158204"/>
    <n v="2644829"/>
    <n v="13421936"/>
    <n v="0.31751208163234068"/>
  </r>
  <r>
    <x v="5"/>
    <x v="1"/>
    <x v="1"/>
    <x v="4"/>
    <n v="21926"/>
    <n v="13928050.053676538"/>
    <n v="2644829"/>
    <n v="13421936"/>
    <n v="5.2661438806352088"/>
  </r>
  <r>
    <x v="5"/>
    <x v="1"/>
    <x v="2"/>
    <x v="1"/>
    <n v="722233"/>
    <n v="2815184152.8041325"/>
    <n v="2940707"/>
    <n v="50877156"/>
    <n v="957.31541864052849"/>
  </r>
  <r>
    <x v="5"/>
    <x v="1"/>
    <x v="2"/>
    <x v="2"/>
    <n v="447069"/>
    <n v="226535908.83557189"/>
    <n v="2940707"/>
    <n v="50877156"/>
    <n v="77.034505251822736"/>
  </r>
  <r>
    <x v="5"/>
    <x v="1"/>
    <x v="2"/>
    <x v="0"/>
    <n v="308219"/>
    <n v="213884900.47217816"/>
    <n v="2940707"/>
    <n v="50877156"/>
    <n v="72.732475718314731"/>
  </r>
  <r>
    <x v="5"/>
    <x v="1"/>
    <x v="2"/>
    <x v="3"/>
    <n v="2447"/>
    <n v="794918.67498147802"/>
    <n v="2940707"/>
    <n v="50877156"/>
    <n v="0.27031549725337412"/>
  </r>
  <r>
    <x v="5"/>
    <x v="1"/>
    <x v="2"/>
    <x v="4"/>
    <n v="26575"/>
    <n v="13282206.873976795"/>
    <n v="2940707"/>
    <n v="50877156"/>
    <n v="4.5166712882231366"/>
  </r>
  <r>
    <x v="5"/>
    <x v="1"/>
    <x v="3"/>
    <x v="1"/>
    <n v="927850"/>
    <n v="3586763928.6423693"/>
    <n v="3185490"/>
    <n v="54564851"/>
    <n v="1125.9692947214933"/>
  </r>
  <r>
    <x v="5"/>
    <x v="1"/>
    <x v="3"/>
    <x v="2"/>
    <n v="561630"/>
    <n v="318692521.79224944"/>
    <n v="3185490"/>
    <n v="54564851"/>
    <n v="100.04505485568922"/>
  </r>
  <r>
    <x v="5"/>
    <x v="1"/>
    <x v="3"/>
    <x v="0"/>
    <n v="338203"/>
    <n v="237695594.96329552"/>
    <n v="3185490"/>
    <n v="54564851"/>
    <n v="74.618220419243357"/>
  </r>
  <r>
    <x v="5"/>
    <x v="1"/>
    <x v="3"/>
    <x v="3"/>
    <n v="1911"/>
    <n v="654298.67850044649"/>
    <n v="3185490"/>
    <n v="54564851"/>
    <n v="0.20539969627920554"/>
  </r>
  <r>
    <x v="5"/>
    <x v="1"/>
    <x v="3"/>
    <x v="4"/>
    <n v="21321"/>
    <n v="8707473.8629362695"/>
    <n v="3185490"/>
    <n v="54564851"/>
    <n v="2.7334802064788368"/>
  </r>
  <r>
    <x v="5"/>
    <x v="2"/>
    <x v="0"/>
    <x v="1"/>
    <n v="1087401"/>
    <n v="4421372542.4680328"/>
    <n v="3441757"/>
    <n v="57213321"/>
    <n v="1284.6265853365107"/>
  </r>
  <r>
    <x v="5"/>
    <x v="2"/>
    <x v="0"/>
    <x v="2"/>
    <n v="764832"/>
    <n v="438193845.45277047"/>
    <n v="3441757"/>
    <n v="57213321"/>
    <n v="127.31690396874924"/>
  </r>
  <r>
    <x v="5"/>
    <x v="2"/>
    <x v="0"/>
    <x v="0"/>
    <n v="389851"/>
    <n v="257250007.24455771"/>
    <n v="3441757"/>
    <n v="57213321"/>
    <n v="74.743803018213583"/>
  </r>
  <r>
    <x v="5"/>
    <x v="2"/>
    <x v="0"/>
    <x v="3"/>
    <n v="1574"/>
    <n v="1406138.1883251297"/>
    <n v="3441757"/>
    <n v="57213321"/>
    <n v="0.40855243072800596"/>
  </r>
  <r>
    <x v="5"/>
    <x v="2"/>
    <x v="0"/>
    <x v="4"/>
    <n v="18853"/>
    <n v="8230536.662513691"/>
    <n v="3441757"/>
    <n v="57213321"/>
    <n v="2.391376457580733"/>
  </r>
  <r>
    <x v="5"/>
    <x v="2"/>
    <x v="1"/>
    <x v="1"/>
    <n v="766698"/>
    <n v="3293060119.5471582"/>
    <n v="3699861"/>
    <n v="37963750"/>
    <n v="890.04968552795856"/>
  </r>
  <r>
    <x v="5"/>
    <x v="2"/>
    <x v="1"/>
    <x v="2"/>
    <n v="390906"/>
    <n v="331423259.00037187"/>
    <n v="3699861"/>
    <n v="37963750"/>
    <n v="89.577218982110921"/>
  </r>
  <r>
    <x v="5"/>
    <x v="2"/>
    <x v="1"/>
    <x v="0"/>
    <n v="361577"/>
    <n v="214425229.3354035"/>
    <n v="3699861"/>
    <n v="37963750"/>
    <n v="57.954941911440322"/>
  </r>
  <r>
    <x v="5"/>
    <x v="2"/>
    <x v="1"/>
    <x v="3"/>
    <n v="1797"/>
    <n v="3982005.1176844486"/>
    <n v="3699861"/>
    <n v="37963750"/>
    <n v="1.0762580317705039"/>
  </r>
  <r>
    <x v="5"/>
    <x v="2"/>
    <x v="1"/>
    <x v="4"/>
    <n v="7032"/>
    <n v="4125116.6894572242"/>
    <n v="3699861"/>
    <n v="37963750"/>
    <n v="1.1149382880754775"/>
  </r>
  <r>
    <x v="5"/>
    <x v="2"/>
    <x v="2"/>
    <x v="1"/>
    <n v="981986"/>
    <n v="4178346395.4124918"/>
    <n v="3988468"/>
    <n v="53776129"/>
    <n v="1047.606849399943"/>
  </r>
  <r>
    <x v="5"/>
    <x v="2"/>
    <x v="2"/>
    <x v="2"/>
    <n v="796634"/>
    <n v="604271248.9262259"/>
    <n v="3988468"/>
    <n v="53776129"/>
    <n v="151.50459999333728"/>
  </r>
  <r>
    <x v="5"/>
    <x v="2"/>
    <x v="2"/>
    <x v="0"/>
    <n v="366353"/>
    <n v="296964794.9657042"/>
    <n v="3988468"/>
    <n v="53776129"/>
    <n v="74.455854971308327"/>
  </r>
  <r>
    <x v="5"/>
    <x v="2"/>
    <x v="2"/>
    <x v="3"/>
    <n v="2643"/>
    <n v="5254415.4572638767"/>
    <n v="3988468"/>
    <n v="53776129"/>
    <n v="1.3174019340919563"/>
  </r>
  <r>
    <x v="5"/>
    <x v="2"/>
    <x v="2"/>
    <x v="4"/>
    <n v="10470"/>
    <n v="4972498.6033853283"/>
    <n v="3988468"/>
    <n v="53776129"/>
    <n v="1.2467189415548348"/>
  </r>
  <r>
    <x v="5"/>
    <x v="2"/>
    <x v="3"/>
    <x v="2"/>
    <n v="1322026"/>
    <n v="939307675.85102057"/>
    <n v="4305422"/>
    <n v="71257714"/>
    <n v="218.16855022597565"/>
  </r>
  <r>
    <x v="5"/>
    <x v="2"/>
    <x v="3"/>
    <x v="1"/>
    <n v="1159377"/>
    <n v="4872318731.3398428"/>
    <n v="4305422"/>
    <n v="71257714"/>
    <n v="1131.6704219330516"/>
  </r>
  <r>
    <x v="5"/>
    <x v="2"/>
    <x v="3"/>
    <x v="0"/>
    <n v="409997"/>
    <n v="320731281.94750684"/>
    <n v="4305422"/>
    <n v="71257714"/>
    <n v="74.494737553602604"/>
  </r>
  <r>
    <x v="5"/>
    <x v="2"/>
    <x v="3"/>
    <x v="3"/>
    <n v="3346"/>
    <n v="4400109.7487523258"/>
    <n v="4305422"/>
    <n v="71257714"/>
    <n v="1.0219926754572086"/>
  </r>
  <r>
    <x v="5"/>
    <x v="2"/>
    <x v="3"/>
    <x v="4"/>
    <n v="17970"/>
    <n v="10005102.462219946"/>
    <n v="4305422"/>
    <n v="71257714"/>
    <n v="2.3238378171105984"/>
  </r>
  <r>
    <x v="5"/>
    <x v="3"/>
    <x v="0"/>
    <x v="2"/>
    <n v="1799072"/>
    <n v="1210594490.0981498"/>
    <n v="4619978"/>
    <n v="87114863"/>
    <n v="262.03468719940867"/>
  </r>
  <r>
    <x v="5"/>
    <x v="3"/>
    <x v="0"/>
    <x v="1"/>
    <n v="1472084"/>
    <n v="5916467167.3032932"/>
    <n v="4619978"/>
    <n v="87114863"/>
    <n v="1280.6266972057645"/>
  </r>
  <r>
    <x v="5"/>
    <x v="3"/>
    <x v="0"/>
    <x v="0"/>
    <n v="678396"/>
    <n v="451109555.33889335"/>
    <n v="4619978"/>
    <n v="87114863"/>
    <n v="97.643225863606574"/>
  </r>
  <r>
    <x v="5"/>
    <x v="3"/>
    <x v="0"/>
    <x v="3"/>
    <n v="5111"/>
    <n v="7700394.7615059018"/>
    <n v="4619978"/>
    <n v="87114863"/>
    <n v="1.6667600498326836"/>
  </r>
  <r>
    <x v="5"/>
    <x v="3"/>
    <x v="0"/>
    <x v="4"/>
    <n v="15574"/>
    <n v="10549252.044153867"/>
    <n v="4619978"/>
    <n v="87114863"/>
    <n v="2.2833987616724296"/>
  </r>
  <r>
    <x v="5"/>
    <x v="3"/>
    <x v="1"/>
    <x v="2"/>
    <n v="1926913"/>
    <n v="1390989390.7789688"/>
    <n v="4934292"/>
    <n v="52073164"/>
    <n v="281.90252842332171"/>
  </r>
  <r>
    <x v="5"/>
    <x v="3"/>
    <x v="1"/>
    <x v="1"/>
    <n v="1663559"/>
    <n v="6541132352.9223328"/>
    <n v="4934292"/>
    <n v="52073164"/>
    <n v="1325.64760109907"/>
  </r>
  <r>
    <x v="5"/>
    <x v="3"/>
    <x v="1"/>
    <x v="0"/>
    <n v="806710"/>
    <n v="467698864.66720557"/>
    <n v="4934292"/>
    <n v="52073164"/>
    <n v="94.785404809282781"/>
  </r>
  <r>
    <x v="5"/>
    <x v="3"/>
    <x v="1"/>
    <x v="3"/>
    <n v="5502"/>
    <n v="7394941.0328421909"/>
    <n v="4934292"/>
    <n v="52073164"/>
    <n v="1.4986833030639839"/>
  </r>
  <r>
    <x v="5"/>
    <x v="3"/>
    <x v="1"/>
    <x v="4"/>
    <n v="14863"/>
    <n v="10458390.534755521"/>
    <n v="4934292"/>
    <n v="52073164"/>
    <n v="2.1195321506622471"/>
  </r>
  <r>
    <x v="5"/>
    <x v="3"/>
    <x v="2"/>
    <x v="2"/>
    <n v="3179506"/>
    <n v="2245390329.2047896"/>
    <n v="5285093"/>
    <n v="70166877"/>
    <n v="424.8535133071054"/>
  </r>
  <r>
    <x v="5"/>
    <x v="3"/>
    <x v="2"/>
    <x v="1"/>
    <n v="2434417"/>
    <n v="8927868098.3407459"/>
    <n v="5285093"/>
    <n v="70166877"/>
    <n v="1689.2546826216201"/>
  </r>
  <r>
    <x v="5"/>
    <x v="3"/>
    <x v="2"/>
    <x v="0"/>
    <n v="1008585"/>
    <n v="620437997.38996029"/>
    <n v="5285093"/>
    <n v="70166877"/>
    <n v="117.39396021791107"/>
  </r>
  <r>
    <x v="5"/>
    <x v="3"/>
    <x v="2"/>
    <x v="3"/>
    <n v="5700"/>
    <n v="7960844.9039718322"/>
    <n v="5285093"/>
    <n v="70166877"/>
    <n v="1.5062828419427685"/>
  </r>
  <r>
    <x v="5"/>
    <x v="3"/>
    <x v="2"/>
    <x v="4"/>
    <n v="21170"/>
    <n v="14225734.853836158"/>
    <n v="5285093"/>
    <n v="70166877"/>
    <n v="2.6916716231551949"/>
  </r>
  <r>
    <x v="5"/>
    <x v="3"/>
    <x v="3"/>
    <x v="2"/>
    <n v="4056249"/>
    <n v="3041038519.8233976"/>
    <n v="5633012"/>
    <n v="127643494"/>
    <n v="539.86011743333722"/>
  </r>
  <r>
    <x v="5"/>
    <x v="3"/>
    <x v="3"/>
    <x v="1"/>
    <n v="2797561"/>
    <n v="10610461952.107159"/>
    <n v="5633012"/>
    <n v="127643494"/>
    <n v="1883.6214004349997"/>
  </r>
  <r>
    <x v="5"/>
    <x v="3"/>
    <x v="3"/>
    <x v="0"/>
    <n v="1013153"/>
    <n v="693790747.24298549"/>
    <n v="5633012"/>
    <n v="127643494"/>
    <n v="123.16514632721987"/>
  </r>
  <r>
    <x v="5"/>
    <x v="3"/>
    <x v="3"/>
    <x v="3"/>
    <n v="7038"/>
    <n v="10459431.863661807"/>
    <n v="5633012"/>
    <n v="127643494"/>
    <n v="1.8568097961910621"/>
  </r>
  <r>
    <x v="5"/>
    <x v="3"/>
    <x v="3"/>
    <x v="4"/>
    <n v="24902"/>
    <n v="17832859.581251591"/>
    <n v="5633012"/>
    <n v="127643494"/>
    <n v="3.165776955783441"/>
  </r>
  <r>
    <x v="6"/>
    <x v="0"/>
    <x v="0"/>
    <x v="0"/>
    <n v="1177618"/>
    <n v="206518662.81014803"/>
    <n v="7471893"/>
    <n v="0"/>
    <n v="27.639403135209246"/>
  </r>
  <r>
    <x v="6"/>
    <x v="0"/>
    <x v="0"/>
    <x v="1"/>
    <n v="550697"/>
    <n v="1838238336.1663632"/>
    <n v="7471893"/>
    <n v="0"/>
    <n v="246.02043098935749"/>
  </r>
  <r>
    <x v="6"/>
    <x v="0"/>
    <x v="0"/>
    <x v="2"/>
    <n v="42411"/>
    <n v="39708474.158690549"/>
    <n v="7471893"/>
    <n v="0"/>
    <n v="5.3143793893582991"/>
  </r>
  <r>
    <x v="6"/>
    <x v="0"/>
    <x v="0"/>
    <x v="3"/>
    <n v="33002"/>
    <n v="7350624.2744615152"/>
    <n v="7471893"/>
    <n v="0"/>
    <n v="0.98377001309594703"/>
  </r>
  <r>
    <x v="6"/>
    <x v="0"/>
    <x v="0"/>
    <x v="4"/>
    <n v="87786"/>
    <n v="57339459.827102087"/>
    <n v="7471893"/>
    <n v="0"/>
    <n v="7.6740204693913698"/>
  </r>
  <r>
    <x v="6"/>
    <x v="0"/>
    <x v="1"/>
    <x v="0"/>
    <n v="1643461"/>
    <n v="351709628.09011692"/>
    <n v="10457425"/>
    <n v="0"/>
    <n v="33.632526945219965"/>
  </r>
  <r>
    <x v="6"/>
    <x v="0"/>
    <x v="1"/>
    <x v="1"/>
    <n v="933066"/>
    <n v="3703114547.6583509"/>
    <n v="10457425"/>
    <n v="0"/>
    <n v="354.11342157924639"/>
  </r>
  <r>
    <x v="6"/>
    <x v="0"/>
    <x v="1"/>
    <x v="2"/>
    <n v="118438"/>
    <n v="129967815.18510856"/>
    <n v="10457425"/>
    <n v="0"/>
    <n v="12.42828088034182"/>
  </r>
  <r>
    <x v="6"/>
    <x v="0"/>
    <x v="1"/>
    <x v="3"/>
    <n v="40299"/>
    <n v="9405941.6270769592"/>
    <n v="10457425"/>
    <n v="0"/>
    <n v="0.89945102423177403"/>
  </r>
  <r>
    <x v="6"/>
    <x v="0"/>
    <x v="1"/>
    <x v="4"/>
    <n v="80892"/>
    <n v="69972510.600996211"/>
    <n v="10457425"/>
    <n v="0"/>
    <n v="6.6911797694935622"/>
  </r>
  <r>
    <x v="6"/>
    <x v="0"/>
    <x v="2"/>
    <x v="0"/>
    <n v="1911374"/>
    <n v="443460556.77590346"/>
    <n v="13395712"/>
    <n v="0"/>
    <n v="33.104664893952894"/>
  </r>
  <r>
    <x v="6"/>
    <x v="0"/>
    <x v="2"/>
    <x v="1"/>
    <n v="1619886"/>
    <n v="5647949187.7479477"/>
    <n v="13395712"/>
    <n v="0"/>
    <n v="421.62366492710112"/>
  </r>
  <r>
    <x v="6"/>
    <x v="0"/>
    <x v="2"/>
    <x v="2"/>
    <n v="220572"/>
    <n v="145342066.01377475"/>
    <n v="13395712"/>
    <n v="0"/>
    <n v="10.849894803185881"/>
  </r>
  <r>
    <x v="6"/>
    <x v="0"/>
    <x v="2"/>
    <x v="3"/>
    <n v="31927"/>
    <n v="6195179.1569994465"/>
    <n v="13395712"/>
    <n v="0"/>
    <n v="0.46247479469545527"/>
  </r>
  <r>
    <x v="6"/>
    <x v="0"/>
    <x v="2"/>
    <x v="4"/>
    <n v="75845"/>
    <n v="59360083.751690038"/>
    <n v="13395712"/>
    <n v="0"/>
    <n v="4.4312750043961859"/>
  </r>
  <r>
    <x v="6"/>
    <x v="0"/>
    <x v="3"/>
    <x v="0"/>
    <n v="2438959"/>
    <n v="554514488.41219842"/>
    <n v="17379978"/>
    <n v="0"/>
    <n v="31.905361929238254"/>
  </r>
  <r>
    <x v="6"/>
    <x v="0"/>
    <x v="3"/>
    <x v="1"/>
    <n v="2342713"/>
    <n v="8450105299.4808016"/>
    <n v="17379978"/>
    <n v="0"/>
    <n v="486.19769826410607"/>
  </r>
  <r>
    <x v="6"/>
    <x v="0"/>
    <x v="3"/>
    <x v="2"/>
    <n v="458091"/>
    <n v="331842964.57864183"/>
    <n v="17379978"/>
    <n v="0"/>
    <n v="19.093405329894079"/>
  </r>
  <r>
    <x v="6"/>
    <x v="0"/>
    <x v="3"/>
    <x v="3"/>
    <n v="42199"/>
    <n v="9709810.4363437071"/>
    <n v="17379978"/>
    <n v="0"/>
    <n v="0.55867794748323085"/>
  </r>
  <r>
    <x v="6"/>
    <x v="0"/>
    <x v="3"/>
    <x v="4"/>
    <n v="83882"/>
    <n v="70240102.063499525"/>
    <n v="17379978"/>
    <n v="0"/>
    <n v="4.0414379157154015"/>
  </r>
  <r>
    <x v="6"/>
    <x v="1"/>
    <x v="0"/>
    <x v="1"/>
    <n v="4068056"/>
    <n v="11417366152.388483"/>
    <n v="20997878"/>
    <n v="0"/>
    <n v="543.73904603067433"/>
  </r>
  <r>
    <x v="6"/>
    <x v="1"/>
    <x v="0"/>
    <x v="0"/>
    <n v="2997095"/>
    <n v="679458794.54427791"/>
    <n v="20997878"/>
    <n v="0"/>
    <n v="32.358450436957391"/>
  </r>
  <r>
    <x v="6"/>
    <x v="1"/>
    <x v="0"/>
    <x v="2"/>
    <n v="710047"/>
    <n v="374735986.85082686"/>
    <n v="20997878"/>
    <n v="0"/>
    <n v="17.846374136035408"/>
  </r>
  <r>
    <x v="6"/>
    <x v="1"/>
    <x v="0"/>
    <x v="3"/>
    <n v="33835"/>
    <n v="5075418.7430071877"/>
    <n v="20997878"/>
    <n v="0"/>
    <n v="0.24171103113405973"/>
  </r>
  <r>
    <x v="6"/>
    <x v="1"/>
    <x v="0"/>
    <x v="4"/>
    <n v="78636"/>
    <n v="67920032.801846623"/>
    <n v="20997878"/>
    <n v="0"/>
    <n v="3.2346141263344146"/>
  </r>
  <r>
    <x v="6"/>
    <x v="1"/>
    <x v="1"/>
    <x v="1"/>
    <n v="4350167"/>
    <n v="15410038389.818308"/>
    <n v="24101726"/>
    <n v="145270103"/>
    <n v="639.37488916015013"/>
  </r>
  <r>
    <x v="6"/>
    <x v="1"/>
    <x v="1"/>
    <x v="0"/>
    <n v="3435305"/>
    <n v="855753107.51046801"/>
    <n v="24101726"/>
    <n v="145270103"/>
    <n v="35.505884827935894"/>
  </r>
  <r>
    <x v="6"/>
    <x v="1"/>
    <x v="1"/>
    <x v="2"/>
    <n v="1483870"/>
    <n v="654411637.01681149"/>
    <n v="24101726"/>
    <n v="145270103"/>
    <n v="27.152065251128136"/>
  </r>
  <r>
    <x v="6"/>
    <x v="1"/>
    <x v="1"/>
    <x v="3"/>
    <n v="22563"/>
    <n v="4237631.5544289704"/>
    <n v="24101726"/>
    <n v="145270103"/>
    <n v="0.17582274209029555"/>
  </r>
  <r>
    <x v="6"/>
    <x v="1"/>
    <x v="1"/>
    <x v="4"/>
    <n v="98040"/>
    <n v="77914922.922278821"/>
    <n v="24101726"/>
    <n v="145270103"/>
    <n v="3.2327528294977221"/>
  </r>
  <r>
    <x v="6"/>
    <x v="1"/>
    <x v="2"/>
    <x v="1"/>
    <n v="5021844"/>
    <n v="17584630267.779922"/>
    <n v="26785638"/>
    <n v="509985751"/>
    <n v="656.49473302745014"/>
  </r>
  <r>
    <x v="6"/>
    <x v="1"/>
    <x v="2"/>
    <x v="0"/>
    <n v="4335851"/>
    <n v="1069468753.7262831"/>
    <n v="26785638"/>
    <n v="509985751"/>
    <n v="39.926947184393484"/>
  </r>
  <r>
    <x v="6"/>
    <x v="1"/>
    <x v="2"/>
    <x v="2"/>
    <n v="2772084"/>
    <n v="1074255588.7227576"/>
    <n v="26785638"/>
    <n v="509985751"/>
    <n v="40.105656199891804"/>
  </r>
  <r>
    <x v="6"/>
    <x v="1"/>
    <x v="2"/>
    <x v="3"/>
    <n v="16452"/>
    <n v="4542997.9391803248"/>
    <n v="26785638"/>
    <n v="509985751"/>
    <n v="0.16960573943321136"/>
  </r>
  <r>
    <x v="6"/>
    <x v="1"/>
    <x v="2"/>
    <x v="4"/>
    <n v="96880"/>
    <n v="70361559.285384387"/>
    <n v="26785638"/>
    <n v="509985751"/>
    <n v="2.626839027891902"/>
  </r>
  <r>
    <x v="6"/>
    <x v="1"/>
    <x v="3"/>
    <x v="1"/>
    <n v="7241974"/>
    <n v="24112075521.017845"/>
    <n v="29984900"/>
    <n v="630068747"/>
    <n v="804.14060147000146"/>
  </r>
  <r>
    <x v="6"/>
    <x v="1"/>
    <x v="3"/>
    <x v="0"/>
    <n v="5112337"/>
    <n v="1257371454.8604"/>
    <n v="29984900"/>
    <n v="630068747"/>
    <n v="41.933488351150075"/>
  </r>
  <r>
    <x v="6"/>
    <x v="1"/>
    <x v="3"/>
    <x v="2"/>
    <n v="3852716"/>
    <n v="1720930747.6285615"/>
    <n v="29984900"/>
    <n v="630068747"/>
    <n v="57.393246188200109"/>
  </r>
  <r>
    <x v="6"/>
    <x v="1"/>
    <x v="3"/>
    <x v="3"/>
    <n v="14974"/>
    <n v="4665759.8042404763"/>
    <n v="29984900"/>
    <n v="630068747"/>
    <n v="0.1556036473104955"/>
  </r>
  <r>
    <x v="6"/>
    <x v="1"/>
    <x v="3"/>
    <x v="4"/>
    <n v="83757"/>
    <n v="48745253.90234077"/>
    <n v="29984900"/>
    <n v="630068747"/>
    <n v="1.6256600456343282"/>
  </r>
  <r>
    <x v="6"/>
    <x v="2"/>
    <x v="0"/>
    <x v="1"/>
    <n v="8109789"/>
    <n v="28723854868.846924"/>
    <n v="33181357"/>
    <n v="706465111"/>
    <n v="865.66245222722273"/>
  </r>
  <r>
    <x v="6"/>
    <x v="2"/>
    <x v="0"/>
    <x v="0"/>
    <n v="6400067"/>
    <n v="1688995018.2209015"/>
    <n v="33181357"/>
    <n v="706465111"/>
    <n v="50.90192719426458"/>
  </r>
  <r>
    <x v="6"/>
    <x v="2"/>
    <x v="0"/>
    <x v="2"/>
    <n v="4923214"/>
    <n v="2393811867.3887434"/>
    <n v="33181357"/>
    <n v="706465111"/>
    <n v="72.143278148291017"/>
  </r>
  <r>
    <x v="6"/>
    <x v="2"/>
    <x v="0"/>
    <x v="3"/>
    <n v="12424"/>
    <n v="7378557.2230602857"/>
    <n v="33181357"/>
    <n v="706465111"/>
    <n v="0.22237056860152782"/>
  </r>
  <r>
    <x v="6"/>
    <x v="2"/>
    <x v="0"/>
    <x v="4"/>
    <n v="78497"/>
    <n v="46557359.676601201"/>
    <n v="33181357"/>
    <n v="706465111"/>
    <n v="1.4031180122199705"/>
  </r>
  <r>
    <x v="6"/>
    <x v="2"/>
    <x v="1"/>
    <x v="0"/>
    <n v="8366200"/>
    <n v="2504355746.828547"/>
    <n v="37418238"/>
    <n v="753427224"/>
    <n v="66.928745998904247"/>
  </r>
  <r>
    <x v="6"/>
    <x v="2"/>
    <x v="1"/>
    <x v="1"/>
    <n v="7216219"/>
    <n v="27351810047.608715"/>
    <n v="37418238"/>
    <n v="753427224"/>
    <n v="730.97536146968537"/>
  </r>
  <r>
    <x v="6"/>
    <x v="2"/>
    <x v="1"/>
    <x v="2"/>
    <n v="3158417"/>
    <n v="2361252112.4196329"/>
    <n v="37418238"/>
    <n v="753427224"/>
    <n v="63.104310588318803"/>
  </r>
  <r>
    <x v="6"/>
    <x v="2"/>
    <x v="1"/>
    <x v="3"/>
    <n v="19986"/>
    <n v="17814454.605634861"/>
    <n v="37418238"/>
    <n v="753427224"/>
    <n v="0.4760901516964765"/>
  </r>
  <r>
    <x v="6"/>
    <x v="2"/>
    <x v="1"/>
    <x v="4"/>
    <n v="60103"/>
    <n v="33149845.438824516"/>
    <n v="37418238"/>
    <n v="753427224"/>
    <n v="0.88592748378008912"/>
  </r>
  <r>
    <x v="6"/>
    <x v="2"/>
    <x v="2"/>
    <x v="1"/>
    <n v="9734445"/>
    <n v="34661165923.130371"/>
    <n v="41793246"/>
    <n v="956104666"/>
    <n v="829.34850102646658"/>
  </r>
  <r>
    <x v="6"/>
    <x v="2"/>
    <x v="2"/>
    <x v="0"/>
    <n v="8705513"/>
    <n v="2790720003.1373434"/>
    <n v="41793246"/>
    <n v="956104666"/>
    <n v="66.774425780121106"/>
  </r>
  <r>
    <x v="6"/>
    <x v="2"/>
    <x v="2"/>
    <x v="2"/>
    <n v="5591916"/>
    <n v="3990179454.1880045"/>
    <n v="41793246"/>
    <n v="956104666"/>
    <n v="95.474265248217492"/>
  </r>
  <r>
    <x v="6"/>
    <x v="2"/>
    <x v="2"/>
    <x v="3"/>
    <n v="34893"/>
    <n v="39141096.450702377"/>
    <n v="41793246"/>
    <n v="956104666"/>
    <n v="0.93654119258174817"/>
  </r>
  <r>
    <x v="6"/>
    <x v="2"/>
    <x v="2"/>
    <x v="4"/>
    <n v="81772"/>
    <n v="45538330.627661861"/>
    <n v="41793246"/>
    <n v="956104666"/>
    <n v="1.0896098050785972"/>
  </r>
  <r>
    <x v="6"/>
    <x v="2"/>
    <x v="3"/>
    <x v="1"/>
    <n v="14257312"/>
    <n v="50812302052.952705"/>
    <n v="46096611"/>
    <n v="1208905137"/>
    <n v="1102.3001680742366"/>
  </r>
  <r>
    <x v="6"/>
    <x v="2"/>
    <x v="3"/>
    <x v="2"/>
    <n v="11677743"/>
    <n v="8238390462.2029839"/>
    <n v="46096611"/>
    <n v="1208905137"/>
    <n v="178.72008990428785"/>
  </r>
  <r>
    <x v="6"/>
    <x v="2"/>
    <x v="3"/>
    <x v="0"/>
    <n v="9423324"/>
    <n v="3033918783.2089992"/>
    <n v="46096611"/>
    <n v="1208905137"/>
    <n v="65.816525713983594"/>
  </r>
  <r>
    <x v="6"/>
    <x v="2"/>
    <x v="3"/>
    <x v="3"/>
    <n v="41308"/>
    <n v="48082346.061246961"/>
    <n v="46096611"/>
    <n v="1208905137"/>
    <n v="1.0430776800760246"/>
  </r>
  <r>
    <x v="6"/>
    <x v="2"/>
    <x v="3"/>
    <x v="4"/>
    <n v="129949"/>
    <n v="82280639.522628665"/>
    <n v="46096611"/>
    <n v="1208905137"/>
    <n v="1.7849607105092533"/>
  </r>
  <r>
    <x v="6"/>
    <x v="3"/>
    <x v="0"/>
    <x v="1"/>
    <n v="15621154"/>
    <n v="55638916992.138962"/>
    <n v="49660061"/>
    <n v="1371135744"/>
    <n v="1120.3956634716772"/>
  </r>
  <r>
    <x v="6"/>
    <x v="3"/>
    <x v="0"/>
    <x v="2"/>
    <n v="15222763"/>
    <n v="10661449529.109669"/>
    <n v="49660061"/>
    <n v="1371135744"/>
    <n v="214.68861121837261"/>
  </r>
  <r>
    <x v="6"/>
    <x v="3"/>
    <x v="0"/>
    <x v="0"/>
    <n v="8456094"/>
    <n v="3000977538.8405628"/>
    <n v="49660061"/>
    <n v="1371135744"/>
    <n v="60.430403797541906"/>
  </r>
  <r>
    <x v="6"/>
    <x v="3"/>
    <x v="0"/>
    <x v="3"/>
    <n v="37395"/>
    <n v="40387648.84021996"/>
    <n v="49660061"/>
    <n v="1371135744"/>
    <n v="0.81328230426901726"/>
  </r>
  <r>
    <x v="6"/>
    <x v="3"/>
    <x v="0"/>
    <x v="4"/>
    <n v="99031"/>
    <n v="68111552.622150168"/>
    <n v="49660061"/>
    <n v="1371135744"/>
    <n v="1.3715559596704918"/>
  </r>
  <r>
    <x v="6"/>
    <x v="3"/>
    <x v="1"/>
    <x v="1"/>
    <n v="18387345"/>
    <n v="62134058797.435898"/>
    <n v="53207605"/>
    <n v="2263631887"/>
    <n v="1167.7665025034653"/>
  </r>
  <r>
    <x v="6"/>
    <x v="3"/>
    <x v="1"/>
    <x v="2"/>
    <n v="15369311"/>
    <n v="12828590761.713423"/>
    <n v="53207605"/>
    <n v="2263631887"/>
    <n v="241.104457938173"/>
  </r>
  <r>
    <x v="6"/>
    <x v="3"/>
    <x v="1"/>
    <x v="0"/>
    <n v="10764784"/>
    <n v="3640692364.1650519"/>
    <n v="53207605"/>
    <n v="2263631887"/>
    <n v="68.424285666777365"/>
  </r>
  <r>
    <x v="6"/>
    <x v="3"/>
    <x v="1"/>
    <x v="3"/>
    <n v="40213"/>
    <n v="39620256.36433959"/>
    <n v="53207605"/>
    <n v="2263631887"/>
    <n v="0.74463521454009418"/>
  </r>
  <r>
    <x v="6"/>
    <x v="3"/>
    <x v="1"/>
    <x v="4"/>
    <n v="127767"/>
    <n v="85809079.547311842"/>
    <n v="53207605"/>
    <n v="2263631887"/>
    <n v="1.6127220826292001"/>
  </r>
  <r>
    <x v="6"/>
    <x v="3"/>
    <x v="2"/>
    <x v="2"/>
    <n v="27552743"/>
    <n v="19905616746.805294"/>
    <n v="57266924"/>
    <n v="3041346836"/>
    <n v="347.59360825465836"/>
  </r>
  <r>
    <x v="6"/>
    <x v="3"/>
    <x v="2"/>
    <x v="1"/>
    <n v="25447410"/>
    <n v="80506858751.328827"/>
    <n v="57266924"/>
    <n v="3041346836"/>
    <n v="1405.8177588048702"/>
  </r>
  <r>
    <x v="6"/>
    <x v="3"/>
    <x v="2"/>
    <x v="0"/>
    <n v="11039088"/>
    <n v="4045490947.2382197"/>
    <n v="57266924"/>
    <n v="3041346836"/>
    <n v="70.642714234803663"/>
  </r>
  <r>
    <x v="6"/>
    <x v="3"/>
    <x v="2"/>
    <x v="3"/>
    <n v="38817"/>
    <n v="48855662.401426382"/>
    <n v="57266924"/>
    <n v="3041346836"/>
    <n v="0.85312181952406563"/>
  </r>
  <r>
    <x v="6"/>
    <x v="3"/>
    <x v="2"/>
    <x v="4"/>
    <n v="159880"/>
    <n v="99286155.002958775"/>
    <n v="57266924"/>
    <n v="3041346836"/>
    <n v="1.7337434607620759"/>
  </r>
  <r>
    <x v="6"/>
    <x v="3"/>
    <x v="3"/>
    <x v="2"/>
    <n v="40526025"/>
    <n v="29283695601.229546"/>
    <n v="61220291"/>
    <n v="2769278413"/>
    <n v="478.33316573469972"/>
  </r>
  <r>
    <x v="6"/>
    <x v="3"/>
    <x v="3"/>
    <x v="1"/>
    <n v="32799167"/>
    <n v="102177997315.68285"/>
    <n v="61220291"/>
    <n v="2769278413"/>
    <n v="1669.0217515575489"/>
  </r>
  <r>
    <x v="6"/>
    <x v="3"/>
    <x v="3"/>
    <x v="0"/>
    <n v="11115444"/>
    <n v="4724827139.9519415"/>
    <n v="61220291"/>
    <n v="2769278413"/>
    <n v="77.177469475797523"/>
  </r>
  <r>
    <x v="6"/>
    <x v="3"/>
    <x v="3"/>
    <x v="3"/>
    <n v="55237"/>
    <n v="66445873.296120845"/>
    <n v="61220291"/>
    <n v="2769278413"/>
    <n v="1.0853570313169671"/>
  </r>
  <r>
    <x v="6"/>
    <x v="3"/>
    <x v="3"/>
    <x v="4"/>
    <n v="221621"/>
    <n v="146144588.65236923"/>
    <n v="61220291"/>
    <n v="2769278413"/>
    <n v="2.3871919957448298"/>
  </r>
  <r>
    <x v="7"/>
    <x v="0"/>
    <x v="0"/>
    <x v="0"/>
    <n v="95544"/>
    <n v="17526369.5804541"/>
    <n v="585838"/>
    <n v="0"/>
    <n v="29.91675101385383"/>
  </r>
  <r>
    <x v="7"/>
    <x v="0"/>
    <x v="0"/>
    <x v="1"/>
    <n v="44599"/>
    <n v="151966933.24607396"/>
    <n v="585838"/>
    <n v="0"/>
    <n v="259.40094914647727"/>
  </r>
  <r>
    <x v="7"/>
    <x v="0"/>
    <x v="0"/>
    <x v="2"/>
    <n v="1531"/>
    <n v="1580762.7797390721"/>
    <n v="585838"/>
    <n v="0"/>
    <n v="2.6982933502761379"/>
  </r>
  <r>
    <x v="7"/>
    <x v="0"/>
    <x v="0"/>
    <x v="3"/>
    <n v="1364"/>
    <n v="353171.55238149129"/>
    <n v="585838"/>
    <n v="0"/>
    <n v="0.60284848777561595"/>
  </r>
  <r>
    <x v="7"/>
    <x v="0"/>
    <x v="0"/>
    <x v="4"/>
    <n v="5511"/>
    <n v="4231146.9505682504"/>
    <n v="585838"/>
    <n v="0"/>
    <n v="7.2223839193911124"/>
  </r>
  <r>
    <x v="7"/>
    <x v="0"/>
    <x v="1"/>
    <x v="0"/>
    <n v="122834"/>
    <n v="30595592.007682398"/>
    <n v="786038"/>
    <n v="0"/>
    <n v="38.923807764614942"/>
  </r>
  <r>
    <x v="7"/>
    <x v="0"/>
    <x v="1"/>
    <x v="1"/>
    <n v="69215"/>
    <n v="261995613.05482048"/>
    <n v="786038"/>
    <n v="0"/>
    <n v="333.31163767504938"/>
  </r>
  <r>
    <x v="7"/>
    <x v="0"/>
    <x v="1"/>
    <x v="2"/>
    <n v="3544"/>
    <n v="4685536.0364335552"/>
    <n v="786038"/>
    <n v="0"/>
    <n v="5.9609535880371629"/>
  </r>
  <r>
    <x v="7"/>
    <x v="0"/>
    <x v="1"/>
    <x v="3"/>
    <n v="2996"/>
    <n v="383806.08546730166"/>
    <n v="786038"/>
    <n v="0"/>
    <n v="0.48827930134077696"/>
  </r>
  <r>
    <x v="7"/>
    <x v="0"/>
    <x v="1"/>
    <x v="4"/>
    <n v="4037"/>
    <n v="4410224.4717478808"/>
    <n v="786038"/>
    <n v="0"/>
    <n v="5.6107013550844629"/>
  </r>
  <r>
    <x v="7"/>
    <x v="0"/>
    <x v="2"/>
    <x v="0"/>
    <n v="157113"/>
    <n v="39790820.293594562"/>
    <n v="1013177"/>
    <n v="0"/>
    <n v="39.273315811151022"/>
  </r>
  <r>
    <x v="7"/>
    <x v="0"/>
    <x v="2"/>
    <x v="1"/>
    <n v="119346"/>
    <n v="396698085.41045523"/>
    <n v="1013177"/>
    <n v="0"/>
    <n v="391.53877892061826"/>
  </r>
  <r>
    <x v="7"/>
    <x v="0"/>
    <x v="2"/>
    <x v="2"/>
    <n v="7465"/>
    <n v="5693604.7441260815"/>
    <n v="1013177"/>
    <n v="0"/>
    <n v="5.6195558566036157"/>
  </r>
  <r>
    <x v="7"/>
    <x v="0"/>
    <x v="2"/>
    <x v="3"/>
    <n v="1477"/>
    <n v="297647.89589848556"/>
    <n v="1013177"/>
    <n v="0"/>
    <n v="0.29377679901782766"/>
  </r>
  <r>
    <x v="7"/>
    <x v="0"/>
    <x v="2"/>
    <x v="4"/>
    <n v="4174"/>
    <n v="5159437.3341009589"/>
    <n v="1013177"/>
    <n v="0"/>
    <n v="5.0923356275369054"/>
  </r>
  <r>
    <x v="7"/>
    <x v="0"/>
    <x v="3"/>
    <x v="1"/>
    <n v="194214"/>
    <n v="582082154.41151333"/>
    <n v="1281621"/>
    <n v="0"/>
    <n v="454.17651116165649"/>
  </r>
  <r>
    <x v="7"/>
    <x v="0"/>
    <x v="3"/>
    <x v="0"/>
    <n v="185793"/>
    <n v="49972030.112854838"/>
    <n v="1281621"/>
    <n v="0"/>
    <n v="38.991269737976232"/>
  </r>
  <r>
    <x v="7"/>
    <x v="0"/>
    <x v="3"/>
    <x v="2"/>
    <n v="15739"/>
    <n v="19577328.03937304"/>
    <n v="1281621"/>
    <n v="0"/>
    <n v="15.275442614761337"/>
  </r>
  <r>
    <x v="7"/>
    <x v="0"/>
    <x v="3"/>
    <x v="3"/>
    <n v="2996"/>
    <n v="371674.69913357432"/>
    <n v="1281621"/>
    <n v="0"/>
    <n v="0.29000359633118866"/>
  </r>
  <r>
    <x v="7"/>
    <x v="0"/>
    <x v="3"/>
    <x v="4"/>
    <n v="5340"/>
    <n v="6747429.5380119532"/>
    <n v="1281621"/>
    <n v="0"/>
    <n v="5.2647619990714523"/>
  </r>
  <r>
    <x v="7"/>
    <x v="1"/>
    <x v="0"/>
    <x v="1"/>
    <n v="408465"/>
    <n v="757657638.31739521"/>
    <n v="1545852"/>
    <n v="0"/>
    <n v="490.12301198135088"/>
  </r>
  <r>
    <x v="7"/>
    <x v="1"/>
    <x v="0"/>
    <x v="0"/>
    <n v="225998"/>
    <n v="62660761.888069317"/>
    <n v="1545852"/>
    <n v="0"/>
    <n v="40.534774278565685"/>
  </r>
  <r>
    <x v="7"/>
    <x v="1"/>
    <x v="0"/>
    <x v="2"/>
    <n v="20694"/>
    <n v="17043867.886081461"/>
    <n v="1545852"/>
    <n v="0"/>
    <n v="11.025549590828527"/>
  </r>
  <r>
    <x v="7"/>
    <x v="1"/>
    <x v="0"/>
    <x v="3"/>
    <n v="1645"/>
    <n v="221064.6189234741"/>
    <n v="1545852"/>
    <n v="0"/>
    <n v="0.14300503471449666"/>
  </r>
  <r>
    <x v="7"/>
    <x v="1"/>
    <x v="0"/>
    <x v="4"/>
    <n v="5012"/>
    <n v="5786443.3394310949"/>
    <n v="1545852"/>
    <n v="0"/>
    <n v="3.7432065549813922"/>
  </r>
  <r>
    <x v="7"/>
    <x v="1"/>
    <x v="1"/>
    <x v="1"/>
    <n v="244134"/>
    <n v="734034142.80873871"/>
    <n v="1744380"/>
    <n v="9467546"/>
    <n v="420.79944897828381"/>
  </r>
  <r>
    <x v="7"/>
    <x v="1"/>
    <x v="1"/>
    <x v="0"/>
    <n v="198184"/>
    <n v="63874445.552418791"/>
    <n v="1744380"/>
    <n v="9467546"/>
    <n v="36.617276942190799"/>
  </r>
  <r>
    <x v="7"/>
    <x v="1"/>
    <x v="1"/>
    <x v="2"/>
    <n v="40781"/>
    <n v="20816136.241969176"/>
    <n v="1744380"/>
    <n v="9467546"/>
    <n v="11.933257800461583"/>
  </r>
  <r>
    <x v="7"/>
    <x v="1"/>
    <x v="1"/>
    <x v="3"/>
    <n v="748"/>
    <n v="155149.75618074698"/>
    <n v="1744380"/>
    <n v="9467546"/>
    <n v="8.8942636455787719E-2"/>
  </r>
  <r>
    <x v="7"/>
    <x v="1"/>
    <x v="1"/>
    <x v="4"/>
    <n v="5809"/>
    <n v="5561402.2057634462"/>
    <n v="1744380"/>
    <n v="9467546"/>
    <n v="3.1881827387171637"/>
  </r>
  <r>
    <x v="7"/>
    <x v="1"/>
    <x v="2"/>
    <x v="0"/>
    <n v="319142"/>
    <n v="104597035.07984878"/>
    <n v="1946219"/>
    <n v="34388079"/>
    <n v="53.743712850326084"/>
  </r>
  <r>
    <x v="7"/>
    <x v="1"/>
    <x v="2"/>
    <x v="1"/>
    <n v="249944"/>
    <n v="821178569.05932534"/>
    <n v="1946219"/>
    <n v="34388079"/>
    <n v="421.93533670122702"/>
  </r>
  <r>
    <x v="7"/>
    <x v="1"/>
    <x v="2"/>
    <x v="2"/>
    <n v="63616"/>
    <n v="30634658.237494454"/>
    <n v="1946219"/>
    <n v="34388079"/>
    <n v="15.740601770661192"/>
  </r>
  <r>
    <x v="7"/>
    <x v="1"/>
    <x v="2"/>
    <x v="3"/>
    <n v="533"/>
    <n v="425044.05141368794"/>
    <n v="1946219"/>
    <n v="34388079"/>
    <n v="0.21839477027697701"/>
  </r>
  <r>
    <x v="7"/>
    <x v="1"/>
    <x v="2"/>
    <x v="4"/>
    <n v="5516"/>
    <n v="4636167.4202897688"/>
    <n v="1946219"/>
    <n v="34388079"/>
    <n v="2.3821406636610623"/>
  </r>
  <r>
    <x v="7"/>
    <x v="1"/>
    <x v="3"/>
    <x v="0"/>
    <n v="351819"/>
    <n v="125809568.35055912"/>
    <n v="2173578"/>
    <n v="41475973"/>
    <n v="57.881322110620879"/>
  </r>
  <r>
    <x v="7"/>
    <x v="1"/>
    <x v="3"/>
    <x v="1"/>
    <n v="324464"/>
    <n v="1051976410.5472054"/>
    <n v="2173578"/>
    <n v="41475973"/>
    <n v="483.98374042578894"/>
  </r>
  <r>
    <x v="7"/>
    <x v="1"/>
    <x v="3"/>
    <x v="2"/>
    <n v="86758"/>
    <n v="45361559.238248833"/>
    <n v="2173578"/>
    <n v="41475973"/>
    <n v="20.869533662122468"/>
  </r>
  <r>
    <x v="7"/>
    <x v="1"/>
    <x v="3"/>
    <x v="3"/>
    <n v="1019"/>
    <n v="267762.49056630814"/>
    <n v="2173578"/>
    <n v="41475973"/>
    <n v="0.12318973166194548"/>
  </r>
  <r>
    <x v="7"/>
    <x v="1"/>
    <x v="3"/>
    <x v="4"/>
    <n v="4911"/>
    <n v="3225961.3844606429"/>
    <n v="2173578"/>
    <n v="41475973"/>
    <n v="1.4841709772829146"/>
  </r>
  <r>
    <x v="7"/>
    <x v="2"/>
    <x v="0"/>
    <x v="0"/>
    <n v="407577"/>
    <n v="153340696.30393675"/>
    <n v="2403456"/>
    <n v="46146342"/>
    <n v="63.800084671380191"/>
  </r>
  <r>
    <x v="7"/>
    <x v="2"/>
    <x v="0"/>
    <x v="1"/>
    <n v="329005"/>
    <n v="1119439489.5005136"/>
    <n v="2403456"/>
    <n v="46146342"/>
    <n v="465.76242273647347"/>
  </r>
  <r>
    <x v="7"/>
    <x v="2"/>
    <x v="0"/>
    <x v="2"/>
    <n v="137040"/>
    <n v="66713356.798143014"/>
    <n v="2403456"/>
    <n v="46146342"/>
    <n v="27.757261542604905"/>
  </r>
  <r>
    <x v="7"/>
    <x v="2"/>
    <x v="0"/>
    <x v="3"/>
    <n v="668"/>
    <n v="418783.12609041733"/>
    <n v="2403456"/>
    <n v="46146342"/>
    <n v="0.17424206063702324"/>
  </r>
  <r>
    <x v="7"/>
    <x v="2"/>
    <x v="0"/>
    <x v="4"/>
    <n v="4289"/>
    <n v="2851043.5638340712"/>
    <n v="2403456"/>
    <n v="46146342"/>
    <n v="1.1862266518854812"/>
  </r>
  <r>
    <x v="7"/>
    <x v="2"/>
    <x v="1"/>
    <x v="0"/>
    <n v="525974"/>
    <n v="178877986.72486579"/>
    <n v="2692954"/>
    <n v="49556397"/>
    <n v="66.424449405695682"/>
  </r>
  <r>
    <x v="7"/>
    <x v="2"/>
    <x v="1"/>
    <x v="1"/>
    <n v="323909"/>
    <n v="1052118443.3664523"/>
    <n v="2692954"/>
    <n v="49556397"/>
    <n v="390.69306173311998"/>
  </r>
  <r>
    <x v="7"/>
    <x v="2"/>
    <x v="1"/>
    <x v="2"/>
    <n v="118801"/>
    <n v="68938500.712280512"/>
    <n v="2692954"/>
    <n v="49556397"/>
    <n v="25.599583473123012"/>
  </r>
  <r>
    <x v="7"/>
    <x v="2"/>
    <x v="1"/>
    <x v="3"/>
    <n v="1826"/>
    <n v="993268.29718406056"/>
    <n v="2692954"/>
    <n v="49556397"/>
    <n v="0.36883968206811574"/>
  </r>
  <r>
    <x v="7"/>
    <x v="2"/>
    <x v="1"/>
    <x v="4"/>
    <n v="2642"/>
    <n v="1448254.787275234"/>
    <n v="2692954"/>
    <n v="49556397"/>
    <n v="0.53779410538584549"/>
  </r>
  <r>
    <x v="7"/>
    <x v="2"/>
    <x v="2"/>
    <x v="0"/>
    <n v="455603"/>
    <n v="201223380.1868608"/>
    <n v="2947406"/>
    <n v="48636489"/>
    <n v="68.271347818000237"/>
  </r>
  <r>
    <x v="7"/>
    <x v="2"/>
    <x v="2"/>
    <x v="1"/>
    <n v="419524"/>
    <n v="1401020928.2319155"/>
    <n v="2947406"/>
    <n v="48636489"/>
    <n v="475.34032577524624"/>
  </r>
  <r>
    <x v="7"/>
    <x v="2"/>
    <x v="2"/>
    <x v="2"/>
    <n v="257572"/>
    <n v="143497844.49072367"/>
    <n v="2947406"/>
    <n v="48636489"/>
    <n v="48.686147918109576"/>
  </r>
  <r>
    <x v="7"/>
    <x v="2"/>
    <x v="2"/>
    <x v="3"/>
    <n v="1635"/>
    <n v="1778864.0123306382"/>
    <n v="2947406"/>
    <n v="48636489"/>
    <n v="0.6035354519637397"/>
  </r>
  <r>
    <x v="7"/>
    <x v="2"/>
    <x v="2"/>
    <x v="4"/>
    <n v="3978"/>
    <n v="2268098.0775317708"/>
    <n v="2947406"/>
    <n v="48636489"/>
    <n v="0.76952346488124501"/>
  </r>
  <r>
    <x v="7"/>
    <x v="2"/>
    <x v="3"/>
    <x v="1"/>
    <n v="666995"/>
    <n v="2153786522.547576"/>
    <n v="3261423"/>
    <n v="68160796"/>
    <n v="660.38245347125348"/>
  </r>
  <r>
    <x v="7"/>
    <x v="2"/>
    <x v="3"/>
    <x v="2"/>
    <n v="631443"/>
    <n v="316510115.80515665"/>
    <n v="3261423"/>
    <n v="68160796"/>
    <n v="97.046631425962431"/>
  </r>
  <r>
    <x v="7"/>
    <x v="2"/>
    <x v="3"/>
    <x v="0"/>
    <n v="509971"/>
    <n v="224246669.77833471"/>
    <n v="3261423"/>
    <n v="68160796"/>
    <n v="68.757309241498177"/>
  </r>
  <r>
    <x v="7"/>
    <x v="2"/>
    <x v="3"/>
    <x v="3"/>
    <n v="2453"/>
    <n v="1683959.5099964456"/>
    <n v="3261423"/>
    <n v="68160796"/>
    <n v="0.51632661877850428"/>
  </r>
  <r>
    <x v="7"/>
    <x v="2"/>
    <x v="3"/>
    <x v="4"/>
    <n v="6929"/>
    <n v="4283833.1874416023"/>
    <n v="3261423"/>
    <n v="68160796"/>
    <n v="1.3134859193185313"/>
  </r>
  <r>
    <x v="7"/>
    <x v="3"/>
    <x v="0"/>
    <x v="1"/>
    <n v="768921"/>
    <n v="2379220756.2230163"/>
    <n v="3535356"/>
    <n v="80327082"/>
    <n v="672.97911616906936"/>
  </r>
  <r>
    <x v="7"/>
    <x v="3"/>
    <x v="0"/>
    <x v="2"/>
    <n v="705821"/>
    <n v="367522132.38063604"/>
    <n v="3535356"/>
    <n v="80327082"/>
    <n v="103.95618782963753"/>
  </r>
  <r>
    <x v="7"/>
    <x v="3"/>
    <x v="0"/>
    <x v="0"/>
    <n v="442926"/>
    <n v="213177144.73200977"/>
    <n v="3535356"/>
    <n v="80327082"/>
    <n v="60.29863604457649"/>
  </r>
  <r>
    <x v="7"/>
    <x v="3"/>
    <x v="0"/>
    <x v="3"/>
    <n v="2243"/>
    <n v="1930008.9716834244"/>
    <n v="3535356"/>
    <n v="80327082"/>
    <n v="0.54591644283727703"/>
  </r>
  <r>
    <x v="7"/>
    <x v="3"/>
    <x v="0"/>
    <x v="4"/>
    <n v="5333"/>
    <n v="3782868.8861592514"/>
    <n v="3535356"/>
    <n v="80327082"/>
    <n v="1.0700107389918445"/>
  </r>
  <r>
    <x v="7"/>
    <x v="3"/>
    <x v="1"/>
    <x v="1"/>
    <n v="843550"/>
    <n v="2512913026.4279447"/>
    <n v="3794934"/>
    <n v="55692813"/>
    <n v="662.1756864356388"/>
  </r>
  <r>
    <x v="7"/>
    <x v="3"/>
    <x v="1"/>
    <x v="2"/>
    <n v="802899"/>
    <n v="430487473.93056202"/>
    <n v="3794934"/>
    <n v="55692813"/>
    <n v="113.43740732528208"/>
  </r>
  <r>
    <x v="7"/>
    <x v="3"/>
    <x v="1"/>
    <x v="0"/>
    <n v="471136"/>
    <n v="208762964.01200241"/>
    <n v="3794934"/>
    <n v="55692813"/>
    <n v="55.010960404582114"/>
  </r>
  <r>
    <x v="7"/>
    <x v="3"/>
    <x v="1"/>
    <x v="3"/>
    <n v="1826"/>
    <n v="1763792.6506419359"/>
    <n v="3794934"/>
    <n v="55692813"/>
    <n v="0.46477557992890939"/>
  </r>
  <r>
    <x v="7"/>
    <x v="3"/>
    <x v="1"/>
    <x v="4"/>
    <n v="5672"/>
    <n v="3741204.3977531465"/>
    <n v="3794934"/>
    <n v="55692813"/>
    <n v="0.98584175581265621"/>
  </r>
  <r>
    <x v="7"/>
    <x v="3"/>
    <x v="2"/>
    <x v="2"/>
    <n v="1312241"/>
    <n v="706774071.93816876"/>
    <n v="4090614"/>
    <n v="78790074"/>
    <n v="172.77945852093811"/>
  </r>
  <r>
    <x v="7"/>
    <x v="3"/>
    <x v="2"/>
    <x v="1"/>
    <n v="1262732"/>
    <n v="3339347400.0643554"/>
    <n v="4090614"/>
    <n v="78790074"/>
    <n v="816.34380561557634"/>
  </r>
  <r>
    <x v="7"/>
    <x v="3"/>
    <x v="2"/>
    <x v="0"/>
    <n v="544322"/>
    <n v="253199754.87452751"/>
    <n v="4090614"/>
    <n v="78790074"/>
    <n v="61.897738303963052"/>
  </r>
  <r>
    <x v="7"/>
    <x v="3"/>
    <x v="2"/>
    <x v="3"/>
    <n v="2065"/>
    <n v="2252116.6364592309"/>
    <n v="4090614"/>
    <n v="78790074"/>
    <n v="0.55055711354315784"/>
  </r>
  <r>
    <x v="7"/>
    <x v="3"/>
    <x v="2"/>
    <x v="4"/>
    <n v="8110"/>
    <n v="4365759.2779960167"/>
    <n v="4090614"/>
    <n v="78790074"/>
    <n v="1.0672625864958212"/>
  </r>
  <r>
    <x v="7"/>
    <x v="3"/>
    <x v="3"/>
    <x v="2"/>
    <n v="2013673"/>
    <n v="1058989463.1650428"/>
    <n v="4388593"/>
    <n v="165104005"/>
    <n v="241.30500667640922"/>
  </r>
  <r>
    <x v="7"/>
    <x v="3"/>
    <x v="3"/>
    <x v="1"/>
    <n v="1577168"/>
    <n v="4202291071.7106133"/>
    <n v="4388593"/>
    <n v="165104005"/>
    <n v="957.54859740026325"/>
  </r>
  <r>
    <x v="7"/>
    <x v="3"/>
    <x v="3"/>
    <x v="0"/>
    <n v="551618"/>
    <n v="294991582.16815025"/>
    <n v="4388593"/>
    <n v="165104005"/>
    <n v="67.217803557575337"/>
  </r>
  <r>
    <x v="7"/>
    <x v="3"/>
    <x v="3"/>
    <x v="3"/>
    <n v="2909"/>
    <n v="3159306.4175118254"/>
    <n v="4388593"/>
    <n v="165104005"/>
    <n v="0.71989050192438109"/>
  </r>
  <r>
    <x v="7"/>
    <x v="3"/>
    <x v="3"/>
    <x v="4"/>
    <n v="11717"/>
    <n v="6407962.869342193"/>
    <n v="4388593"/>
    <n v="165104005"/>
    <n v="1.4601406121146785"/>
  </r>
  <r>
    <x v="8"/>
    <x v="0"/>
    <x v="0"/>
    <x v="0"/>
    <n v="3947297"/>
    <n v="1320559612.770412"/>
    <n v="22957242"/>
    <n v="0"/>
    <n v="57.522572300732463"/>
  </r>
  <r>
    <x v="8"/>
    <x v="0"/>
    <x v="0"/>
    <x v="1"/>
    <n v="2380820"/>
    <n v="9125685134.8943577"/>
    <n v="22957242"/>
    <n v="0"/>
    <n v="397.50790338379312"/>
  </r>
  <r>
    <x v="8"/>
    <x v="0"/>
    <x v="0"/>
    <x v="2"/>
    <n v="339809"/>
    <n v="375393115.19131327"/>
    <n v="22957242"/>
    <n v="0"/>
    <n v="16.351838569777382"/>
  </r>
  <r>
    <x v="8"/>
    <x v="0"/>
    <x v="0"/>
    <x v="3"/>
    <n v="136240"/>
    <n v="45588429.271575734"/>
    <n v="22957242"/>
    <n v="0"/>
    <n v="1.9857973040304986"/>
  </r>
  <r>
    <x v="8"/>
    <x v="0"/>
    <x v="0"/>
    <x v="4"/>
    <n v="318588"/>
    <n v="344277514.79230261"/>
    <n v="22957242"/>
    <n v="0"/>
    <n v="14.996466683249782"/>
  </r>
  <r>
    <x v="8"/>
    <x v="0"/>
    <x v="1"/>
    <x v="0"/>
    <n v="4511737"/>
    <n v="2078183615.8006349"/>
    <n v="30317551"/>
    <n v="0"/>
    <n v="68.547212662415731"/>
  </r>
  <r>
    <x v="8"/>
    <x v="0"/>
    <x v="1"/>
    <x v="1"/>
    <n v="3542716"/>
    <n v="14348179103.109837"/>
    <n v="30317551"/>
    <n v="0"/>
    <n v="473.26313075583965"/>
  </r>
  <r>
    <x v="8"/>
    <x v="0"/>
    <x v="1"/>
    <x v="2"/>
    <n v="837001"/>
    <n v="631597790.60025883"/>
    <n v="30317551"/>
    <n v="0"/>
    <n v="20.832744392852142"/>
  </r>
  <r>
    <x v="8"/>
    <x v="0"/>
    <x v="1"/>
    <x v="3"/>
    <n v="205991"/>
    <n v="66584728.195946947"/>
    <n v="30317551"/>
    <n v="0"/>
    <n v="2.1962436278559223"/>
  </r>
  <r>
    <x v="8"/>
    <x v="0"/>
    <x v="1"/>
    <x v="4"/>
    <n v="276278"/>
    <n v="321754664.49846911"/>
    <n v="30317551"/>
    <n v="0"/>
    <n v="10.612818446267942"/>
  </r>
  <r>
    <x v="8"/>
    <x v="0"/>
    <x v="2"/>
    <x v="1"/>
    <n v="8557153"/>
    <n v="22670122888.868217"/>
    <n v="38554021"/>
    <n v="0"/>
    <n v="588.00929970101481"/>
  </r>
  <r>
    <x v="8"/>
    <x v="0"/>
    <x v="2"/>
    <x v="0"/>
    <n v="5305635"/>
    <n v="3261844270.537241"/>
    <n v="38554021"/>
    <n v="0"/>
    <n v="84.604515584437763"/>
  </r>
  <r>
    <x v="8"/>
    <x v="0"/>
    <x v="2"/>
    <x v="2"/>
    <n v="3808395"/>
    <n v="1048422633.7093576"/>
    <n v="38554021"/>
    <n v="0"/>
    <n v="27.193600213823551"/>
  </r>
  <r>
    <x v="8"/>
    <x v="0"/>
    <x v="2"/>
    <x v="3"/>
    <n v="274526"/>
    <n v="45051151.351430357"/>
    <n v="38554021"/>
    <n v="0"/>
    <n v="1.1685201746253746"/>
  </r>
  <r>
    <x v="8"/>
    <x v="0"/>
    <x v="2"/>
    <x v="4"/>
    <n v="601339"/>
    <n v="350405916.1523186"/>
    <n v="38554021"/>
    <n v="0"/>
    <n v="9.0886996236350708"/>
  </r>
  <r>
    <x v="8"/>
    <x v="0"/>
    <x v="3"/>
    <x v="1"/>
    <n v="9973249"/>
    <n v="32389252494.757721"/>
    <n v="50933443"/>
    <n v="0"/>
    <n v="635.91327401051058"/>
  </r>
  <r>
    <x v="8"/>
    <x v="0"/>
    <x v="3"/>
    <x v="2"/>
    <n v="9958967"/>
    <n v="2738429838.9392729"/>
    <n v="50933443"/>
    <n v="0"/>
    <n v="53.764867985446671"/>
  </r>
  <r>
    <x v="8"/>
    <x v="0"/>
    <x v="3"/>
    <x v="0"/>
    <n v="7483633"/>
    <n v="3961160542.570066"/>
    <n v="50933443"/>
    <n v="0"/>
    <n v="77.771309168517547"/>
  </r>
  <r>
    <x v="8"/>
    <x v="0"/>
    <x v="3"/>
    <x v="3"/>
    <n v="265004"/>
    <n v="58162003.436144918"/>
    <n v="50933443"/>
    <n v="0"/>
    <n v="1.1419216925143842"/>
  </r>
  <r>
    <x v="8"/>
    <x v="0"/>
    <x v="3"/>
    <x v="4"/>
    <n v="1506866"/>
    <n v="575852739.00319433"/>
    <n v="50933443"/>
    <n v="0"/>
    <n v="11.305984930239143"/>
  </r>
  <r>
    <x v="8"/>
    <x v="1"/>
    <x v="0"/>
    <x v="1"/>
    <n v="20216287"/>
    <n v="48250023720.99173"/>
    <n v="60491893"/>
    <n v="0"/>
    <n v="797.62793538287406"/>
  </r>
  <r>
    <x v="8"/>
    <x v="1"/>
    <x v="0"/>
    <x v="2"/>
    <n v="13875931"/>
    <n v="3996618719.7994804"/>
    <n v="60491893"/>
    <n v="0"/>
    <n v="66.068666751749376"/>
  </r>
  <r>
    <x v="8"/>
    <x v="1"/>
    <x v="0"/>
    <x v="0"/>
    <n v="10744978"/>
    <n v="5521320539.3562117"/>
    <n v="60491893"/>
    <n v="0"/>
    <n v="91.273727197728988"/>
  </r>
  <r>
    <x v="8"/>
    <x v="1"/>
    <x v="0"/>
    <x v="3"/>
    <n v="223095"/>
    <n v="30997039.697555833"/>
    <n v="60491893"/>
    <n v="0"/>
    <n v="0.51241642739723536"/>
  </r>
  <r>
    <x v="8"/>
    <x v="1"/>
    <x v="0"/>
    <x v="4"/>
    <n v="1947036"/>
    <n v="670171769.65229642"/>
    <n v="60491893"/>
    <n v="0"/>
    <n v="11.07870387941565"/>
  </r>
  <r>
    <x v="8"/>
    <x v="1"/>
    <x v="1"/>
    <x v="2"/>
    <n v="20891431"/>
    <n v="6816878922.8443995"/>
    <n v="67819928"/>
    <n v="481047270"/>
    <n v="100.51439339252026"/>
  </r>
  <r>
    <x v="8"/>
    <x v="1"/>
    <x v="1"/>
    <x v="1"/>
    <n v="20570311"/>
    <n v="65953571241.264351"/>
    <n v="67819928"/>
    <n v="481047270"/>
    <n v="972.48070274070994"/>
  </r>
  <r>
    <x v="8"/>
    <x v="1"/>
    <x v="1"/>
    <x v="0"/>
    <n v="12869453"/>
    <n v="8035701902.3917646"/>
    <n v="67819928"/>
    <n v="481047270"/>
    <n v="118.4858512735632"/>
  </r>
  <r>
    <x v="8"/>
    <x v="1"/>
    <x v="1"/>
    <x v="3"/>
    <n v="137774"/>
    <n v="33985068.683786109"/>
    <n v="67819928"/>
    <n v="481047270"/>
    <n v="0.50110741320436247"/>
  </r>
  <r>
    <x v="8"/>
    <x v="1"/>
    <x v="1"/>
    <x v="4"/>
    <n v="2702543"/>
    <n v="866678928.44399858"/>
    <n v="67819928"/>
    <n v="481047270"/>
    <n v="12.7791189699287"/>
  </r>
  <r>
    <x v="8"/>
    <x v="1"/>
    <x v="2"/>
    <x v="2"/>
    <n v="29453368"/>
    <n v="9857221391.940361"/>
    <n v="74605146"/>
    <n v="1797191297"/>
    <n v="132.12522085192839"/>
  </r>
  <r>
    <x v="8"/>
    <x v="1"/>
    <x v="2"/>
    <x v="1"/>
    <n v="25201978"/>
    <n v="81904443496.297775"/>
    <n v="74605146"/>
    <n v="1797191297"/>
    <n v="1097.8390618831813"/>
  </r>
  <r>
    <x v="8"/>
    <x v="1"/>
    <x v="2"/>
    <x v="0"/>
    <n v="11133404"/>
    <n v="10406524192.884487"/>
    <n v="74605146"/>
    <n v="1797191297"/>
    <n v="139.48802128052247"/>
  </r>
  <r>
    <x v="8"/>
    <x v="1"/>
    <x v="2"/>
    <x v="3"/>
    <n v="92061"/>
    <n v="27952186.986432005"/>
    <n v="74605146"/>
    <n v="1797191297"/>
    <n v="0.37466835044370805"/>
  </r>
  <r>
    <x v="8"/>
    <x v="1"/>
    <x v="2"/>
    <x v="4"/>
    <n v="3657065"/>
    <n v="1000670778.3478061"/>
    <n v="74605146"/>
    <n v="1797191297"/>
    <n v="13.412892166283088"/>
  </r>
  <r>
    <x v="8"/>
    <x v="1"/>
    <x v="3"/>
    <x v="1"/>
    <n v="33040093"/>
    <n v="105858524152.38443"/>
    <n v="80188713"/>
    <n v="1899509381"/>
    <n v="1320.1175102085056"/>
  </r>
  <r>
    <x v="8"/>
    <x v="1"/>
    <x v="3"/>
    <x v="2"/>
    <n v="32537378"/>
    <n v="12864577363.070576"/>
    <n v="80188713"/>
    <n v="1899509381"/>
    <n v="160.42877958485974"/>
  </r>
  <r>
    <x v="8"/>
    <x v="1"/>
    <x v="3"/>
    <x v="0"/>
    <n v="11609898"/>
    <n v="9500486080.9884491"/>
    <n v="80188713"/>
    <n v="1899509381"/>
    <n v="118.47660007947064"/>
  </r>
  <r>
    <x v="8"/>
    <x v="1"/>
    <x v="3"/>
    <x v="3"/>
    <n v="57063"/>
    <n v="21512527.973989226"/>
    <n v="80188713"/>
    <n v="1899509381"/>
    <n v="0.26827376533639125"/>
  </r>
  <r>
    <x v="8"/>
    <x v="1"/>
    <x v="3"/>
    <x v="4"/>
    <n v="3500565"/>
    <n v="779367300.47325706"/>
    <n v="80188713"/>
    <n v="1899509381"/>
    <n v="9.7191645970581551"/>
  </r>
  <r>
    <x v="8"/>
    <x v="2"/>
    <x v="0"/>
    <x v="2"/>
    <n v="33951545"/>
    <n v="14470782771.054684"/>
    <n v="86088167"/>
    <n v="1960903846"/>
    <n v="168.09258781238407"/>
  </r>
  <r>
    <x v="8"/>
    <x v="2"/>
    <x v="0"/>
    <x v="1"/>
    <n v="32410795"/>
    <n v="108987600006.3667"/>
    <n v="86088167"/>
    <n v="1960903846"/>
    <n v="1265.999774468037"/>
  </r>
  <r>
    <x v="8"/>
    <x v="2"/>
    <x v="0"/>
    <x v="0"/>
    <n v="12822919"/>
    <n v="9498791147.9291935"/>
    <n v="86088167"/>
    <n v="1960903846"/>
    <n v="110.3379416584534"/>
  </r>
  <r>
    <x v="8"/>
    <x v="2"/>
    <x v="0"/>
    <x v="3"/>
    <n v="46529"/>
    <n v="39908838.248528868"/>
    <n v="86088167"/>
    <n v="1960903846"/>
    <n v="0.46358099654426221"/>
  </r>
  <r>
    <x v="8"/>
    <x v="2"/>
    <x v="0"/>
    <x v="4"/>
    <n v="2515816"/>
    <n v="619460878.99096727"/>
    <n v="86088167"/>
    <n v="1960903846"/>
    <n v="7.1956565063229574"/>
  </r>
  <r>
    <x v="8"/>
    <x v="2"/>
    <x v="1"/>
    <x v="1"/>
    <n v="27155938"/>
    <n v="86227124454.101746"/>
    <n v="92302529"/>
    <n v="1571374783"/>
    <n v="934.17943569132046"/>
  </r>
  <r>
    <x v="8"/>
    <x v="2"/>
    <x v="1"/>
    <x v="2"/>
    <n v="24963931"/>
    <n v="12708327043.868336"/>
    <n v="92302529"/>
    <n v="1571374783"/>
    <n v="137.68124429037405"/>
  </r>
  <r>
    <x v="8"/>
    <x v="2"/>
    <x v="1"/>
    <x v="0"/>
    <n v="13568505"/>
    <n v="8699886044.040596"/>
    <n v="92302529"/>
    <n v="1571374783"/>
    <n v="94.254037655247728"/>
  </r>
  <r>
    <x v="8"/>
    <x v="2"/>
    <x v="1"/>
    <x v="3"/>
    <n v="64790"/>
    <n v="75405868.16164647"/>
    <n v="92302529"/>
    <n v="1571374783"/>
    <n v="0.81694260144970099"/>
  </r>
  <r>
    <x v="8"/>
    <x v="2"/>
    <x v="1"/>
    <x v="4"/>
    <n v="288854"/>
    <n v="162694793.15869594"/>
    <n v="92302529"/>
    <n v="1571374783"/>
    <n v="1.7626255198131779"/>
  </r>
  <r>
    <x v="8"/>
    <x v="2"/>
    <x v="2"/>
    <x v="1"/>
    <n v="41498638"/>
    <n v="140074023548.15637"/>
    <n v="99485914"/>
    <n v="2090275319"/>
    <n v="1407.9784556048444"/>
  </r>
  <r>
    <x v="8"/>
    <x v="2"/>
    <x v="2"/>
    <x v="2"/>
    <n v="40973792"/>
    <n v="21858176583.058899"/>
    <n v="99485914"/>
    <n v="2090275319"/>
    <n v="219.71127071375048"/>
  </r>
  <r>
    <x v="8"/>
    <x v="2"/>
    <x v="2"/>
    <x v="0"/>
    <n v="13448341"/>
    <n v="12883226305.336546"/>
    <n v="99485914"/>
    <n v="2090275319"/>
    <n v="129.49799411137286"/>
  </r>
  <r>
    <x v="8"/>
    <x v="2"/>
    <x v="2"/>
    <x v="3"/>
    <n v="85689"/>
    <n v="114341865.2645722"/>
    <n v="99485914"/>
    <n v="2090275319"/>
    <n v="1.1493271827866225"/>
  </r>
  <r>
    <x v="8"/>
    <x v="2"/>
    <x v="2"/>
    <x v="4"/>
    <n v="485401"/>
    <n v="234194502.84422821"/>
    <n v="99485914"/>
    <n v="2090275319"/>
    <n v="2.3540468537508557"/>
  </r>
  <r>
    <x v="8"/>
    <x v="2"/>
    <x v="3"/>
    <x v="2"/>
    <n v="54581166"/>
    <n v="31106554562.795101"/>
    <n v="107227648"/>
    <n v="2677771272"/>
    <n v="290.09826423493968"/>
  </r>
  <r>
    <x v="8"/>
    <x v="2"/>
    <x v="3"/>
    <x v="1"/>
    <n v="49631928"/>
    <n v="171546055992.1488"/>
    <n v="107227648"/>
    <n v="2677771272"/>
    <n v="1599.8304466414186"/>
  </r>
  <r>
    <x v="8"/>
    <x v="2"/>
    <x v="3"/>
    <x v="0"/>
    <n v="14862946"/>
    <n v="12921793576.576857"/>
    <n v="107227648"/>
    <n v="2677771272"/>
    <n v="120.50803890221351"/>
  </r>
  <r>
    <x v="8"/>
    <x v="2"/>
    <x v="3"/>
    <x v="3"/>
    <n v="114862"/>
    <n v="160007919.76894268"/>
    <n v="107227648"/>
    <n v="2677771272"/>
    <n v="1.4922263311132469"/>
  </r>
  <r>
    <x v="8"/>
    <x v="2"/>
    <x v="3"/>
    <x v="4"/>
    <n v="1349515"/>
    <n v="530676173.2537967"/>
    <n v="107227648"/>
    <n v="2677771272"/>
    <n v="4.9490610225246821"/>
  </r>
  <r>
    <x v="8"/>
    <x v="3"/>
    <x v="0"/>
    <x v="2"/>
    <n v="72615587"/>
    <n v="39861532639.012344"/>
    <n v="115139310"/>
    <n v="3093217600"/>
    <n v="346.20263608503774"/>
  </r>
  <r>
    <x v="8"/>
    <x v="3"/>
    <x v="0"/>
    <x v="1"/>
    <n v="61957428"/>
    <n v="210823551741.40936"/>
    <n v="115139310"/>
    <n v="3093217600"/>
    <n v="1831.0301819718163"/>
  </r>
  <r>
    <x v="8"/>
    <x v="3"/>
    <x v="0"/>
    <x v="0"/>
    <n v="21164274"/>
    <n v="15447408658.778738"/>
    <n v="115139310"/>
    <n v="3093217600"/>
    <n v="134.16276907321"/>
  </r>
  <r>
    <x v="8"/>
    <x v="3"/>
    <x v="0"/>
    <x v="3"/>
    <n v="153039"/>
    <n v="203106852.42387855"/>
    <n v="115139310"/>
    <n v="3093217600"/>
    <n v="1.7640096368814313"/>
  </r>
  <r>
    <x v="8"/>
    <x v="3"/>
    <x v="0"/>
    <x v="4"/>
    <n v="1468676"/>
    <n v="592745151.86830485"/>
    <n v="115139310"/>
    <n v="3093217600"/>
    <n v="5.1480693419849821"/>
  </r>
  <r>
    <x v="8"/>
    <x v="3"/>
    <x v="1"/>
    <x v="2"/>
    <n v="75620295"/>
    <n v="42933366743.235748"/>
    <n v="123009689"/>
    <n v="1814975514"/>
    <n v="349.02426867558171"/>
  </r>
  <r>
    <x v="8"/>
    <x v="3"/>
    <x v="1"/>
    <x v="1"/>
    <n v="68497718"/>
    <n v="223034955527.75317"/>
    <n v="123009689"/>
    <n v="1814975514"/>
    <n v="1813.1494953031965"/>
  </r>
  <r>
    <x v="8"/>
    <x v="3"/>
    <x v="1"/>
    <x v="0"/>
    <n v="25026678"/>
    <n v="15310096462.746447"/>
    <n v="123009689"/>
    <n v="1814975514"/>
    <n v="124.46252475889477"/>
  </r>
  <r>
    <x v="8"/>
    <x v="3"/>
    <x v="1"/>
    <x v="3"/>
    <n v="158170"/>
    <n v="190019761.49741396"/>
    <n v="123009689"/>
    <n v="1814975514"/>
    <n v="1.5447544257868497"/>
  </r>
  <r>
    <x v="8"/>
    <x v="3"/>
    <x v="1"/>
    <x v="4"/>
    <n v="854403"/>
    <n v="472659189.30861247"/>
    <n v="123009689"/>
    <n v="1814975514"/>
    <n v="3.8424549574189433"/>
  </r>
  <r>
    <x v="8"/>
    <x v="3"/>
    <x v="2"/>
    <x v="2"/>
    <n v="115250887"/>
    <n v="64006915630.532623"/>
    <n v="131780671"/>
    <n v="2462288136"/>
    <n v="485.7079201739125"/>
  </r>
  <r>
    <x v="8"/>
    <x v="3"/>
    <x v="2"/>
    <x v="1"/>
    <n v="93292876"/>
    <n v="298005532606.46997"/>
    <n v="131780671"/>
    <n v="2462288136"/>
    <n v="2261.3751344950274"/>
  </r>
  <r>
    <x v="8"/>
    <x v="3"/>
    <x v="2"/>
    <x v="0"/>
    <n v="28427032"/>
    <n v="20934734871.908962"/>
    <n v="131780671"/>
    <n v="2462288136"/>
    <n v="158.86043615538247"/>
  </r>
  <r>
    <x v="8"/>
    <x v="3"/>
    <x v="2"/>
    <x v="3"/>
    <n v="144460"/>
    <n v="220660990.22066334"/>
    <n v="131780671"/>
    <n v="2462288136"/>
    <n v="1.6744564172135938"/>
  </r>
  <r>
    <x v="8"/>
    <x v="3"/>
    <x v="2"/>
    <x v="4"/>
    <n v="1645353"/>
    <n v="690472449.14892554"/>
    <n v="131780671"/>
    <n v="2462288136"/>
    <n v="5.2395578494886061"/>
  </r>
  <r>
    <x v="8"/>
    <x v="3"/>
    <x v="3"/>
    <x v="2"/>
    <n v="149204611"/>
    <n v="88990516304.074371"/>
    <n v="140636397"/>
    <n v="3802362883"/>
    <n v="632.77016620437428"/>
  </r>
  <r>
    <x v="8"/>
    <x v="3"/>
    <x v="3"/>
    <x v="1"/>
    <n v="112380292"/>
    <n v="376556972334.15979"/>
    <n v="140636397"/>
    <n v="3802362883"/>
    <n v="2677.5214693118155"/>
  </r>
  <r>
    <x v="8"/>
    <x v="3"/>
    <x v="3"/>
    <x v="0"/>
    <n v="30127352"/>
    <n v="22290161823.248642"/>
    <n v="140636397"/>
    <n v="3802362883"/>
    <n v="158.49497213192004"/>
  </r>
  <r>
    <x v="8"/>
    <x v="3"/>
    <x v="3"/>
    <x v="3"/>
    <n v="199280"/>
    <n v="287950130.24921745"/>
    <n v="140636397"/>
    <n v="3802362883"/>
    <n v="2.0474794320080418"/>
  </r>
  <r>
    <x v="8"/>
    <x v="3"/>
    <x v="3"/>
    <x v="4"/>
    <n v="771824"/>
    <n v="569713470.65920317"/>
    <n v="140636397"/>
    <n v="3802362883"/>
    <n v="4.0509674793446475"/>
  </r>
  <r>
    <x v="9"/>
    <x v="0"/>
    <x v="0"/>
    <x v="0"/>
    <n v="85991"/>
    <n v="18273814.162708722"/>
    <n v="1011296"/>
    <n v="0"/>
    <n v="18.069698844560566"/>
  </r>
  <r>
    <x v="9"/>
    <x v="0"/>
    <x v="0"/>
    <x v="1"/>
    <n v="59651"/>
    <n v="268175048.06992978"/>
    <n v="1011296"/>
    <n v="0"/>
    <n v="265.17957953945211"/>
  </r>
  <r>
    <x v="9"/>
    <x v="0"/>
    <x v="0"/>
    <x v="2"/>
    <n v="7880"/>
    <n v="11036031.735657964"/>
    <n v="1011296"/>
    <n v="0"/>
    <n v="10.912761185308717"/>
  </r>
  <r>
    <x v="9"/>
    <x v="0"/>
    <x v="0"/>
    <x v="3"/>
    <n v="1191"/>
    <n v="520105.64240042202"/>
    <n v="1011296"/>
    <n v="0"/>
    <n v="0.51429615305550702"/>
  </r>
  <r>
    <x v="9"/>
    <x v="0"/>
    <x v="0"/>
    <x v="4"/>
    <n v="6184"/>
    <n v="5851742.7323869746"/>
    <n v="1011296"/>
    <n v="0"/>
    <n v="5.7863797863206958"/>
  </r>
  <r>
    <x v="9"/>
    <x v="0"/>
    <x v="1"/>
    <x v="0"/>
    <n v="120943"/>
    <n v="30994284.170441039"/>
    <n v="1343914"/>
    <n v="0"/>
    <n v="23.062699079287096"/>
  </r>
  <r>
    <x v="9"/>
    <x v="0"/>
    <x v="1"/>
    <x v="1"/>
    <n v="87878"/>
    <n v="419492232.52410376"/>
    <n v="1343914"/>
    <n v="0"/>
    <n v="312.14217020144429"/>
  </r>
  <r>
    <x v="9"/>
    <x v="0"/>
    <x v="1"/>
    <x v="2"/>
    <n v="12456"/>
    <n v="20162855.706119571"/>
    <n v="1343914"/>
    <n v="0"/>
    <n v="15.003084800158025"/>
  </r>
  <r>
    <x v="9"/>
    <x v="0"/>
    <x v="1"/>
    <x v="3"/>
    <n v="1903"/>
    <n v="733429.42728319904"/>
    <n v="1343914"/>
    <n v="0"/>
    <n v="0.54574134005836616"/>
  </r>
  <r>
    <x v="9"/>
    <x v="0"/>
    <x v="1"/>
    <x v="4"/>
    <n v="6395"/>
    <n v="7221023.5306675266"/>
    <n v="1343914"/>
    <n v="0"/>
    <n v="5.3731291813817901"/>
  </r>
  <r>
    <x v="9"/>
    <x v="0"/>
    <x v="2"/>
    <x v="0"/>
    <n v="158797"/>
    <n v="40314972.942088373"/>
    <n v="1691822"/>
    <n v="0"/>
    <n v="23.82932302694277"/>
  </r>
  <r>
    <x v="9"/>
    <x v="0"/>
    <x v="2"/>
    <x v="1"/>
    <n v="150297"/>
    <n v="639468418.13170016"/>
    <n v="1691822"/>
    <n v="0"/>
    <n v="377.97618078716329"/>
  </r>
  <r>
    <x v="9"/>
    <x v="0"/>
    <x v="2"/>
    <x v="2"/>
    <n v="21587"/>
    <n v="26634198.178851012"/>
    <n v="1691822"/>
    <n v="0"/>
    <n v="15.742908047567068"/>
  </r>
  <r>
    <x v="9"/>
    <x v="0"/>
    <x v="2"/>
    <x v="3"/>
    <n v="1867"/>
    <n v="468171.36483984883"/>
    <n v="1691822"/>
    <n v="0"/>
    <n v="0.276726135988212"/>
  </r>
  <r>
    <x v="9"/>
    <x v="0"/>
    <x v="2"/>
    <x v="4"/>
    <n v="6963"/>
    <n v="6281208.6207546387"/>
    <n v="1691822"/>
    <n v="0"/>
    <n v="3.712688817591117"/>
  </r>
  <r>
    <x v="9"/>
    <x v="0"/>
    <x v="3"/>
    <x v="1"/>
    <n v="246426"/>
    <n v="1021902315.4426756"/>
    <n v="2148850"/>
    <n v="0"/>
    <n v="475.55777064135498"/>
  </r>
  <r>
    <x v="9"/>
    <x v="0"/>
    <x v="3"/>
    <x v="0"/>
    <n v="212122"/>
    <n v="54832855.89468471"/>
    <n v="2148850"/>
    <n v="0"/>
    <n v="25.517302694317756"/>
  </r>
  <r>
    <x v="9"/>
    <x v="0"/>
    <x v="3"/>
    <x v="2"/>
    <n v="45586"/>
    <n v="66666113.921459652"/>
    <n v="2148850"/>
    <n v="0"/>
    <n v="31.024089127421483"/>
  </r>
  <r>
    <x v="9"/>
    <x v="0"/>
    <x v="3"/>
    <x v="3"/>
    <n v="2523"/>
    <n v="723599.23281832889"/>
    <n v="2148850"/>
    <n v="0"/>
    <n v="0.33673789832623446"/>
  </r>
  <r>
    <x v="9"/>
    <x v="0"/>
    <x v="3"/>
    <x v="4"/>
    <n v="8098"/>
    <n v="8880194.4307666589"/>
    <n v="2148850"/>
    <n v="0"/>
    <n v="4.1325334159046276"/>
  </r>
  <r>
    <x v="9"/>
    <x v="1"/>
    <x v="0"/>
    <x v="1"/>
    <n v="378848"/>
    <n v="1310759847.8146646"/>
    <n v="2619672"/>
    <n v="0"/>
    <n v="500.35265781924784"/>
  </r>
  <r>
    <x v="9"/>
    <x v="1"/>
    <x v="0"/>
    <x v="0"/>
    <n v="275277"/>
    <n v="78212835.040603399"/>
    <n v="2619672"/>
    <n v="0"/>
    <n v="29.855964808038333"/>
  </r>
  <r>
    <x v="9"/>
    <x v="1"/>
    <x v="0"/>
    <x v="2"/>
    <n v="74527"/>
    <n v="75946974.414831012"/>
    <n v="2619672"/>
    <n v="0"/>
    <n v="28.991024225487394"/>
  </r>
  <r>
    <x v="9"/>
    <x v="1"/>
    <x v="0"/>
    <x v="3"/>
    <n v="2013"/>
    <n v="499592.09668609948"/>
    <n v="2619672"/>
    <n v="0"/>
    <n v="0.19070788124853016"/>
  </r>
  <r>
    <x v="9"/>
    <x v="1"/>
    <x v="0"/>
    <x v="4"/>
    <n v="8147"/>
    <n v="9904147.9097916503"/>
    <n v="2619672"/>
    <n v="0"/>
    <n v="3.7806824326830419"/>
  </r>
  <r>
    <x v="9"/>
    <x v="1"/>
    <x v="1"/>
    <x v="1"/>
    <n v="373759"/>
    <n v="1391933790.7547765"/>
    <n v="3068340"/>
    <n v="14874552"/>
    <n v="453.64392171492614"/>
  </r>
  <r>
    <x v="9"/>
    <x v="1"/>
    <x v="1"/>
    <x v="0"/>
    <n v="278060"/>
    <n v="93218689.416949481"/>
    <n v="3068340"/>
    <n v="14874552"/>
    <n v="30.380821361697034"/>
  </r>
  <r>
    <x v="9"/>
    <x v="1"/>
    <x v="1"/>
    <x v="2"/>
    <n v="104592"/>
    <n v="92873008.647450402"/>
    <n v="3068340"/>
    <n v="14874552"/>
    <n v="30.268160845098784"/>
  </r>
  <r>
    <x v="9"/>
    <x v="1"/>
    <x v="1"/>
    <x v="3"/>
    <n v="1211"/>
    <n v="515859.8076807977"/>
    <n v="3068340"/>
    <n v="14874552"/>
    <n v="0.16812341777012904"/>
  </r>
  <r>
    <x v="9"/>
    <x v="1"/>
    <x v="1"/>
    <x v="4"/>
    <n v="10819"/>
    <n v="13325754.760758925"/>
    <n v="3068340"/>
    <n v="14874552"/>
    <n v="4.3429850540549371"/>
  </r>
  <r>
    <x v="9"/>
    <x v="1"/>
    <x v="2"/>
    <x v="1"/>
    <n v="475178"/>
    <n v="1704668027.0159788"/>
    <n v="3489134"/>
    <n v="52292812"/>
    <n v="488.56479201314102"/>
  </r>
  <r>
    <x v="9"/>
    <x v="1"/>
    <x v="2"/>
    <x v="0"/>
    <n v="453806"/>
    <n v="157952854.95011711"/>
    <n v="3489134"/>
    <n v="52292812"/>
    <n v="45.269930862534117"/>
  </r>
  <r>
    <x v="9"/>
    <x v="1"/>
    <x v="2"/>
    <x v="2"/>
    <n v="150578"/>
    <n v="123948570.56857497"/>
    <n v="3489134"/>
    <n v="52292812"/>
    <n v="35.524164611784748"/>
  </r>
  <r>
    <x v="9"/>
    <x v="1"/>
    <x v="2"/>
    <x v="3"/>
    <n v="1510"/>
    <n v="1282344.8444824044"/>
    <n v="3489134"/>
    <n v="52292812"/>
    <n v="0.36752524967009131"/>
  </r>
  <r>
    <x v="9"/>
    <x v="1"/>
    <x v="2"/>
    <x v="4"/>
    <n v="11344"/>
    <n v="12515394.117688328"/>
    <n v="3489134"/>
    <n v="52292812"/>
    <n v="3.5869628732196377"/>
  </r>
  <r>
    <x v="9"/>
    <x v="1"/>
    <x v="3"/>
    <x v="1"/>
    <n v="698728"/>
    <n v="2484453030.31845"/>
    <n v="3889006"/>
    <n v="69195973"/>
    <n v="638.84011243964392"/>
  </r>
  <r>
    <x v="9"/>
    <x v="1"/>
    <x v="3"/>
    <x v="0"/>
    <n v="552421"/>
    <n v="205602115.14625147"/>
    <n v="3889006"/>
    <n v="69195973"/>
    <n v="52.867523255621478"/>
  </r>
  <r>
    <x v="9"/>
    <x v="1"/>
    <x v="3"/>
    <x v="2"/>
    <n v="250893"/>
    <n v="218404664.8638511"/>
    <n v="3889006"/>
    <n v="69195973"/>
    <n v="56.159508332939339"/>
  </r>
  <r>
    <x v="9"/>
    <x v="1"/>
    <x v="3"/>
    <x v="3"/>
    <n v="1497"/>
    <n v="649712.84514980076"/>
    <n v="3889006"/>
    <n v="69195973"/>
    <n v="0.16706398631161812"/>
  </r>
  <r>
    <x v="9"/>
    <x v="1"/>
    <x v="3"/>
    <x v="4"/>
    <n v="11733"/>
    <n v="14350825.325765317"/>
    <n v="3889006"/>
    <n v="69195973"/>
    <n v="3.6901011018664711"/>
  </r>
  <r>
    <x v="9"/>
    <x v="2"/>
    <x v="0"/>
    <x v="1"/>
    <n v="817198"/>
    <n v="2851686768.6536841"/>
    <n v="4310900"/>
    <n v="78619563"/>
    <n v="661.50612833832474"/>
  </r>
  <r>
    <x v="9"/>
    <x v="2"/>
    <x v="0"/>
    <x v="0"/>
    <n v="678079"/>
    <n v="244739382.20701858"/>
    <n v="4310900"/>
    <n v="78619563"/>
    <n v="56.772224409524362"/>
  </r>
  <r>
    <x v="9"/>
    <x v="2"/>
    <x v="0"/>
    <x v="2"/>
    <n v="373110"/>
    <n v="298421548.10465711"/>
    <n v="4310900"/>
    <n v="78619563"/>
    <n v="69.224882995350654"/>
  </r>
  <r>
    <x v="9"/>
    <x v="2"/>
    <x v="0"/>
    <x v="3"/>
    <n v="1762"/>
    <n v="1816477.5692472362"/>
    <n v="4310900"/>
    <n v="78619563"/>
    <n v="0.42136852379949341"/>
  </r>
  <r>
    <x v="9"/>
    <x v="2"/>
    <x v="0"/>
    <x v="4"/>
    <n v="11088"/>
    <n v="13707055.389155574"/>
    <n v="4310900"/>
    <n v="78619563"/>
    <n v="3.1796273142860132"/>
  </r>
  <r>
    <x v="9"/>
    <x v="2"/>
    <x v="1"/>
    <x v="0"/>
    <n v="758617"/>
    <n v="241196540.93798909"/>
    <n v="4737029"/>
    <n v="58411386"/>
    <n v="50.91726078476384"/>
  </r>
  <r>
    <x v="9"/>
    <x v="2"/>
    <x v="1"/>
    <x v="1"/>
    <n v="493326"/>
    <n v="1766723888.2025127"/>
    <n v="4737029"/>
    <n v="58411386"/>
    <n v="372.96032770804499"/>
  </r>
  <r>
    <x v="9"/>
    <x v="2"/>
    <x v="1"/>
    <x v="2"/>
    <n v="221358"/>
    <n v="168591711.94693565"/>
    <n v="4737029"/>
    <n v="58411386"/>
    <n v="35.59017940294131"/>
  </r>
  <r>
    <x v="9"/>
    <x v="2"/>
    <x v="1"/>
    <x v="3"/>
    <n v="3081"/>
    <n v="3328361.3179877652"/>
    <n v="4737029"/>
    <n v="58411386"/>
    <n v="0.70262633350730286"/>
  </r>
  <r>
    <x v="9"/>
    <x v="2"/>
    <x v="1"/>
    <x v="4"/>
    <n v="5710"/>
    <n v="3775927.611346662"/>
    <n v="4737029"/>
    <n v="58411386"/>
    <n v="0.79710882313506248"/>
  </r>
  <r>
    <x v="9"/>
    <x v="2"/>
    <x v="2"/>
    <x v="1"/>
    <n v="759351"/>
    <n v="2723430713.3444066"/>
    <n v="5224582"/>
    <n v="67427426"/>
    <n v="521.27246033164124"/>
  </r>
  <r>
    <x v="9"/>
    <x v="2"/>
    <x v="2"/>
    <x v="0"/>
    <n v="696770"/>
    <n v="280187505.03393549"/>
    <n v="5224582"/>
    <n v="67427426"/>
    <n v="53.628693172762048"/>
  </r>
  <r>
    <x v="9"/>
    <x v="2"/>
    <x v="2"/>
    <x v="2"/>
    <n v="446880"/>
    <n v="353193881.4783259"/>
    <n v="5224582"/>
    <n v="67427426"/>
    <n v="67.602323301333186"/>
  </r>
  <r>
    <x v="9"/>
    <x v="2"/>
    <x v="2"/>
    <x v="3"/>
    <n v="4985"/>
    <n v="6418950.4668479636"/>
    <n v="5224582"/>
    <n v="67427426"/>
    <n v="1.2286055548267716"/>
  </r>
  <r>
    <x v="9"/>
    <x v="2"/>
    <x v="2"/>
    <x v="4"/>
    <n v="7545"/>
    <n v="5112530.6211444223"/>
    <n v="5224582"/>
    <n v="67427426"/>
    <n v="0.97855304427118228"/>
  </r>
  <r>
    <x v="9"/>
    <x v="2"/>
    <x v="3"/>
    <x v="1"/>
    <n v="1550251"/>
    <n v="5407626413.0433464"/>
    <n v="5803424"/>
    <n v="120902298"/>
    <n v="931.79929866288353"/>
  </r>
  <r>
    <x v="9"/>
    <x v="2"/>
    <x v="3"/>
    <x v="2"/>
    <n v="1389834"/>
    <n v="1123844212.5171819"/>
    <n v="5803424"/>
    <n v="120902298"/>
    <n v="193.65192212686543"/>
  </r>
  <r>
    <x v="9"/>
    <x v="2"/>
    <x v="3"/>
    <x v="0"/>
    <n v="839199"/>
    <n v="345088772.37849188"/>
    <n v="5803424"/>
    <n v="120902298"/>
    <n v="59.462960551993426"/>
  </r>
  <r>
    <x v="9"/>
    <x v="2"/>
    <x v="3"/>
    <x v="3"/>
    <n v="7287"/>
    <n v="10386560.386677971"/>
    <n v="5803424"/>
    <n v="120902298"/>
    <n v="1.7897297158846177"/>
  </r>
  <r>
    <x v="9"/>
    <x v="2"/>
    <x v="3"/>
    <x v="4"/>
    <n v="14810"/>
    <n v="12846789.254236266"/>
    <n v="5803424"/>
    <n v="120902298"/>
    <n v="2.2136568436557913"/>
  </r>
  <r>
    <x v="9"/>
    <x v="3"/>
    <x v="0"/>
    <x v="1"/>
    <n v="2235456"/>
    <n v="7553384653.1681995"/>
    <n v="6270385"/>
    <n v="170144392"/>
    <n v="1204.6125801156068"/>
  </r>
  <r>
    <x v="9"/>
    <x v="3"/>
    <x v="0"/>
    <x v="2"/>
    <n v="2195509"/>
    <n v="1768358976.7158575"/>
    <n v="6270385"/>
    <n v="170144392"/>
    <n v="282.01760764544082"/>
  </r>
  <r>
    <x v="9"/>
    <x v="3"/>
    <x v="0"/>
    <x v="0"/>
    <n v="880682"/>
    <n v="410604192.72688991"/>
    <n v="6270385"/>
    <n v="170144392"/>
    <n v="65.483091186089837"/>
  </r>
  <r>
    <x v="9"/>
    <x v="3"/>
    <x v="0"/>
    <x v="3"/>
    <n v="8138"/>
    <n v="12207778.148638733"/>
    <n v="6270385"/>
    <n v="170144392"/>
    <n v="1.9468945126397714"/>
  </r>
  <r>
    <x v="9"/>
    <x v="3"/>
    <x v="0"/>
    <x v="4"/>
    <n v="11764"/>
    <n v="12687278.261839289"/>
    <n v="6270385"/>
    <n v="170144392"/>
    <n v="2.0233651142376887"/>
  </r>
  <r>
    <x v="9"/>
    <x v="3"/>
    <x v="1"/>
    <x v="2"/>
    <n v="1869384"/>
    <n v="1411529033.6650195"/>
    <n v="6700166"/>
    <n v="139813971"/>
    <n v="210.6707555700888"/>
  </r>
  <r>
    <x v="9"/>
    <x v="3"/>
    <x v="1"/>
    <x v="1"/>
    <n v="1866837"/>
    <n v="6195032351.1772556"/>
    <n v="6700166"/>
    <n v="139813971"/>
    <n v="924.60878598787781"/>
  </r>
  <r>
    <x v="9"/>
    <x v="3"/>
    <x v="1"/>
    <x v="0"/>
    <n v="953219"/>
    <n v="383804809.3560881"/>
    <n v="6700166"/>
    <n v="139813971"/>
    <n v="57.28288065640286"/>
  </r>
  <r>
    <x v="9"/>
    <x v="3"/>
    <x v="1"/>
    <x v="3"/>
    <n v="8303"/>
    <n v="12371843.844825167"/>
    <n v="6700166"/>
    <n v="139813971"/>
    <n v="1.8464981083789815"/>
  </r>
  <r>
    <x v="9"/>
    <x v="3"/>
    <x v="1"/>
    <x v="4"/>
    <n v="12392"/>
    <n v="10115549.032816991"/>
    <n v="6700166"/>
    <n v="139813971"/>
    <n v="1.5097460320859202"/>
  </r>
  <r>
    <x v="9"/>
    <x v="3"/>
    <x v="2"/>
    <x v="2"/>
    <n v="2865625"/>
    <n v="2143135314.8979311"/>
    <n v="7188038"/>
    <n v="182326221"/>
    <n v="298.15303075720124"/>
  </r>
  <r>
    <x v="9"/>
    <x v="3"/>
    <x v="2"/>
    <x v="1"/>
    <n v="2560305"/>
    <n v="7871092673.1372986"/>
    <n v="7188038"/>
    <n v="182326221"/>
    <n v="1095.0265807077394"/>
  </r>
  <r>
    <x v="9"/>
    <x v="3"/>
    <x v="2"/>
    <x v="0"/>
    <n v="1017351"/>
    <n v="438838003.22982365"/>
    <n v="7188038"/>
    <n v="182326221"/>
    <n v="61.051152377021886"/>
  </r>
  <r>
    <x v="9"/>
    <x v="3"/>
    <x v="2"/>
    <x v="3"/>
    <n v="8337"/>
    <n v="12943224.073821461"/>
    <n v="7188038"/>
    <n v="182326221"/>
    <n v="1.800661609443559"/>
  </r>
  <r>
    <x v="9"/>
    <x v="3"/>
    <x v="2"/>
    <x v="4"/>
    <n v="16145"/>
    <n v="12416377.597493527"/>
    <n v="7188038"/>
    <n v="182326221"/>
    <n v="1.7273667164104485"/>
  </r>
  <r>
    <x v="9"/>
    <x v="3"/>
    <x v="3"/>
    <x v="2"/>
    <n v="5474662"/>
    <n v="4384250602.9370384"/>
    <n v="7668958"/>
    <n v="311170794"/>
    <n v="571.68791417778505"/>
  </r>
  <r>
    <x v="9"/>
    <x v="3"/>
    <x v="3"/>
    <x v="1"/>
    <n v="4408822"/>
    <n v="13618351952.666094"/>
    <n v="7668958"/>
    <n v="311170794"/>
    <n v="1775.7760510184166"/>
  </r>
  <r>
    <x v="9"/>
    <x v="3"/>
    <x v="3"/>
    <x v="0"/>
    <n v="1170180"/>
    <n v="585734312.40637267"/>
    <n v="7668958"/>
    <n v="311170794"/>
    <n v="76.377300854480183"/>
  </r>
  <r>
    <x v="9"/>
    <x v="3"/>
    <x v="3"/>
    <x v="3"/>
    <n v="11320"/>
    <n v="17101084.66037453"/>
    <n v="7668958"/>
    <n v="311170794"/>
    <n v="2.2299098078740984"/>
  </r>
  <r>
    <x v="9"/>
    <x v="3"/>
    <x v="3"/>
    <x v="4"/>
    <n v="23775"/>
    <n v="21819163.199774399"/>
    <n v="7668958"/>
    <n v="311170794"/>
    <n v="2.8451274866513026"/>
  </r>
  <r>
    <x v="10"/>
    <x v="0"/>
    <x v="0"/>
    <x v="0"/>
    <n v="3691952"/>
    <n v="878929080.9916563"/>
    <n v="29590528"/>
    <n v="0"/>
    <n v="29.703055011105455"/>
  </r>
  <r>
    <x v="10"/>
    <x v="0"/>
    <x v="0"/>
    <x v="1"/>
    <n v="1738974"/>
    <n v="6318864759.8880663"/>
    <n v="29590528"/>
    <n v="0"/>
    <n v="213.54349472534139"/>
  </r>
  <r>
    <x v="10"/>
    <x v="0"/>
    <x v="0"/>
    <x v="2"/>
    <n v="145436"/>
    <n v="166036667.57089135"/>
    <n v="29590528"/>
    <n v="0"/>
    <n v="5.6111424429767309"/>
  </r>
  <r>
    <x v="10"/>
    <x v="0"/>
    <x v="0"/>
    <x v="3"/>
    <n v="122117"/>
    <n v="27986679.009713165"/>
    <n v="29590528"/>
    <n v="0"/>
    <n v="0.94579856803207996"/>
  </r>
  <r>
    <x v="10"/>
    <x v="0"/>
    <x v="0"/>
    <x v="4"/>
    <n v="250296"/>
    <n v="186165067.5737218"/>
    <n v="29590528"/>
    <n v="0"/>
    <n v="6.2913736305658956"/>
  </r>
  <r>
    <x v="10"/>
    <x v="0"/>
    <x v="1"/>
    <x v="0"/>
    <n v="4643367"/>
    <n v="1571880396.3779531"/>
    <n v="39224075"/>
    <n v="0"/>
    <n v="40.074377697318624"/>
  </r>
  <r>
    <x v="10"/>
    <x v="0"/>
    <x v="1"/>
    <x v="1"/>
    <n v="2483231"/>
    <n v="10009680530.386887"/>
    <n v="39224075"/>
    <n v="0"/>
    <n v="255.19226470954092"/>
  </r>
  <r>
    <x v="10"/>
    <x v="0"/>
    <x v="1"/>
    <x v="2"/>
    <n v="275503"/>
    <n v="356984574.12055731"/>
    <n v="39224075"/>
    <n v="0"/>
    <n v="9.101159788231012"/>
  </r>
  <r>
    <x v="10"/>
    <x v="0"/>
    <x v="1"/>
    <x v="3"/>
    <n v="140704"/>
    <n v="38598263.228380308"/>
    <n v="39224075"/>
    <n v="0"/>
    <n v="0.98404521275212498"/>
  </r>
  <r>
    <x v="10"/>
    <x v="0"/>
    <x v="1"/>
    <x v="4"/>
    <n v="202928"/>
    <n v="185541007.52725801"/>
    <n v="39224075"/>
    <n v="0"/>
    <n v="4.7302838251063415"/>
  </r>
  <r>
    <x v="10"/>
    <x v="0"/>
    <x v="2"/>
    <x v="1"/>
    <n v="5287200"/>
    <n v="15272745137.759302"/>
    <n v="48765013"/>
    <n v="0"/>
    <n v="313.19062988375094"/>
  </r>
  <r>
    <x v="10"/>
    <x v="0"/>
    <x v="2"/>
    <x v="0"/>
    <n v="5117168"/>
    <n v="1938041688.9678535"/>
    <n v="48765013"/>
    <n v="0"/>
    <n v="39.742462264243699"/>
  </r>
  <r>
    <x v="10"/>
    <x v="0"/>
    <x v="2"/>
    <x v="2"/>
    <n v="573440"/>
    <n v="466209496.80151117"/>
    <n v="48765013"/>
    <n v="0"/>
    <n v="9.5603275405978287"/>
  </r>
  <r>
    <x v="10"/>
    <x v="0"/>
    <x v="2"/>
    <x v="3"/>
    <n v="136468"/>
    <n v="24930605.607339725"/>
    <n v="48765013"/>
    <n v="0"/>
    <n v="0.51123959727724722"/>
  </r>
  <r>
    <x v="10"/>
    <x v="0"/>
    <x v="2"/>
    <x v="4"/>
    <n v="219873"/>
    <n v="164477497.1394802"/>
    <n v="48765013"/>
    <n v="0"/>
    <n v="3.3728586751218583"/>
  </r>
  <r>
    <x v="10"/>
    <x v="0"/>
    <x v="3"/>
    <x v="1"/>
    <n v="6488202"/>
    <n v="21207285184.780193"/>
    <n v="61369440"/>
    <n v="0"/>
    <n v="345.56752000311872"/>
  </r>
  <r>
    <x v="10"/>
    <x v="0"/>
    <x v="3"/>
    <x v="0"/>
    <n v="6138404"/>
    <n v="2297332323.0815277"/>
    <n v="61369440"/>
    <n v="0"/>
    <n v="37.434467759222308"/>
  </r>
  <r>
    <x v="10"/>
    <x v="0"/>
    <x v="3"/>
    <x v="2"/>
    <n v="1656377"/>
    <n v="1088373316.0580251"/>
    <n v="61369440"/>
    <n v="0"/>
    <n v="17.7347767236922"/>
  </r>
  <r>
    <x v="10"/>
    <x v="0"/>
    <x v="3"/>
    <x v="3"/>
    <n v="133915"/>
    <n v="30699273.165070001"/>
    <n v="61369440"/>
    <n v="0"/>
    <n v="0.50023714026183064"/>
  </r>
  <r>
    <x v="10"/>
    <x v="0"/>
    <x v="3"/>
    <x v="4"/>
    <n v="316405"/>
    <n v="207297005.69778407"/>
    <n v="61369440"/>
    <n v="0"/>
    <n v="3.3778539562652692"/>
  </r>
  <r>
    <x v="10"/>
    <x v="1"/>
    <x v="0"/>
    <x v="1"/>
    <n v="13465044"/>
    <n v="31231285551.308655"/>
    <n v="73177896"/>
    <n v="0"/>
    <n v="426.78578175175539"/>
  </r>
  <r>
    <x v="10"/>
    <x v="1"/>
    <x v="0"/>
    <x v="0"/>
    <n v="8595256"/>
    <n v="3104251732.6516943"/>
    <n v="73177896"/>
    <n v="0"/>
    <n v="42.420620191808936"/>
  </r>
  <r>
    <x v="10"/>
    <x v="1"/>
    <x v="0"/>
    <x v="2"/>
    <n v="2493340"/>
    <n v="1296376125.1752787"/>
    <n v="73177896"/>
    <n v="0"/>
    <n v="17.715405826580184"/>
  </r>
  <r>
    <x v="10"/>
    <x v="1"/>
    <x v="0"/>
    <x v="3"/>
    <n v="114539"/>
    <n v="19581520.569400217"/>
    <n v="73177896"/>
    <n v="0"/>
    <n v="0.26758791438059681"/>
  </r>
  <r>
    <x v="10"/>
    <x v="1"/>
    <x v="0"/>
    <x v="4"/>
    <n v="323272"/>
    <n v="204585378.77191538"/>
    <n v="73177896"/>
    <n v="0"/>
    <n v="2.7957264413821816"/>
  </r>
  <r>
    <x v="10"/>
    <x v="1"/>
    <x v="1"/>
    <x v="1"/>
    <n v="12547493"/>
    <n v="41853661230.465851"/>
    <n v="83321095"/>
    <n v="383793311"/>
    <n v="502.31770514376763"/>
  </r>
  <r>
    <x v="10"/>
    <x v="1"/>
    <x v="1"/>
    <x v="0"/>
    <n v="10434449"/>
    <n v="4651874823.4286022"/>
    <n v="83321095"/>
    <n v="383793311"/>
    <n v="55.830697177330691"/>
  </r>
  <r>
    <x v="10"/>
    <x v="1"/>
    <x v="1"/>
    <x v="2"/>
    <n v="5486791"/>
    <n v="2526448415.3585706"/>
    <n v="83321095"/>
    <n v="383793311"/>
    <n v="30.321834048851262"/>
  </r>
  <r>
    <x v="10"/>
    <x v="1"/>
    <x v="1"/>
    <x v="3"/>
    <n v="70502"/>
    <n v="17349813.389733132"/>
    <n v="83321095"/>
    <n v="383793311"/>
    <n v="0.20822834109097021"/>
  </r>
  <r>
    <x v="10"/>
    <x v="1"/>
    <x v="1"/>
    <x v="4"/>
    <n v="442607"/>
    <n v="271280936.62470841"/>
    <n v="83321095"/>
    <n v="383793311"/>
    <n v="3.2558493935384361"/>
  </r>
  <r>
    <x v="10"/>
    <x v="1"/>
    <x v="2"/>
    <x v="1"/>
    <n v="14529353"/>
    <n v="49206585462.018684"/>
    <n v="92722289"/>
    <n v="1423856324"/>
    <n v="530.68777736945947"/>
  </r>
  <r>
    <x v="10"/>
    <x v="1"/>
    <x v="2"/>
    <x v="2"/>
    <n v="11788077"/>
    <n v="4211116461.2911887"/>
    <n v="92722289"/>
    <n v="1423856324"/>
    <n v="45.416442008794547"/>
  </r>
  <r>
    <x v="10"/>
    <x v="1"/>
    <x v="2"/>
    <x v="0"/>
    <n v="11349625"/>
    <n v="5768100024.4780588"/>
    <n v="92722289"/>
    <n v="1423856324"/>
    <n v="62.208343718499648"/>
  </r>
  <r>
    <x v="10"/>
    <x v="1"/>
    <x v="2"/>
    <x v="3"/>
    <n v="78609"/>
    <n v="20507001.233050577"/>
    <n v="92722289"/>
    <n v="1423856324"/>
    <n v="0.2211658216618291"/>
  </r>
  <r>
    <x v="10"/>
    <x v="1"/>
    <x v="2"/>
    <x v="4"/>
    <n v="482985"/>
    <n v="256386015.24681717"/>
    <n v="92722289"/>
    <n v="1423856324"/>
    <n v="2.7650958363076774"/>
  </r>
  <r>
    <x v="10"/>
    <x v="1"/>
    <x v="3"/>
    <x v="1"/>
    <n v="19107911"/>
    <n v="64477452638.777802"/>
    <n v="102561789"/>
    <n v="1627711327"/>
    <n v="628.66934427964986"/>
  </r>
  <r>
    <x v="10"/>
    <x v="1"/>
    <x v="3"/>
    <x v="0"/>
    <n v="12967713"/>
    <n v="6517891166.7226563"/>
    <n v="102561789"/>
    <n v="1627711327"/>
    <n v="63.550872408462531"/>
  </r>
  <r>
    <x v="10"/>
    <x v="1"/>
    <x v="3"/>
    <x v="2"/>
    <n v="9964076"/>
    <n v="5480269119.7209482"/>
    <n v="102561789"/>
    <n v="1627711327"/>
    <n v="53.43382923752381"/>
  </r>
  <r>
    <x v="10"/>
    <x v="1"/>
    <x v="3"/>
    <x v="3"/>
    <n v="63498"/>
    <n v="20202767.264147881"/>
    <n v="102561789"/>
    <n v="1627711327"/>
    <n v="0.19698142418467254"/>
  </r>
  <r>
    <x v="10"/>
    <x v="1"/>
    <x v="3"/>
    <x v="4"/>
    <n v="444434"/>
    <n v="194846362.42851496"/>
    <n v="102561789"/>
    <n v="1627711327"/>
    <n v="1.8997948878262543"/>
  </r>
  <r>
    <x v="10"/>
    <x v="2"/>
    <x v="0"/>
    <x v="1"/>
    <n v="19068093"/>
    <n v="72393727235.077835"/>
    <n v="112858273"/>
    <n v="1821656342"/>
    <n v="641.45698237893328"/>
  </r>
  <r>
    <x v="10"/>
    <x v="2"/>
    <x v="0"/>
    <x v="0"/>
    <n v="15648472"/>
    <n v="7197595156.6908989"/>
    <n v="112858273"/>
    <n v="1821656342"/>
    <n v="63.775520973025159"/>
  </r>
  <r>
    <x v="10"/>
    <x v="2"/>
    <x v="0"/>
    <x v="2"/>
    <n v="12191478"/>
    <n v="7210758662.2819328"/>
    <n v="112858273"/>
    <n v="1821656342"/>
    <n v="63.892158462161944"/>
  </r>
  <r>
    <x v="10"/>
    <x v="2"/>
    <x v="0"/>
    <x v="3"/>
    <n v="50753"/>
    <n v="27460255.459661681"/>
    <n v="112858273"/>
    <n v="1821656342"/>
    <n v="0.24331628271204966"/>
  </r>
  <r>
    <x v="10"/>
    <x v="2"/>
    <x v="0"/>
    <x v="4"/>
    <n v="367621"/>
    <n v="165535312.39278784"/>
    <n v="112858273"/>
    <n v="1821656342"/>
    <n v="1.4667539028599865"/>
  </r>
  <r>
    <x v="10"/>
    <x v="2"/>
    <x v="1"/>
    <x v="0"/>
    <n v="19971660"/>
    <n v="8322688556.9900064"/>
    <n v="125319227"/>
    <n v="1707907949"/>
    <n v="66.411904671180324"/>
  </r>
  <r>
    <x v="10"/>
    <x v="2"/>
    <x v="1"/>
    <x v="1"/>
    <n v="17569398"/>
    <n v="64723140394.229134"/>
    <n v="125319227"/>
    <n v="1707907949"/>
    <n v="516.46616360176824"/>
  </r>
  <r>
    <x v="10"/>
    <x v="2"/>
    <x v="1"/>
    <x v="2"/>
    <n v="9645967"/>
    <n v="7196610931.5614424"/>
    <n v="125319227"/>
    <n v="1707907949"/>
    <n v="57.42623142386158"/>
  </r>
  <r>
    <x v="10"/>
    <x v="2"/>
    <x v="1"/>
    <x v="3"/>
    <n v="59617"/>
    <n v="53132341.305008195"/>
    <n v="125319227"/>
    <n v="1707907949"/>
    <n v="0.42397597381452246"/>
  </r>
  <r>
    <x v="10"/>
    <x v="2"/>
    <x v="1"/>
    <x v="4"/>
    <n v="173543"/>
    <n v="92274135.405044109"/>
    <n v="125319227"/>
    <n v="1707907949"/>
    <n v="0.7363126761470058"/>
  </r>
  <r>
    <x v="10"/>
    <x v="2"/>
    <x v="2"/>
    <x v="1"/>
    <n v="23130724"/>
    <n v="89142122337.25531"/>
    <n v="137146317"/>
    <n v="2028427192"/>
    <n v="649.9782443100919"/>
  </r>
  <r>
    <x v="10"/>
    <x v="2"/>
    <x v="2"/>
    <x v="2"/>
    <n v="18338969"/>
    <n v="12749796641.785404"/>
    <n v="137146317"/>
    <n v="2028427192"/>
    <n v="92.964921849016221"/>
  </r>
  <r>
    <x v="10"/>
    <x v="2"/>
    <x v="2"/>
    <x v="0"/>
    <n v="17481357"/>
    <n v="9820654243.8088207"/>
    <n v="137146317"/>
    <n v="2028427192"/>
    <n v="71.607130680795606"/>
  </r>
  <r>
    <x v="10"/>
    <x v="2"/>
    <x v="2"/>
    <x v="3"/>
    <n v="92278"/>
    <n v="84723188.621043354"/>
    <n v="137146317"/>
    <n v="2028427192"/>
    <n v="0.61775766549416966"/>
  </r>
  <r>
    <x v="10"/>
    <x v="2"/>
    <x v="2"/>
    <x v="4"/>
    <n v="246851"/>
    <n v="124456073.24163358"/>
    <n v="137146317"/>
    <n v="2028427192"/>
    <n v="0.90746930697113493"/>
  </r>
  <r>
    <x v="10"/>
    <x v="2"/>
    <x v="3"/>
    <x v="1"/>
    <n v="29967258"/>
    <n v="116743230330.36209"/>
    <n v="149657233"/>
    <n v="2535470883"/>
    <n v="780.07075227939094"/>
  </r>
  <r>
    <x v="10"/>
    <x v="2"/>
    <x v="3"/>
    <x v="2"/>
    <n v="28430460"/>
    <n v="20844321156.652935"/>
    <n v="149657233"/>
    <n v="2535470883"/>
    <n v="139.2804125721938"/>
  </r>
  <r>
    <x v="10"/>
    <x v="2"/>
    <x v="3"/>
    <x v="0"/>
    <n v="18943669"/>
    <n v="10441981826.080866"/>
    <n v="149657233"/>
    <n v="2535470883"/>
    <n v="69.772650588033159"/>
  </r>
  <r>
    <x v="10"/>
    <x v="2"/>
    <x v="3"/>
    <x v="3"/>
    <n v="113371"/>
    <n v="120056733.8865249"/>
    <n v="149657233"/>
    <n v="2535470883"/>
    <n v="0.80221136980746466"/>
  </r>
  <r>
    <x v="10"/>
    <x v="2"/>
    <x v="3"/>
    <x v="4"/>
    <n v="373789"/>
    <n v="243470065.45681778"/>
    <n v="149657233"/>
    <n v="2535470883"/>
    <n v="1.6268513093304202"/>
  </r>
  <r>
    <x v="10"/>
    <x v="3"/>
    <x v="0"/>
    <x v="1"/>
    <n v="36427493"/>
    <n v="144818968373.02933"/>
    <n v="161371386"/>
    <n v="2912061614"/>
    <n v="897.42656342450528"/>
  </r>
  <r>
    <x v="10"/>
    <x v="3"/>
    <x v="0"/>
    <x v="2"/>
    <n v="35815382"/>
    <n v="26512643894.003174"/>
    <n v="161371386"/>
    <n v="2912061614"/>
    <n v="164.29581818181308"/>
  </r>
  <r>
    <x v="10"/>
    <x v="3"/>
    <x v="0"/>
    <x v="0"/>
    <n v="22088838"/>
    <n v="11996115292.377842"/>
    <n v="161371386"/>
    <n v="2912061614"/>
    <n v="74.338552761626786"/>
  </r>
  <r>
    <x v="10"/>
    <x v="3"/>
    <x v="0"/>
    <x v="3"/>
    <n v="126380"/>
    <n v="137612317.73580322"/>
    <n v="161371386"/>
    <n v="2912061614"/>
    <n v="0.85276777467724807"/>
  </r>
  <r>
    <x v="10"/>
    <x v="3"/>
    <x v="0"/>
    <x v="4"/>
    <n v="316472"/>
    <n v="235440836.3042438"/>
    <n v="161371386"/>
    <n v="2912061614"/>
    <n v="1.4589999016569382"/>
  </r>
  <r>
    <x v="10"/>
    <x v="3"/>
    <x v="1"/>
    <x v="2"/>
    <n v="42593432"/>
    <n v="33542305033.829506"/>
    <n v="173095791"/>
    <n v="3106757973"/>
    <n v="193.77885990208455"/>
  </r>
  <r>
    <x v="10"/>
    <x v="3"/>
    <x v="1"/>
    <x v="1"/>
    <n v="41642387"/>
    <n v="162483567902.30194"/>
    <n v="173095791"/>
    <n v="3106757973"/>
    <n v="938.6916167262666"/>
  </r>
  <r>
    <x v="10"/>
    <x v="3"/>
    <x v="1"/>
    <x v="0"/>
    <n v="27127405"/>
    <n v="13750783181.944221"/>
    <n v="173095791"/>
    <n v="3106757973"/>
    <n v="79.440309336835469"/>
  </r>
  <r>
    <x v="10"/>
    <x v="3"/>
    <x v="1"/>
    <x v="3"/>
    <n v="128647"/>
    <n v="136119996.70228249"/>
    <n v="173095791"/>
    <n v="3106757973"/>
    <n v="0.78638536451924756"/>
  </r>
  <r>
    <x v="10"/>
    <x v="3"/>
    <x v="1"/>
    <x v="4"/>
    <n v="349525"/>
    <n v="249278437.33914098"/>
    <n v="173095791"/>
    <n v="3106757973"/>
    <n v="1.440118421707556"/>
  </r>
  <r>
    <x v="10"/>
    <x v="3"/>
    <x v="2"/>
    <x v="2"/>
    <n v="62934471"/>
    <n v="48197579736.516457"/>
    <n v="186414371"/>
    <n v="4179858661"/>
    <n v="258.55077308667609"/>
  </r>
  <r>
    <x v="10"/>
    <x v="3"/>
    <x v="2"/>
    <x v="1"/>
    <n v="56134212"/>
    <n v="208013326600.62402"/>
    <n v="186414371"/>
    <n v="4179858661"/>
    <n v="1115.8652923846951"/>
  </r>
  <r>
    <x v="10"/>
    <x v="3"/>
    <x v="2"/>
    <x v="0"/>
    <n v="29580901"/>
    <n v="15945997372.058683"/>
    <n v="186414371"/>
    <n v="4179858661"/>
    <n v="85.540601223597093"/>
  </r>
  <r>
    <x v="10"/>
    <x v="3"/>
    <x v="2"/>
    <x v="3"/>
    <n v="125167"/>
    <n v="163304131.14365229"/>
    <n v="186414371"/>
    <n v="4179858661"/>
    <n v="0.87602758450233587"/>
  </r>
  <r>
    <x v="10"/>
    <x v="3"/>
    <x v="2"/>
    <x v="4"/>
    <n v="473656"/>
    <n v="304418273.24545926"/>
    <n v="186414371"/>
    <n v="4179858661"/>
    <n v="1.6330193407967417"/>
  </r>
  <r>
    <x v="10"/>
    <x v="3"/>
    <x v="3"/>
    <x v="2"/>
    <n v="84846502"/>
    <n v="68717933161.869598"/>
    <n v="199531211"/>
    <n v="5366308299"/>
    <n v="344.3969132321339"/>
  </r>
  <r>
    <x v="10"/>
    <x v="3"/>
    <x v="3"/>
    <x v="1"/>
    <n v="67301686"/>
    <n v="254338740726.63605"/>
    <n v="199531211"/>
    <n v="5366308299"/>
    <n v="1274.6814869310649"/>
  </r>
  <r>
    <x v="10"/>
    <x v="3"/>
    <x v="3"/>
    <x v="0"/>
    <n v="30072479"/>
    <n v="18739034341.662392"/>
    <n v="199531211"/>
    <n v="5366308299"/>
    <n v="93.915304015582763"/>
  </r>
  <r>
    <x v="10"/>
    <x v="3"/>
    <x v="3"/>
    <x v="3"/>
    <n v="175393"/>
    <n v="209214620.7057898"/>
    <n v="199531211"/>
    <n v="5366308299"/>
    <n v="1.048530802059783"/>
  </r>
  <r>
    <x v="10"/>
    <x v="3"/>
    <x v="3"/>
    <x v="4"/>
    <n v="591265"/>
    <n v="377657202.7539646"/>
    <n v="199531211"/>
    <n v="5366308299"/>
    <n v="1.8927224510954559"/>
  </r>
  <r>
    <x v="11"/>
    <x v="0"/>
    <x v="0"/>
    <x v="0"/>
    <n v="2368002"/>
    <n v="535578755.07945114"/>
    <n v="20320927"/>
    <n v="0"/>
    <n v="26.356019835091733"/>
  </r>
  <r>
    <x v="11"/>
    <x v="0"/>
    <x v="0"/>
    <x v="1"/>
    <n v="1607193"/>
    <n v="5814807510.6866598"/>
    <n v="20320927"/>
    <n v="0"/>
    <n v="286.14873281551871"/>
  </r>
  <r>
    <x v="11"/>
    <x v="0"/>
    <x v="0"/>
    <x v="2"/>
    <n v="167816"/>
    <n v="173513595.3537558"/>
    <n v="20320927"/>
    <n v="0"/>
    <n v="8.5386653548706608"/>
  </r>
  <r>
    <x v="11"/>
    <x v="0"/>
    <x v="0"/>
    <x v="3"/>
    <n v="128636"/>
    <n v="27501068.014126316"/>
    <n v="20320927"/>
    <n v="0"/>
    <n v="1.3533372770900813"/>
  </r>
  <r>
    <x v="11"/>
    <x v="0"/>
    <x v="0"/>
    <x v="4"/>
    <n v="209123"/>
    <n v="242110585.52640373"/>
    <n v="20320927"/>
    <n v="0"/>
    <n v="11.91434748652971"/>
  </r>
  <r>
    <x v="11"/>
    <x v="0"/>
    <x v="1"/>
    <x v="0"/>
    <n v="3054284"/>
    <n v="984897276.651981"/>
    <n v="26919431"/>
    <n v="0"/>
    <n v="36.586853438766255"/>
  </r>
  <r>
    <x v="11"/>
    <x v="0"/>
    <x v="1"/>
    <x v="1"/>
    <n v="2388953"/>
    <n v="9745924809.8514938"/>
    <n v="26919431"/>
    <n v="0"/>
    <n v="362.04052046462255"/>
  </r>
  <r>
    <x v="11"/>
    <x v="0"/>
    <x v="1"/>
    <x v="2"/>
    <n v="369916"/>
    <n v="334118261.45344114"/>
    <n v="26919431"/>
    <n v="0"/>
    <n v="12.41178765826964"/>
  </r>
  <r>
    <x v="11"/>
    <x v="0"/>
    <x v="1"/>
    <x v="3"/>
    <n v="167570"/>
    <n v="38145882.441803858"/>
    <n v="26919431"/>
    <n v="0"/>
    <n v="1.4170389575397733"/>
  </r>
  <r>
    <x v="11"/>
    <x v="0"/>
    <x v="1"/>
    <x v="4"/>
    <n v="170208"/>
    <n v="217328211.71769944"/>
    <n v="26919431"/>
    <n v="0"/>
    <n v="8.073284005063087"/>
  </r>
  <r>
    <x v="11"/>
    <x v="0"/>
    <x v="2"/>
    <x v="1"/>
    <n v="3753981"/>
    <n v="14429454356.345787"/>
    <n v="33224378"/>
    <n v="0"/>
    <n v="434.30322025429001"/>
  </r>
  <r>
    <x v="11"/>
    <x v="0"/>
    <x v="2"/>
    <x v="0"/>
    <n v="3203386"/>
    <n v="1310467515.0605886"/>
    <n v="33224378"/>
    <n v="0"/>
    <n v="39.442951048190835"/>
  </r>
  <r>
    <x v="11"/>
    <x v="0"/>
    <x v="2"/>
    <x v="2"/>
    <n v="1003057"/>
    <n v="427387637.93353713"/>
    <n v="33224378"/>
    <n v="0"/>
    <n v="12.863676121597736"/>
  </r>
  <r>
    <x v="11"/>
    <x v="0"/>
    <x v="2"/>
    <x v="3"/>
    <n v="100452"/>
    <n v="17323790.814170156"/>
    <n v="33224378"/>
    <n v="0"/>
    <n v="0.52141806279022451"/>
  </r>
  <r>
    <x v="11"/>
    <x v="0"/>
    <x v="2"/>
    <x v="4"/>
    <n v="201148"/>
    <n v="190505707.47361812"/>
    <n v="33224378"/>
    <n v="0"/>
    <n v="5.7339134377058354"/>
  </r>
  <r>
    <x v="11"/>
    <x v="0"/>
    <x v="3"/>
    <x v="1"/>
    <n v="5905032"/>
    <n v="22416919746.938679"/>
    <n v="41723869"/>
    <n v="0"/>
    <n v="537.26848166785965"/>
  </r>
  <r>
    <x v="11"/>
    <x v="0"/>
    <x v="3"/>
    <x v="0"/>
    <n v="4116262"/>
    <n v="1671040703.7317612"/>
    <n v="41723869"/>
    <n v="0"/>
    <n v="40.049994014978843"/>
  </r>
  <r>
    <x v="11"/>
    <x v="0"/>
    <x v="3"/>
    <x v="2"/>
    <n v="2413446"/>
    <n v="1013407379.8963095"/>
    <n v="41723869"/>
    <n v="0"/>
    <n v="24.288432597089919"/>
  </r>
  <r>
    <x v="11"/>
    <x v="0"/>
    <x v="3"/>
    <x v="3"/>
    <n v="120711"/>
    <n v="22252543.62175617"/>
    <n v="41723869"/>
    <n v="0"/>
    <n v="0.5333288631923413"/>
  </r>
  <r>
    <x v="11"/>
    <x v="0"/>
    <x v="3"/>
    <x v="4"/>
    <n v="394732"/>
    <n v="267255642.26742023"/>
    <n v="41723869"/>
    <n v="0"/>
    <n v="6.4053418024924831"/>
  </r>
  <r>
    <x v="11"/>
    <x v="1"/>
    <x v="0"/>
    <x v="1"/>
    <n v="12622225"/>
    <n v="30283578836.619068"/>
    <n v="49926437"/>
    <n v="0"/>
    <n v="606.56399006840945"/>
  </r>
  <r>
    <x v="11"/>
    <x v="1"/>
    <x v="0"/>
    <x v="0"/>
    <n v="5576577"/>
    <n v="2202061874.5361757"/>
    <n v="49926437"/>
    <n v="0"/>
    <n v="44.106129074185198"/>
  </r>
  <r>
    <x v="11"/>
    <x v="1"/>
    <x v="0"/>
    <x v="2"/>
    <n v="3361995"/>
    <n v="1292375556.3150868"/>
    <n v="49926437"/>
    <n v="0"/>
    <n v="25.885595567636578"/>
  </r>
  <r>
    <x v="11"/>
    <x v="1"/>
    <x v="0"/>
    <x v="3"/>
    <n v="101786"/>
    <n v="15201736.002431491"/>
    <n v="49926437"/>
    <n v="0"/>
    <n v="0.30448269325590954"/>
  </r>
  <r>
    <x v="11"/>
    <x v="1"/>
    <x v="0"/>
    <x v="4"/>
    <n v="473192"/>
    <n v="258437718.15887585"/>
    <n v="49926437"/>
    <n v="0"/>
    <n v="5.1763701495237049"/>
  </r>
  <r>
    <x v="11"/>
    <x v="1"/>
    <x v="1"/>
    <x v="1"/>
    <n v="10387562"/>
    <n v="37056084813.575783"/>
    <n v="56958330"/>
    <n v="351221145"/>
    <n v="650.58236106247818"/>
  </r>
  <r>
    <x v="11"/>
    <x v="1"/>
    <x v="1"/>
    <x v="0"/>
    <n v="5902923"/>
    <n v="2838724048.0896106"/>
    <n v="56958330"/>
    <n v="351221145"/>
    <n v="49.838610929948445"/>
  </r>
  <r>
    <x v="11"/>
    <x v="1"/>
    <x v="1"/>
    <x v="2"/>
    <n v="5738283"/>
    <n v="2292901816.1432047"/>
    <n v="56958330"/>
    <n v="351221145"/>
    <n v="40.255776743159508"/>
  </r>
  <r>
    <x v="11"/>
    <x v="1"/>
    <x v="1"/>
    <x v="3"/>
    <n v="57488"/>
    <n v="12080285.227121718"/>
    <n v="56958330"/>
    <n v="351221145"/>
    <n v="0.21208987740900617"/>
  </r>
  <r>
    <x v="11"/>
    <x v="1"/>
    <x v="1"/>
    <x v="4"/>
    <n v="655560"/>
    <n v="301748850.18049377"/>
    <n v="56958330"/>
    <n v="351221145"/>
    <n v="5.2977123834300226"/>
  </r>
  <r>
    <x v="11"/>
    <x v="1"/>
    <x v="2"/>
    <x v="1"/>
    <n v="11775288"/>
    <n v="43738290119.928497"/>
    <n v="63621272"/>
    <n v="1301658457"/>
    <n v="687.47902619627757"/>
  </r>
  <r>
    <x v="11"/>
    <x v="1"/>
    <x v="2"/>
    <x v="2"/>
    <n v="9386779"/>
    <n v="3615636827.8118167"/>
    <n v="63621272"/>
    <n v="1301658457"/>
    <n v="56.830627778265999"/>
  </r>
  <r>
    <x v="11"/>
    <x v="1"/>
    <x v="2"/>
    <x v="0"/>
    <n v="8289987"/>
    <n v="4817098564.8236408"/>
    <n v="63621272"/>
    <n v="1301658457"/>
    <n v="75.715219350277067"/>
  </r>
  <r>
    <x v="11"/>
    <x v="1"/>
    <x v="2"/>
    <x v="3"/>
    <n v="61503"/>
    <n v="16715100.880217994"/>
    <n v="63621272"/>
    <n v="1301658457"/>
    <n v="0.26272817808826571"/>
  </r>
  <r>
    <x v="11"/>
    <x v="1"/>
    <x v="2"/>
    <x v="4"/>
    <n v="829974"/>
    <n v="301378585.99785972"/>
    <n v="63621272"/>
    <n v="1301658457"/>
    <n v="4.7370726256126998"/>
  </r>
  <r>
    <x v="11"/>
    <x v="1"/>
    <x v="3"/>
    <x v="1"/>
    <n v="15729819"/>
    <n v="58242027266.144432"/>
    <n v="70033469"/>
    <n v="1503940768"/>
    <n v="831.63133424312355"/>
  </r>
  <r>
    <x v="11"/>
    <x v="1"/>
    <x v="3"/>
    <x v="2"/>
    <n v="11615667"/>
    <n v="5253780278.2364264"/>
    <n v="70033469"/>
    <n v="1503940768"/>
    <n v="75.018135660771378"/>
  </r>
  <r>
    <x v="11"/>
    <x v="1"/>
    <x v="3"/>
    <x v="0"/>
    <n v="9648003"/>
    <n v="5637358525.7561941"/>
    <n v="70033469"/>
    <n v="1503940768"/>
    <n v="80.495206167156937"/>
  </r>
  <r>
    <x v="11"/>
    <x v="1"/>
    <x v="3"/>
    <x v="3"/>
    <n v="41688"/>
    <n v="13756049.144287623"/>
    <n v="70033469"/>
    <n v="1503940768"/>
    <n v="0.19642107324838676"/>
  </r>
  <r>
    <x v="11"/>
    <x v="1"/>
    <x v="3"/>
    <x v="4"/>
    <n v="790808"/>
    <n v="212797749.81994924"/>
    <n v="70033469"/>
    <n v="1503940768"/>
    <n v="3.0385150537088093"/>
  </r>
  <r>
    <x v="11"/>
    <x v="2"/>
    <x v="0"/>
    <x v="1"/>
    <n v="17728235"/>
    <n v="68367245528.071487"/>
    <n v="77206470"/>
    <n v="1735728148"/>
    <n v="885.51186873420693"/>
  </r>
  <r>
    <x v="11"/>
    <x v="2"/>
    <x v="0"/>
    <x v="2"/>
    <n v="14327020"/>
    <n v="7075196609.2248783"/>
    <n v="77206470"/>
    <n v="1735728148"/>
    <n v="91.639944284784406"/>
  </r>
  <r>
    <x v="11"/>
    <x v="2"/>
    <x v="0"/>
    <x v="0"/>
    <n v="11346112"/>
    <n v="6331682016.5163221"/>
    <n v="77206470"/>
    <n v="1735728148"/>
    <n v="82.009733336031587"/>
  </r>
  <r>
    <x v="11"/>
    <x v="2"/>
    <x v="0"/>
    <x v="3"/>
    <n v="34488"/>
    <n v="25266730.188326702"/>
    <n v="77206470"/>
    <n v="1735728148"/>
    <n v="0.32726182389023489"/>
  </r>
  <r>
    <x v="11"/>
    <x v="2"/>
    <x v="0"/>
    <x v="4"/>
    <n v="600232"/>
    <n v="176823674.24305555"/>
    <n v="77206470"/>
    <n v="1735728148"/>
    <n v="2.2902701579680507"/>
  </r>
  <r>
    <x v="11"/>
    <x v="2"/>
    <x v="1"/>
    <x v="1"/>
    <n v="17334369"/>
    <n v="66645492690.678391"/>
    <n v="84511658"/>
    <n v="1580151353"/>
    <n v="788.59525736293551"/>
  </r>
  <r>
    <x v="11"/>
    <x v="2"/>
    <x v="1"/>
    <x v="0"/>
    <n v="12740328"/>
    <n v="6547618491.5324049"/>
    <n v="84511658"/>
    <n v="1580151353"/>
    <n v="77.475920440850956"/>
  </r>
  <r>
    <x v="11"/>
    <x v="2"/>
    <x v="1"/>
    <x v="2"/>
    <n v="11527654"/>
    <n v="7393393677.7585011"/>
    <n v="84511658"/>
    <n v="1580151353"/>
    <n v="87.483713522204255"/>
  </r>
  <r>
    <x v="11"/>
    <x v="2"/>
    <x v="1"/>
    <x v="3"/>
    <n v="48759"/>
    <n v="49209527.29146181"/>
    <n v="84511658"/>
    <n v="1580151353"/>
    <n v="0.58228093562502126"/>
  </r>
  <r>
    <x v="11"/>
    <x v="2"/>
    <x v="1"/>
    <x v="4"/>
    <n v="129940"/>
    <n v="75550536.679935873"/>
    <n v="84511658"/>
    <n v="1580151353"/>
    <n v="0.89396585592884559"/>
  </r>
  <r>
    <x v="11"/>
    <x v="2"/>
    <x v="2"/>
    <x v="1"/>
    <n v="24123449"/>
    <n v="88796356487.110245"/>
    <n v="92386976"/>
    <n v="2074762459"/>
    <n v="961.13500334841831"/>
  </r>
  <r>
    <x v="11"/>
    <x v="2"/>
    <x v="2"/>
    <x v="2"/>
    <n v="20845136"/>
    <n v="12141560866.982178"/>
    <n v="92386976"/>
    <n v="2074762459"/>
    <n v="131.42069794537034"/>
  </r>
  <r>
    <x v="11"/>
    <x v="2"/>
    <x v="2"/>
    <x v="0"/>
    <n v="12716319"/>
    <n v="8452802892.5044956"/>
    <n v="92386976"/>
    <n v="2074762459"/>
    <n v="91.493447003877421"/>
  </r>
  <r>
    <x v="11"/>
    <x v="2"/>
    <x v="2"/>
    <x v="3"/>
    <n v="66457"/>
    <n v="80854296.930401295"/>
    <n v="92386976"/>
    <n v="2074762459"/>
    <n v="0.87516986085139636"/>
  </r>
  <r>
    <x v="11"/>
    <x v="2"/>
    <x v="2"/>
    <x v="4"/>
    <n v="186818"/>
    <n v="96375902.203463078"/>
    <n v="92386976"/>
    <n v="2074762459"/>
    <n v="1.0431762828070386"/>
  </r>
  <r>
    <x v="11"/>
    <x v="2"/>
    <x v="3"/>
    <x v="2"/>
    <n v="34063692"/>
    <n v="21382305452.06797"/>
    <n v="100428603"/>
    <n v="2597114377"/>
    <n v="212.91051367176709"/>
  </r>
  <r>
    <x v="11"/>
    <x v="2"/>
    <x v="3"/>
    <x v="1"/>
    <n v="33920789"/>
    <n v="128613933346.85507"/>
    <n v="100428603"/>
    <n v="2597114377"/>
    <n v="1280.6504273175549"/>
  </r>
  <r>
    <x v="11"/>
    <x v="2"/>
    <x v="3"/>
    <x v="0"/>
    <n v="14682896"/>
    <n v="9675471300.7316532"/>
    <n v="100428603"/>
    <n v="2597114377"/>
    <n v="96.341789208515166"/>
  </r>
  <r>
    <x v="11"/>
    <x v="2"/>
    <x v="3"/>
    <x v="3"/>
    <n v="84881"/>
    <n v="103265693.75364488"/>
    <n v="100428603"/>
    <n v="2597114377"/>
    <n v="1.0282498279264611"/>
  </r>
  <r>
    <x v="11"/>
    <x v="2"/>
    <x v="3"/>
    <x v="4"/>
    <n v="419181"/>
    <n v="223528573.13344151"/>
    <n v="100428603"/>
    <n v="2597114377"/>
    <n v="2.2257461167058303"/>
  </r>
  <r>
    <x v="11"/>
    <x v="3"/>
    <x v="0"/>
    <x v="2"/>
    <n v="39363588"/>
    <n v="23389100227.155342"/>
    <n v="108106955"/>
    <n v="2933553513"/>
    <n v="216.35148476021124"/>
  </r>
  <r>
    <x v="11"/>
    <x v="3"/>
    <x v="0"/>
    <x v="1"/>
    <n v="36764622"/>
    <n v="135970636784.61835"/>
    <n v="108106955"/>
    <n v="2933553513"/>
    <n v="1257.7418056462541"/>
  </r>
  <r>
    <x v="11"/>
    <x v="3"/>
    <x v="0"/>
    <x v="0"/>
    <n v="13680353"/>
    <n v="9260346909.4406738"/>
    <n v="108106955"/>
    <n v="2933553513"/>
    <n v="85.659122573942383"/>
  </r>
  <r>
    <x v="11"/>
    <x v="3"/>
    <x v="0"/>
    <x v="3"/>
    <n v="79784"/>
    <n v="99672809.992282182"/>
    <n v="108106955"/>
    <n v="2933553513"/>
    <n v="0.92198332653326687"/>
  </r>
  <r>
    <x v="11"/>
    <x v="3"/>
    <x v="0"/>
    <x v="4"/>
    <n v="364437"/>
    <n v="218544351.22172093"/>
    <n v="108106955"/>
    <n v="2933553513"/>
    <n v="2.0215568112312563"/>
  </r>
  <r>
    <x v="11"/>
    <x v="3"/>
    <x v="1"/>
    <x v="2"/>
    <n v="45335533"/>
    <n v="29119078263.957985"/>
    <n v="115836534"/>
    <n v="2574577566"/>
    <n v="251.38077995287725"/>
  </r>
  <r>
    <x v="11"/>
    <x v="3"/>
    <x v="1"/>
    <x v="1"/>
    <n v="44086559"/>
    <n v="161073685336.66681"/>
    <n v="115836534"/>
    <n v="2574577566"/>
    <n v="1390.5257674290117"/>
  </r>
  <r>
    <x v="11"/>
    <x v="3"/>
    <x v="1"/>
    <x v="0"/>
    <n v="15861047"/>
    <n v="9839496894.9714088"/>
    <n v="115836534"/>
    <n v="2574577566"/>
    <n v="84.942949820748339"/>
  </r>
  <r>
    <x v="11"/>
    <x v="3"/>
    <x v="1"/>
    <x v="3"/>
    <n v="85821"/>
    <n v="97238136.09517692"/>
    <n v="115836534"/>
    <n v="2574577566"/>
    <n v="0.83944272793225083"/>
  </r>
  <r>
    <x v="11"/>
    <x v="3"/>
    <x v="1"/>
    <x v="4"/>
    <n v="311896"/>
    <n v="227855606.99266592"/>
    <n v="115836534"/>
    <n v="2574577566"/>
    <n v="1.9670444127123652"/>
  </r>
  <r>
    <x v="11"/>
    <x v="3"/>
    <x v="2"/>
    <x v="2"/>
    <n v="66885213"/>
    <n v="40190922826.606293"/>
    <n v="124578696"/>
    <n v="3265725155"/>
    <n v="322.61473363476443"/>
  </r>
  <r>
    <x v="11"/>
    <x v="3"/>
    <x v="2"/>
    <x v="1"/>
    <n v="55929958"/>
    <n v="188548678300.52469"/>
    <n v="124578696"/>
    <n v="3265725155"/>
    <n v="1513.4905433632464"/>
  </r>
  <r>
    <x v="11"/>
    <x v="3"/>
    <x v="2"/>
    <x v="0"/>
    <n v="17087955"/>
    <n v="11681457468.964512"/>
    <n v="124578696"/>
    <n v="3265725155"/>
    <n v="93.767697399598021"/>
  </r>
  <r>
    <x v="11"/>
    <x v="3"/>
    <x v="2"/>
    <x v="3"/>
    <n v="77496"/>
    <n v="116592181.46997279"/>
    <n v="124578696"/>
    <n v="3265725155"/>
    <n v="0.9358918114696978"/>
  </r>
  <r>
    <x v="11"/>
    <x v="3"/>
    <x v="2"/>
    <x v="4"/>
    <n v="479071"/>
    <n v="289441481.64370304"/>
    <n v="124578696"/>
    <n v="3265725155"/>
    <n v="2.3233625887664053"/>
  </r>
  <r>
    <x v="11"/>
    <x v="3"/>
    <x v="3"/>
    <x v="2"/>
    <n v="84993587"/>
    <n v="56325102920.506706"/>
    <n v="133280829"/>
    <n v="4863946857"/>
    <n v="422.60468623365711"/>
  </r>
  <r>
    <x v="11"/>
    <x v="3"/>
    <x v="3"/>
    <x v="1"/>
    <n v="66548306"/>
    <n v="238638993818.09595"/>
    <n v="133280829"/>
    <n v="4863946857"/>
    <n v="1790.4975202254777"/>
  </r>
  <r>
    <x v="11"/>
    <x v="3"/>
    <x v="3"/>
    <x v="0"/>
    <n v="17632752"/>
    <n v="13817258646.066364"/>
    <n v="133280829"/>
    <n v="4863946857"/>
    <n v="103.67026338098755"/>
  </r>
  <r>
    <x v="11"/>
    <x v="3"/>
    <x v="3"/>
    <x v="3"/>
    <n v="105050"/>
    <n v="151421306.61683068"/>
    <n v="133280829"/>
    <n v="4863946857"/>
    <n v="1.1361071787513468"/>
  </r>
  <r>
    <x v="11"/>
    <x v="3"/>
    <x v="3"/>
    <x v="4"/>
    <n v="407280"/>
    <n v="307822609.17479354"/>
    <n v="133280829"/>
    <n v="4863946857"/>
    <n v="2.3095790406195142"/>
  </r>
  <r>
    <x v="12"/>
    <x v="0"/>
    <x v="0"/>
    <x v="0"/>
    <n v="284371"/>
    <n v="49871175.826074272"/>
    <n v="2501103"/>
    <n v="0"/>
    <n v="19.939672946725615"/>
  </r>
  <r>
    <x v="12"/>
    <x v="0"/>
    <x v="0"/>
    <x v="1"/>
    <n v="154572"/>
    <n v="546222027.48353028"/>
    <n v="2501103"/>
    <n v="0"/>
    <n v="218.39245624171826"/>
  </r>
  <r>
    <x v="12"/>
    <x v="0"/>
    <x v="0"/>
    <x v="2"/>
    <n v="13241"/>
    <n v="13851230.834952449"/>
    <n v="2501103"/>
    <n v="0"/>
    <n v="5.5380489467856577"/>
  </r>
  <r>
    <x v="12"/>
    <x v="0"/>
    <x v="0"/>
    <x v="3"/>
    <n v="8955"/>
    <n v="2040522.724771278"/>
    <n v="2501103"/>
    <n v="0"/>
    <n v="0.81584913726914809"/>
  </r>
  <r>
    <x v="12"/>
    <x v="0"/>
    <x v="0"/>
    <x v="4"/>
    <n v="20779"/>
    <n v="16752849.503009535"/>
    <n v="2501103"/>
    <n v="0"/>
    <n v="6.6981845621749825"/>
  </r>
  <r>
    <x v="12"/>
    <x v="0"/>
    <x v="1"/>
    <x v="0"/>
    <n v="385642"/>
    <n v="83714322.414041996"/>
    <n v="3468289"/>
    <n v="0"/>
    <n v="24.137066551847898"/>
  </r>
  <r>
    <x v="12"/>
    <x v="0"/>
    <x v="1"/>
    <x v="1"/>
    <n v="243436"/>
    <n v="1043702964.1513071"/>
    <n v="3468289"/>
    <n v="0"/>
    <n v="300.92733453045787"/>
  </r>
  <r>
    <x v="12"/>
    <x v="0"/>
    <x v="1"/>
    <x v="2"/>
    <n v="27851"/>
    <n v="31961300.882765952"/>
    <n v="3468289"/>
    <n v="0"/>
    <n v="9.2152934437602951"/>
  </r>
  <r>
    <x v="12"/>
    <x v="0"/>
    <x v="1"/>
    <x v="3"/>
    <n v="11330"/>
    <n v="4108919.3075577794"/>
    <n v="3468289"/>
    <n v="0"/>
    <n v="1.1847107630182432"/>
  </r>
  <r>
    <x v="12"/>
    <x v="0"/>
    <x v="1"/>
    <x v="4"/>
    <n v="19436"/>
    <n v="19681794.59544668"/>
    <n v="3468289"/>
    <n v="0"/>
    <n v="5.6747850584096886"/>
  </r>
  <r>
    <x v="12"/>
    <x v="0"/>
    <x v="2"/>
    <x v="0"/>
    <n v="457449"/>
    <n v="108456077.51862916"/>
    <n v="4483974"/>
    <n v="0"/>
    <n v="24.187490275061624"/>
  </r>
  <r>
    <x v="12"/>
    <x v="0"/>
    <x v="2"/>
    <x v="1"/>
    <n v="362755"/>
    <n v="1596570994.9854269"/>
    <n v="4483974"/>
    <n v="0"/>
    <n v="356.06160851633547"/>
  </r>
  <r>
    <x v="12"/>
    <x v="0"/>
    <x v="2"/>
    <x v="2"/>
    <n v="40675"/>
    <n v="31168155.221930541"/>
    <n v="4483974"/>
    <n v="0"/>
    <n v="6.9510115852434788"/>
  </r>
  <r>
    <x v="12"/>
    <x v="0"/>
    <x v="2"/>
    <x v="3"/>
    <n v="8182"/>
    <n v="1552275.0537747287"/>
    <n v="4483974"/>
    <n v="0"/>
    <n v="0.34618288459628194"/>
  </r>
  <r>
    <x v="12"/>
    <x v="0"/>
    <x v="2"/>
    <x v="4"/>
    <n v="17693"/>
    <n v="16293930.078267336"/>
    <n v="4483974"/>
    <n v="0"/>
    <n v="3.6338145757016735"/>
  </r>
  <r>
    <x v="12"/>
    <x v="0"/>
    <x v="3"/>
    <x v="0"/>
    <n v="598325"/>
    <n v="143031082.44320169"/>
    <n v="5789773"/>
    <n v="0"/>
    <n v="24.70409158410903"/>
  </r>
  <r>
    <x v="12"/>
    <x v="0"/>
    <x v="3"/>
    <x v="1"/>
    <n v="590518"/>
    <n v="2367228879.4462624"/>
    <n v="5789773"/>
    <n v="0"/>
    <n v="408.86385000694543"/>
  </r>
  <r>
    <x v="12"/>
    <x v="0"/>
    <x v="3"/>
    <x v="2"/>
    <n v="86963"/>
    <n v="87575811.800143346"/>
    <n v="5789773"/>
    <n v="0"/>
    <n v="15.125949117546291"/>
  </r>
  <r>
    <x v="12"/>
    <x v="0"/>
    <x v="3"/>
    <x v="3"/>
    <n v="11834"/>
    <n v="2283052.7909772652"/>
    <n v="5789773"/>
    <n v="0"/>
    <n v="0.39432509547045547"/>
  </r>
  <r>
    <x v="12"/>
    <x v="0"/>
    <x v="3"/>
    <x v="4"/>
    <n v="20243"/>
    <n v="21180141.658664487"/>
    <n v="5789773"/>
    <n v="0"/>
    <n v="3.6581989757913629"/>
  </r>
  <r>
    <x v="12"/>
    <x v="1"/>
    <x v="0"/>
    <x v="1"/>
    <n v="1178280"/>
    <n v="3066233587.9236507"/>
    <n v="7185255"/>
    <n v="0"/>
    <n v="426.73970345153384"/>
  </r>
  <r>
    <x v="12"/>
    <x v="1"/>
    <x v="0"/>
    <x v="0"/>
    <n v="844570"/>
    <n v="209521987.03977025"/>
    <n v="7185255"/>
    <n v="0"/>
    <n v="29.159993213848395"/>
  </r>
  <r>
    <x v="12"/>
    <x v="1"/>
    <x v="0"/>
    <x v="2"/>
    <n v="115553"/>
    <n v="86624660.311204299"/>
    <n v="7185255"/>
    <n v="0"/>
    <n v="12.055892283740006"/>
  </r>
  <r>
    <x v="12"/>
    <x v="1"/>
    <x v="0"/>
    <x v="3"/>
    <n v="9585"/>
    <n v="1424229.9989233727"/>
    <n v="7185255"/>
    <n v="0"/>
    <n v="0.19821565120839452"/>
  </r>
  <r>
    <x v="12"/>
    <x v="1"/>
    <x v="0"/>
    <x v="4"/>
    <n v="20730"/>
    <n v="17676977.717503674"/>
    <n v="7185255"/>
    <n v="0"/>
    <n v="2.4601740254874285"/>
  </r>
  <r>
    <x v="12"/>
    <x v="1"/>
    <x v="1"/>
    <x v="1"/>
    <n v="1141873"/>
    <n v="4428007670.9587078"/>
    <n v="8498633"/>
    <n v="36538821"/>
    <n v="521.02587215599351"/>
  </r>
  <r>
    <x v="12"/>
    <x v="1"/>
    <x v="1"/>
    <x v="0"/>
    <n v="1076793"/>
    <n v="279864579.97562265"/>
    <n v="8498633"/>
    <n v="36538821"/>
    <n v="32.930540708796656"/>
  </r>
  <r>
    <x v="12"/>
    <x v="1"/>
    <x v="1"/>
    <x v="2"/>
    <n v="248517"/>
    <n v="141088575.8726466"/>
    <n v="8498633"/>
    <n v="36538821"/>
    <n v="16.601325868836387"/>
  </r>
  <r>
    <x v="12"/>
    <x v="1"/>
    <x v="1"/>
    <x v="3"/>
    <n v="5013"/>
    <n v="1453651.5352588107"/>
    <n v="8498633"/>
    <n v="36538821"/>
    <n v="0.17104533579209866"/>
  </r>
  <r>
    <x v="12"/>
    <x v="1"/>
    <x v="1"/>
    <x v="4"/>
    <n v="30110"/>
    <n v="25469495.268363245"/>
    <n v="8498633"/>
    <n v="36538821"/>
    <n v="2.9968931789810487"/>
  </r>
  <r>
    <x v="12"/>
    <x v="1"/>
    <x v="2"/>
    <x v="0"/>
    <n v="1212659"/>
    <n v="327570066.99671471"/>
    <n v="9638024"/>
    <n v="117928151"/>
    <n v="33.987264090306759"/>
  </r>
  <r>
    <x v="12"/>
    <x v="1"/>
    <x v="2"/>
    <x v="1"/>
    <n v="1181680"/>
    <n v="5039276845.2952127"/>
    <n v="9638024"/>
    <n v="117928151"/>
    <n v="522.85373488333425"/>
  </r>
  <r>
    <x v="12"/>
    <x v="1"/>
    <x v="2"/>
    <x v="2"/>
    <n v="312575"/>
    <n v="182746198.16430056"/>
    <n v="9638024"/>
    <n v="117928151"/>
    <n v="18.960961102016405"/>
  </r>
  <r>
    <x v="12"/>
    <x v="1"/>
    <x v="2"/>
    <x v="3"/>
    <n v="3096"/>
    <n v="1775673.9713265826"/>
    <n v="9638024"/>
    <n v="117928151"/>
    <n v="0.18423630936451107"/>
  </r>
  <r>
    <x v="12"/>
    <x v="1"/>
    <x v="2"/>
    <x v="4"/>
    <n v="25170"/>
    <n v="20649996.695780389"/>
    <n v="9638024"/>
    <n v="117928151"/>
    <n v="2.1425550191388183"/>
  </r>
  <r>
    <x v="12"/>
    <x v="1"/>
    <x v="3"/>
    <x v="1"/>
    <n v="1579582"/>
    <n v="6533855301.069828"/>
    <n v="10845395"/>
    <n v="139016944"/>
    <n v="602.45434131904165"/>
  </r>
  <r>
    <x v="12"/>
    <x v="1"/>
    <x v="3"/>
    <x v="0"/>
    <n v="1442940"/>
    <n v="402619114.99428564"/>
    <n v="10845395"/>
    <n v="139016944"/>
    <n v="37.123508640698255"/>
  </r>
  <r>
    <x v="12"/>
    <x v="1"/>
    <x v="3"/>
    <x v="2"/>
    <n v="467309"/>
    <n v="314965060.63526958"/>
    <n v="10845395"/>
    <n v="139016944"/>
    <n v="29.041363697243813"/>
  </r>
  <r>
    <x v="12"/>
    <x v="1"/>
    <x v="3"/>
    <x v="3"/>
    <n v="4576"/>
    <n v="1769641.9665086274"/>
    <n v="10845395"/>
    <n v="139016944"/>
    <n v="0.16316989528815018"/>
  </r>
  <r>
    <x v="12"/>
    <x v="1"/>
    <x v="3"/>
    <x v="4"/>
    <n v="22239"/>
    <n v="17954418.582290154"/>
    <n v="10845395"/>
    <n v="139016944"/>
    <n v="1.6554877514641149"/>
  </r>
  <r>
    <x v="12"/>
    <x v="2"/>
    <x v="0"/>
    <x v="0"/>
    <n v="1815157"/>
    <n v="542356756.96786058"/>
    <n v="12166275"/>
    <n v="161041144"/>
    <n v="44.57870276381724"/>
  </r>
  <r>
    <x v="12"/>
    <x v="2"/>
    <x v="0"/>
    <x v="1"/>
    <n v="1594806"/>
    <n v="6431826925.1188021"/>
    <n v="12166275"/>
    <n v="161041144"/>
    <n v="528.66032743126402"/>
  </r>
  <r>
    <x v="12"/>
    <x v="2"/>
    <x v="0"/>
    <x v="2"/>
    <n v="711018"/>
    <n v="427497010.10439825"/>
    <n v="12166275"/>
    <n v="161041144"/>
    <n v="35.137871707190428"/>
  </r>
  <r>
    <x v="12"/>
    <x v="2"/>
    <x v="0"/>
    <x v="3"/>
    <n v="4711"/>
    <n v="3172303.6900622216"/>
    <n v="12166275"/>
    <n v="161041144"/>
    <n v="0.26074568346204746"/>
  </r>
  <r>
    <x v="12"/>
    <x v="2"/>
    <x v="0"/>
    <x v="4"/>
    <n v="18788"/>
    <n v="14613755.241563875"/>
    <n v="12166275"/>
    <n v="161041144"/>
    <n v="1.2011692355765322"/>
  </r>
  <r>
    <x v="12"/>
    <x v="2"/>
    <x v="1"/>
    <x v="0"/>
    <n v="2558935"/>
    <n v="802231470.16289222"/>
    <n v="13748537"/>
    <n v="177381380"/>
    <n v="58.350315394495588"/>
  </r>
  <r>
    <x v="12"/>
    <x v="2"/>
    <x v="1"/>
    <x v="1"/>
    <n v="1544488"/>
    <n v="6738488218.6403284"/>
    <n v="13748537"/>
    <n v="177381380"/>
    <n v="490.12401964225927"/>
  </r>
  <r>
    <x v="12"/>
    <x v="2"/>
    <x v="1"/>
    <x v="2"/>
    <n v="570031"/>
    <n v="479165630.6102103"/>
    <n v="13748537"/>
    <n v="177381380"/>
    <n v="34.852117764254501"/>
  </r>
  <r>
    <x v="12"/>
    <x v="2"/>
    <x v="1"/>
    <x v="3"/>
    <n v="7634"/>
    <n v="7359757.7375393026"/>
    <n v="13748537"/>
    <n v="177381380"/>
    <n v="0.5353120653884339"/>
  </r>
  <r>
    <x v="12"/>
    <x v="2"/>
    <x v="1"/>
    <x v="4"/>
    <n v="14642"/>
    <n v="9659685.392965626"/>
    <n v="13748537"/>
    <n v="177381380"/>
    <n v="0.7025973303898172"/>
  </r>
  <r>
    <x v="12"/>
    <x v="2"/>
    <x v="2"/>
    <x v="0"/>
    <n v="2416395"/>
    <n v="834567922.27426136"/>
    <n v="15164974"/>
    <n v="202529250"/>
    <n v="55.032598293558657"/>
  </r>
  <r>
    <x v="12"/>
    <x v="2"/>
    <x v="2"/>
    <x v="1"/>
    <n v="1954492"/>
    <n v="8806586536.659174"/>
    <n v="15164974"/>
    <n v="202529250"/>
    <n v="580.71886814043819"/>
  </r>
  <r>
    <x v="12"/>
    <x v="2"/>
    <x v="2"/>
    <x v="2"/>
    <n v="1090445"/>
    <n v="851539467.33755803"/>
    <n v="15164974"/>
    <n v="202529250"/>
    <n v="56.151726164354649"/>
  </r>
  <r>
    <x v="12"/>
    <x v="2"/>
    <x v="2"/>
    <x v="3"/>
    <n v="9543"/>
    <n v="11391079.288736572"/>
    <n v="15164974"/>
    <n v="202529250"/>
    <n v="0.75114400385629232"/>
  </r>
  <r>
    <x v="12"/>
    <x v="2"/>
    <x v="2"/>
    <x v="4"/>
    <n v="19001"/>
    <n v="11969008.527252048"/>
    <n v="15164974"/>
    <n v="202529250"/>
    <n v="0.78925348155902197"/>
  </r>
  <r>
    <x v="12"/>
    <x v="2"/>
    <x v="3"/>
    <x v="0"/>
    <n v="2638030"/>
    <n v="936305777.72508776"/>
    <n v="16596426"/>
    <n v="242012628"/>
    <n v="56.416108969791914"/>
  </r>
  <r>
    <x v="12"/>
    <x v="2"/>
    <x v="3"/>
    <x v="1"/>
    <n v="2594659"/>
    <n v="11426268857.229637"/>
    <n v="16596426"/>
    <n v="242012628"/>
    <n v="688.47767930454643"/>
  </r>
  <r>
    <x v="12"/>
    <x v="2"/>
    <x v="3"/>
    <x v="2"/>
    <n v="2001259"/>
    <n v="1589433440.2684097"/>
    <n v="16596426"/>
    <n v="242012628"/>
    <n v="95.769621740753692"/>
  </r>
  <r>
    <x v="12"/>
    <x v="2"/>
    <x v="3"/>
    <x v="3"/>
    <n v="11353"/>
    <n v="15534252.217986543"/>
    <n v="16596426"/>
    <n v="242012628"/>
    <n v="0.93599984827977678"/>
  </r>
  <r>
    <x v="12"/>
    <x v="2"/>
    <x v="3"/>
    <x v="4"/>
    <n v="27027"/>
    <n v="21510781.371782862"/>
    <n v="16596426"/>
    <n v="242012628"/>
    <n v="1.29610925700406"/>
  </r>
  <r>
    <x v="12"/>
    <x v="3"/>
    <x v="0"/>
    <x v="1"/>
    <n v="2845733"/>
    <n v="11358078843.572702"/>
    <n v="17852461"/>
    <n v="266509034"/>
    <n v="636.21922174050417"/>
  </r>
  <r>
    <x v="12"/>
    <x v="3"/>
    <x v="0"/>
    <x v="0"/>
    <n v="2547359"/>
    <n v="948929031.64433908"/>
    <n v="17852461"/>
    <n v="266509034"/>
    <n v="53.153961890427269"/>
  </r>
  <r>
    <x v="12"/>
    <x v="3"/>
    <x v="0"/>
    <x v="2"/>
    <n v="2186946"/>
    <n v="1778219850.8347864"/>
    <n v="17852461"/>
    <n v="266509034"/>
    <n v="99.606426858167424"/>
  </r>
  <r>
    <x v="12"/>
    <x v="3"/>
    <x v="0"/>
    <x v="3"/>
    <n v="12561"/>
    <n v="16554205.504427344"/>
    <n v="17852461"/>
    <n v="266509034"/>
    <n v="0.92727862586717558"/>
  </r>
  <r>
    <x v="12"/>
    <x v="3"/>
    <x v="0"/>
    <x v="4"/>
    <n v="21430"/>
    <n v="18764977.931273177"/>
    <n v="17852461"/>
    <n v="266509034"/>
    <n v="1.0511143495159114"/>
  </r>
  <r>
    <x v="12"/>
    <x v="3"/>
    <x v="1"/>
    <x v="1"/>
    <n v="3340531"/>
    <n v="13035543546.663971"/>
    <n v="19174661"/>
    <n v="475969747"/>
    <n v="679.83176060656149"/>
  </r>
  <r>
    <x v="12"/>
    <x v="3"/>
    <x v="1"/>
    <x v="0"/>
    <n v="3216602"/>
    <n v="1045789841.916208"/>
    <n v="19174661"/>
    <n v="475969747"/>
    <n v="54.540199793686469"/>
  </r>
  <r>
    <x v="12"/>
    <x v="3"/>
    <x v="1"/>
    <x v="2"/>
    <n v="2883209"/>
    <n v="2378084375.1994772"/>
    <n v="19174661"/>
    <n v="475969747"/>
    <n v="124.0222382653585"/>
  </r>
  <r>
    <x v="12"/>
    <x v="3"/>
    <x v="1"/>
    <x v="3"/>
    <n v="14642"/>
    <n v="16428390.62373627"/>
    <n v="19174661"/>
    <n v="475969747"/>
    <n v="0.85677606627497982"/>
  </r>
  <r>
    <x v="12"/>
    <x v="3"/>
    <x v="1"/>
    <x v="4"/>
    <n v="28918"/>
    <n v="19788385.405835297"/>
    <n v="19174661"/>
    <n v="475969747"/>
    <n v="1.0320070537797408"/>
  </r>
  <r>
    <x v="12"/>
    <x v="3"/>
    <x v="2"/>
    <x v="1"/>
    <n v="4455153"/>
    <n v="16560383923.204865"/>
    <n v="20686886"/>
    <n v="582673168"/>
    <n v="800.52570131651828"/>
  </r>
  <r>
    <x v="12"/>
    <x v="3"/>
    <x v="2"/>
    <x v="2"/>
    <n v="4198808"/>
    <n v="3524434949.6340828"/>
    <n v="20686886"/>
    <n v="582673168"/>
    <n v="170.37049218688995"/>
  </r>
  <r>
    <x v="12"/>
    <x v="3"/>
    <x v="2"/>
    <x v="0"/>
    <n v="3359406"/>
    <n v="1178802736.5280356"/>
    <n v="20686886"/>
    <n v="582673168"/>
    <n v="56.983092405886303"/>
  </r>
  <r>
    <x v="12"/>
    <x v="3"/>
    <x v="2"/>
    <x v="3"/>
    <n v="14497"/>
    <n v="22805774.600357123"/>
    <n v="20686886"/>
    <n v="582673168"/>
    <n v="1.102426658142609"/>
  </r>
  <r>
    <x v="12"/>
    <x v="3"/>
    <x v="2"/>
    <x v="4"/>
    <n v="36303"/>
    <n v="23834687.160697926"/>
    <n v="20686886"/>
    <n v="582673168"/>
    <n v="1.1521640889159406"/>
  </r>
  <r>
    <x v="12"/>
    <x v="3"/>
    <x v="3"/>
    <x v="2"/>
    <n v="6062931"/>
    <n v="5228613146.7434511"/>
    <n v="22151217"/>
    <n v="524380802"/>
    <n v="236.04180062627941"/>
  </r>
  <r>
    <x v="12"/>
    <x v="3"/>
    <x v="3"/>
    <x v="1"/>
    <n v="5323397"/>
    <n v="19568394324.584805"/>
    <n v="22151217"/>
    <n v="524380802"/>
    <n v="883.40041653624735"/>
  </r>
  <r>
    <x v="12"/>
    <x v="3"/>
    <x v="3"/>
    <x v="0"/>
    <n v="3211367"/>
    <n v="1278824361.8371379"/>
    <n v="22151217"/>
    <n v="524380802"/>
    <n v="57.731562190787891"/>
  </r>
  <r>
    <x v="12"/>
    <x v="3"/>
    <x v="3"/>
    <x v="3"/>
    <n v="18198"/>
    <n v="24809740.714031782"/>
    <n v="22151217"/>
    <n v="524380802"/>
    <n v="1.1200170498095785"/>
  </r>
  <r>
    <x v="12"/>
    <x v="3"/>
    <x v="3"/>
    <x v="4"/>
    <n v="50971"/>
    <n v="35578926.746394522"/>
    <n v="22151217"/>
    <n v="524380802"/>
    <n v="1.6061838384046585"/>
  </r>
  <r>
    <x v="13"/>
    <x v="0"/>
    <x v="0"/>
    <x v="0"/>
    <n v="457813"/>
    <n v="78812610.351290122"/>
    <n v="1940675"/>
    <n v="0"/>
    <n v="40.610926791600924"/>
  </r>
  <r>
    <x v="13"/>
    <x v="0"/>
    <x v="0"/>
    <x v="1"/>
    <n v="353621"/>
    <n v="861670157.93100119"/>
    <n v="1940675"/>
    <n v="0"/>
    <n v="444.00538881111015"/>
  </r>
  <r>
    <x v="13"/>
    <x v="0"/>
    <x v="0"/>
    <x v="3"/>
    <n v="65683"/>
    <n v="10269382.6199755"/>
    <n v="1940675"/>
    <n v="0"/>
    <n v="5.29165502723305"/>
  </r>
  <r>
    <x v="13"/>
    <x v="0"/>
    <x v="0"/>
    <x v="2"/>
    <n v="28696"/>
    <n v="30967525.638810236"/>
    <n v="1940675"/>
    <n v="0"/>
    <n v="15.957090001576892"/>
  </r>
  <r>
    <x v="13"/>
    <x v="0"/>
    <x v="0"/>
    <x v="4"/>
    <n v="35755"/>
    <n v="23651562.715049967"/>
    <n v="1940675"/>
    <n v="0"/>
    <n v="12.18728675076969"/>
  </r>
  <r>
    <x v="13"/>
    <x v="0"/>
    <x v="1"/>
    <x v="0"/>
    <n v="794502"/>
    <n v="166762242.91718757"/>
    <n v="2877699"/>
    <n v="0"/>
    <n v="57.949856088905605"/>
  </r>
  <r>
    <x v="13"/>
    <x v="0"/>
    <x v="1"/>
    <x v="1"/>
    <n v="771844"/>
    <n v="2372961687.5536175"/>
    <n v="2877699"/>
    <n v="0"/>
    <n v="824.60385452183061"/>
  </r>
  <r>
    <x v="13"/>
    <x v="0"/>
    <x v="1"/>
    <x v="3"/>
    <n v="112422"/>
    <n v="15636116.813860631"/>
    <n v="2877699"/>
    <n v="0"/>
    <n v="5.4335484058133359"/>
  </r>
  <r>
    <x v="13"/>
    <x v="0"/>
    <x v="1"/>
    <x v="2"/>
    <n v="79248"/>
    <n v="64454257.525262199"/>
    <n v="2877699"/>
    <n v="0"/>
    <n v="22.39784547489581"/>
  </r>
  <r>
    <x v="13"/>
    <x v="0"/>
    <x v="1"/>
    <x v="4"/>
    <n v="38310"/>
    <n v="31391931.692946266"/>
    <n v="2877699"/>
    <n v="0"/>
    <n v="10.908691872550349"/>
  </r>
  <r>
    <x v="13"/>
    <x v="0"/>
    <x v="2"/>
    <x v="1"/>
    <n v="1260453"/>
    <n v="3616022745.5645847"/>
    <n v="3767819"/>
    <n v="0"/>
    <n v="959.7124345847252"/>
  </r>
  <r>
    <x v="13"/>
    <x v="0"/>
    <x v="2"/>
    <x v="0"/>
    <n v="822143"/>
    <n v="203079955.34644008"/>
    <n v="3767819"/>
    <n v="0"/>
    <n v="53.898543254450409"/>
  </r>
  <r>
    <x v="13"/>
    <x v="0"/>
    <x v="2"/>
    <x v="2"/>
    <n v="140076"/>
    <n v="82826475.187970519"/>
    <n v="3767819"/>
    <n v="0"/>
    <n v="21.982604575211951"/>
  </r>
  <r>
    <x v="13"/>
    <x v="0"/>
    <x v="2"/>
    <x v="3"/>
    <n v="44464"/>
    <n v="6397888.3546260595"/>
    <n v="3767819"/>
    <n v="0"/>
    <n v="1.6980349519512641"/>
  </r>
  <r>
    <x v="13"/>
    <x v="0"/>
    <x v="2"/>
    <x v="4"/>
    <n v="36825"/>
    <n v="26373935.004048545"/>
    <n v="3767819"/>
    <n v="0"/>
    <n v="6.9997882074612781"/>
  </r>
  <r>
    <x v="13"/>
    <x v="0"/>
    <x v="3"/>
    <x v="1"/>
    <n v="1265457"/>
    <n v="5151829745.2629833"/>
    <n v="4802193"/>
    <n v="0"/>
    <n v="1072.8077245672932"/>
  </r>
  <r>
    <x v="13"/>
    <x v="0"/>
    <x v="3"/>
    <x v="0"/>
    <n v="970724"/>
    <n v="254473764.00233167"/>
    <n v="4802193"/>
    <n v="0"/>
    <n v="52.991157165555755"/>
  </r>
  <r>
    <x v="13"/>
    <x v="0"/>
    <x v="3"/>
    <x v="2"/>
    <n v="402303"/>
    <n v="215771001.5429565"/>
    <n v="4802193"/>
    <n v="0"/>
    <n v="44.931763788535051"/>
  </r>
  <r>
    <x v="13"/>
    <x v="0"/>
    <x v="3"/>
    <x v="3"/>
    <n v="33775"/>
    <n v="6072177.152358056"/>
    <n v="4802193"/>
    <n v="0"/>
    <n v="1.2644592069410905"/>
  </r>
  <r>
    <x v="13"/>
    <x v="0"/>
    <x v="3"/>
    <x v="4"/>
    <n v="49051"/>
    <n v="36573577.736889333"/>
    <n v="4802193"/>
    <n v="0"/>
    <n v="7.6160157946357705"/>
  </r>
  <r>
    <x v="13"/>
    <x v="1"/>
    <x v="0"/>
    <x v="1"/>
    <n v="1913720"/>
    <n v="5414709531.8367348"/>
    <n v="5837359"/>
    <n v="0"/>
    <n v="927.59577264936672"/>
  </r>
  <r>
    <x v="13"/>
    <x v="1"/>
    <x v="0"/>
    <x v="0"/>
    <n v="1131953"/>
    <n v="302663112.88848048"/>
    <n v="5837359"/>
    <n v="0"/>
    <n v="51.849323108015199"/>
  </r>
  <r>
    <x v="13"/>
    <x v="1"/>
    <x v="0"/>
    <x v="2"/>
    <n v="452379"/>
    <n v="199219534.93760535"/>
    <n v="5837359"/>
    <n v="0"/>
    <n v="34.128367800850583"/>
  </r>
  <r>
    <x v="13"/>
    <x v="1"/>
    <x v="0"/>
    <x v="3"/>
    <n v="43247"/>
    <n v="4593545.2019220516"/>
    <n v="5837359"/>
    <n v="0"/>
    <n v="0.78692182576436565"/>
  </r>
  <r>
    <x v="13"/>
    <x v="1"/>
    <x v="0"/>
    <x v="4"/>
    <n v="43688"/>
    <n v="30649751.656273112"/>
    <n v="5837359"/>
    <n v="0"/>
    <n v="5.2506196134712821"/>
  </r>
  <r>
    <x v="13"/>
    <x v="1"/>
    <x v="1"/>
    <x v="1"/>
    <n v="1180781"/>
    <n v="5666318253.4620762"/>
    <n v="6943123"/>
    <n v="29759103"/>
    <n v="816.10512351028149"/>
  </r>
  <r>
    <x v="13"/>
    <x v="1"/>
    <x v="1"/>
    <x v="0"/>
    <n v="706569"/>
    <n v="215937468.94414753"/>
    <n v="6943123"/>
    <n v="29759103"/>
    <n v="31.100913658615514"/>
  </r>
  <r>
    <x v="13"/>
    <x v="1"/>
    <x v="1"/>
    <x v="2"/>
    <n v="353678"/>
    <n v="188931529.4882364"/>
    <n v="6943123"/>
    <n v="29759103"/>
    <n v="27.211318233630081"/>
  </r>
  <r>
    <x v="13"/>
    <x v="1"/>
    <x v="1"/>
    <x v="3"/>
    <n v="22663"/>
    <n v="2652961.3536974541"/>
    <n v="6943123"/>
    <n v="29759103"/>
    <n v="0.38209914381431154"/>
  </r>
  <r>
    <x v="13"/>
    <x v="1"/>
    <x v="1"/>
    <x v="4"/>
    <n v="32664"/>
    <n v="26301988.315348372"/>
    <n v="6943123"/>
    <n v="29759103"/>
    <n v="3.7882071677757074"/>
  </r>
  <r>
    <x v="13"/>
    <x v="1"/>
    <x v="2"/>
    <x v="1"/>
    <n v="618694"/>
    <n v="3499425217.9582095"/>
    <n v="7243005"/>
    <n v="42283109"/>
    <n v="483.14549250735149"/>
  </r>
  <r>
    <x v="13"/>
    <x v="1"/>
    <x v="2"/>
    <x v="0"/>
    <n v="318061"/>
    <n v="111964437.03321175"/>
    <n v="7243005"/>
    <n v="42283109"/>
    <n v="15.458285205272087"/>
  </r>
  <r>
    <x v="13"/>
    <x v="1"/>
    <x v="2"/>
    <x v="2"/>
    <n v="165115"/>
    <n v="120736230.08884756"/>
    <n v="7243005"/>
    <n v="42283109"/>
    <n v="16.669356170380603"/>
  </r>
  <r>
    <x v="13"/>
    <x v="1"/>
    <x v="2"/>
    <x v="3"/>
    <n v="2895"/>
    <n v="658515.88254828518"/>
    <n v="7243005"/>
    <n v="42283109"/>
    <n v="9.0917496612011886E-2"/>
  </r>
  <r>
    <x v="13"/>
    <x v="1"/>
    <x v="2"/>
    <x v="4"/>
    <n v="11761"/>
    <n v="11446090.81965122"/>
    <n v="7243005"/>
    <n v="42283109"/>
    <n v="1.5802958605787543"/>
  </r>
  <r>
    <x v="13"/>
    <x v="1"/>
    <x v="3"/>
    <x v="1"/>
    <n v="310620"/>
    <n v="1799955855.9714913"/>
    <n v="7407037"/>
    <n v="10984292"/>
    <n v="243.00619208078632"/>
  </r>
  <r>
    <x v="13"/>
    <x v="1"/>
    <x v="3"/>
    <x v="2"/>
    <n v="91303"/>
    <n v="77859073.823173761"/>
    <n v="7407037"/>
    <n v="10984292"/>
    <n v="10.511500593715647"/>
  </r>
  <r>
    <x v="13"/>
    <x v="1"/>
    <x v="3"/>
    <x v="0"/>
    <n v="84803"/>
    <n v="49065907.045780972"/>
    <n v="7407037"/>
    <n v="10984292"/>
    <n v="6.6242286957363614"/>
  </r>
  <r>
    <x v="13"/>
    <x v="1"/>
    <x v="3"/>
    <x v="3"/>
    <n v="197"/>
    <n v="213741.28620327619"/>
    <n v="7407037"/>
    <n v="10984292"/>
    <n v="2.8856516607555248E-2"/>
  </r>
  <r>
    <x v="13"/>
    <x v="1"/>
    <x v="3"/>
    <x v="4"/>
    <n v="3005"/>
    <n v="2601419.6959477984"/>
    <n v="7407037"/>
    <n v="10984292"/>
    <n v="0.35120922117005737"/>
  </r>
  <r>
    <x v="13"/>
    <x v="2"/>
    <x v="0"/>
    <x v="1"/>
    <n v="435154"/>
    <n v="2654638582.0865793"/>
    <n v="8089488"/>
    <n v="49245834"/>
    <n v="328.15903578651444"/>
  </r>
  <r>
    <x v="13"/>
    <x v="2"/>
    <x v="0"/>
    <x v="0"/>
    <n v="341357"/>
    <n v="144213068.71202034"/>
    <n v="8089488"/>
    <n v="49245834"/>
    <n v="17.827218324821093"/>
  </r>
  <r>
    <x v="13"/>
    <x v="2"/>
    <x v="0"/>
    <x v="2"/>
    <n v="135241"/>
    <n v="131144418.96503358"/>
    <n v="8089488"/>
    <n v="49245834"/>
    <n v="16.211708202674085"/>
  </r>
  <r>
    <x v="13"/>
    <x v="2"/>
    <x v="0"/>
    <x v="3"/>
    <n v="2350"/>
    <n v="2116665.1182805505"/>
    <n v="8089488"/>
    <n v="49245834"/>
    <n v="0.26165625293968547"/>
  </r>
  <r>
    <x v="13"/>
    <x v="2"/>
    <x v="0"/>
    <x v="4"/>
    <n v="7528"/>
    <n v="5530441.6521029454"/>
    <n v="8089488"/>
    <n v="49245834"/>
    <n v="0.68365781024744032"/>
  </r>
  <r>
    <x v="13"/>
    <x v="2"/>
    <x v="1"/>
    <x v="1"/>
    <n v="1238380"/>
    <n v="7426818530.258213"/>
    <n v="9298234"/>
    <n v="108423183"/>
    <n v="798.73431129590983"/>
  </r>
  <r>
    <x v="13"/>
    <x v="2"/>
    <x v="1"/>
    <x v="0"/>
    <n v="1028741"/>
    <n v="413037418.32063264"/>
    <n v="9298234"/>
    <n v="108423183"/>
    <n v="44.421060850978009"/>
  </r>
  <r>
    <x v="13"/>
    <x v="2"/>
    <x v="1"/>
    <x v="2"/>
    <n v="341375"/>
    <n v="403026357.76740712"/>
    <n v="9298234"/>
    <n v="108423183"/>
    <n v="43.344398276856346"/>
  </r>
  <r>
    <x v="13"/>
    <x v="2"/>
    <x v="1"/>
    <x v="3"/>
    <n v="9130"/>
    <n v="10415041.341445928"/>
    <n v="9298234"/>
    <n v="108423183"/>
    <n v="1.1201096188207276"/>
  </r>
  <r>
    <x v="13"/>
    <x v="2"/>
    <x v="1"/>
    <x v="4"/>
    <n v="17380"/>
    <n v="12351591.57084975"/>
    <n v="9298234"/>
    <n v="108423183"/>
    <n v="1.3283803753325363"/>
  </r>
  <r>
    <x v="13"/>
    <x v="2"/>
    <x v="2"/>
    <x v="1"/>
    <n v="1787154"/>
    <n v="10837119046.792652"/>
    <n v="10448009"/>
    <n v="125877994"/>
    <n v="1037.2425068539519"/>
  </r>
  <r>
    <x v="13"/>
    <x v="2"/>
    <x v="2"/>
    <x v="0"/>
    <n v="1005745"/>
    <n v="443743222.50064701"/>
    <n v="10448009"/>
    <n v="125877994"/>
    <n v="42.471558217517519"/>
  </r>
  <r>
    <x v="13"/>
    <x v="2"/>
    <x v="2"/>
    <x v="2"/>
    <n v="642688"/>
    <n v="667957476.43502533"/>
    <n v="10448009"/>
    <n v="125877994"/>
    <n v="63.931556379308759"/>
  </r>
  <r>
    <x v="13"/>
    <x v="2"/>
    <x v="2"/>
    <x v="3"/>
    <n v="10111"/>
    <n v="13281733.802213533"/>
    <n v="10448009"/>
    <n v="125877994"/>
    <n v="1.2712215123679098"/>
  </r>
  <r>
    <x v="13"/>
    <x v="2"/>
    <x v="2"/>
    <x v="4"/>
    <n v="20200"/>
    <n v="15128281.341935568"/>
    <n v="10448009"/>
    <n v="125877994"/>
    <n v="1.4479582992257729"/>
  </r>
  <r>
    <x v="13"/>
    <x v="2"/>
    <x v="3"/>
    <x v="1"/>
    <n v="2378539"/>
    <n v="13736841259.979288"/>
    <n v="11869242"/>
    <n v="176206261"/>
    <n v="1157.3478120994828"/>
  </r>
  <r>
    <x v="13"/>
    <x v="2"/>
    <x v="3"/>
    <x v="0"/>
    <n v="1900075"/>
    <n v="536741118.30199385"/>
    <n v="11869242"/>
    <n v="176206261"/>
    <n v="45.22117910326488"/>
  </r>
  <r>
    <x v="13"/>
    <x v="2"/>
    <x v="3"/>
    <x v="2"/>
    <n v="1377786"/>
    <n v="1045006123.4596367"/>
    <n v="11869242"/>
    <n v="176206261"/>
    <n v="88.043206420396231"/>
  </r>
  <r>
    <x v="13"/>
    <x v="2"/>
    <x v="3"/>
    <x v="3"/>
    <n v="13578"/>
    <n v="17966592.697469097"/>
    <n v="11869242"/>
    <n v="176206261"/>
    <n v="1.5137102013312305"/>
  </r>
  <r>
    <x v="13"/>
    <x v="2"/>
    <x v="3"/>
    <x v="4"/>
    <n v="84466"/>
    <n v="44350708.939814664"/>
    <n v="11869242"/>
    <n v="176206261"/>
    <n v="3.7366083646971444"/>
  </r>
  <r>
    <x v="13"/>
    <x v="3"/>
    <x v="0"/>
    <x v="1"/>
    <n v="2800201"/>
    <n v="14801220301.14875"/>
    <n v="12922998"/>
    <n v="207174099"/>
    <n v="1145.3395180552338"/>
  </r>
  <r>
    <x v="13"/>
    <x v="3"/>
    <x v="0"/>
    <x v="0"/>
    <n v="2554798"/>
    <n v="663747765.67609656"/>
    <n v="12922998"/>
    <n v="207174099"/>
    <n v="51.361747922277523"/>
  </r>
  <r>
    <x v="13"/>
    <x v="3"/>
    <x v="0"/>
    <x v="2"/>
    <n v="1527253"/>
    <n v="1605408313.4781337"/>
    <n v="12922998"/>
    <n v="207174099"/>
    <n v="124.22878294016093"/>
  </r>
  <r>
    <x v="13"/>
    <x v="3"/>
    <x v="0"/>
    <x v="3"/>
    <n v="17276"/>
    <n v="20848657.8594191"/>
    <n v="12922998"/>
    <n v="207174099"/>
    <n v="1.6132988536730486"/>
  </r>
  <r>
    <x v="13"/>
    <x v="3"/>
    <x v="0"/>
    <x v="4"/>
    <n v="98042"/>
    <n v="47124854.989329115"/>
    <n v="12922998"/>
    <n v="207174099"/>
    <n v="3.6465884301250466"/>
  </r>
  <r>
    <x v="13"/>
    <x v="3"/>
    <x v="1"/>
    <x v="1"/>
    <n v="3955437"/>
    <n v="19502438177.809399"/>
    <n v="13873937"/>
    <n v="377020149"/>
    <n v="1405.6888234254918"/>
  </r>
  <r>
    <x v="13"/>
    <x v="3"/>
    <x v="1"/>
    <x v="0"/>
    <n v="3568970"/>
    <n v="892467613.55459559"/>
    <n v="13873937"/>
    <n v="377020149"/>
    <n v="64.326918419378401"/>
  </r>
  <r>
    <x v="13"/>
    <x v="3"/>
    <x v="1"/>
    <x v="2"/>
    <n v="2378307"/>
    <n v="2343370985.5822287"/>
    <n v="13873937"/>
    <n v="377020149"/>
    <n v="168.90454278278969"/>
  </r>
  <r>
    <x v="13"/>
    <x v="3"/>
    <x v="1"/>
    <x v="3"/>
    <n v="19432"/>
    <n v="21897796.187056318"/>
    <n v="13873937"/>
    <n v="377020149"/>
    <n v="1.5783404657997451"/>
  </r>
  <r>
    <x v="13"/>
    <x v="3"/>
    <x v="1"/>
    <x v="4"/>
    <n v="105673"/>
    <n v="53580855.458362073"/>
    <n v="13873937"/>
    <n v="377020149"/>
    <n v="3.8619791525910832"/>
  </r>
  <r>
    <x v="13"/>
    <x v="3"/>
    <x v="2"/>
    <x v="1"/>
    <n v="5621108"/>
    <n v="26562997915.198593"/>
    <n v="14958460"/>
    <n v="495277167"/>
    <n v="1775.784266241217"/>
  </r>
  <r>
    <x v="13"/>
    <x v="3"/>
    <x v="2"/>
    <x v="0"/>
    <n v="4192099"/>
    <n v="1126801385.0108979"/>
    <n v="14958460"/>
    <n v="495277167"/>
    <n v="75.328702621185457"/>
  </r>
  <r>
    <x v="13"/>
    <x v="3"/>
    <x v="2"/>
    <x v="2"/>
    <n v="3197489"/>
    <n v="3818849262.990345"/>
    <n v="14958460"/>
    <n v="495277167"/>
    <n v="255.29695322849713"/>
  </r>
  <r>
    <x v="13"/>
    <x v="3"/>
    <x v="2"/>
    <x v="3"/>
    <n v="16071"/>
    <n v="27585395.493344467"/>
    <n v="14958460"/>
    <n v="495277167"/>
    <n v="1.8441333862807046"/>
  </r>
  <r>
    <x v="13"/>
    <x v="3"/>
    <x v="2"/>
    <x v="4"/>
    <n v="124274"/>
    <n v="62209689.338943399"/>
    <n v="14958460"/>
    <n v="495277167"/>
    <n v="4.1588298086128788"/>
  </r>
  <r>
    <x v="13"/>
    <x v="3"/>
    <x v="3"/>
    <x v="1"/>
    <n v="6852001"/>
    <n v="31444247707.630074"/>
    <n v="16024910"/>
    <n v="396133628"/>
    <n v="1962.2105651532565"/>
  </r>
  <r>
    <x v="13"/>
    <x v="3"/>
    <x v="3"/>
    <x v="2"/>
    <n v="5399465"/>
    <n v="6026170895.5911093"/>
    <n v="16024910"/>
    <n v="396133628"/>
    <n v="376.05021779162001"/>
  </r>
  <r>
    <x v="13"/>
    <x v="3"/>
    <x v="3"/>
    <x v="0"/>
    <n v="4358892"/>
    <n v="1334473410.4377313"/>
    <n v="16024910"/>
    <n v="396133628"/>
    <n v="83.27493948095379"/>
  </r>
  <r>
    <x v="13"/>
    <x v="3"/>
    <x v="3"/>
    <x v="3"/>
    <n v="20269"/>
    <n v="34425387.517617822"/>
    <n v="16024910"/>
    <n v="396133628"/>
    <n v="2.1482421753144214"/>
  </r>
  <r>
    <x v="13"/>
    <x v="3"/>
    <x v="3"/>
    <x v="4"/>
    <n v="160001"/>
    <n v="86920024.595138043"/>
    <n v="16024910"/>
    <n v="396133628"/>
    <n v="5.4240569585188334"/>
  </r>
  <r>
    <x v="14"/>
    <x v="0"/>
    <x v="0"/>
    <x v="0"/>
    <n v="1095857"/>
    <n v="132181815.28422523"/>
    <n v="9743382"/>
    <n v="0"/>
    <n v="13.566317658922253"/>
  </r>
  <r>
    <x v="14"/>
    <x v="0"/>
    <x v="0"/>
    <x v="1"/>
    <n v="809459"/>
    <n v="2036315435.6551185"/>
    <n v="9743382"/>
    <n v="0"/>
    <n v="208.99472438370151"/>
  </r>
  <r>
    <x v="14"/>
    <x v="0"/>
    <x v="0"/>
    <x v="3"/>
    <n v="107755"/>
    <n v="45483178.104925826"/>
    <n v="9743382"/>
    <n v="0"/>
    <n v="4.6681099134700688"/>
  </r>
  <r>
    <x v="14"/>
    <x v="0"/>
    <x v="0"/>
    <x v="2"/>
    <n v="66299"/>
    <n v="66465337.511485815"/>
    <n v="9743382"/>
    <n v="0"/>
    <n v="6.8215879775098438"/>
  </r>
  <r>
    <x v="14"/>
    <x v="0"/>
    <x v="0"/>
    <x v="4"/>
    <n v="99551"/>
    <n v="93740623.363630936"/>
    <n v="9743382"/>
    <n v="0"/>
    <n v="9.620953316172038"/>
  </r>
  <r>
    <x v="14"/>
    <x v="0"/>
    <x v="1"/>
    <x v="0"/>
    <n v="1398777"/>
    <n v="208894647.78855115"/>
    <n v="13536589"/>
    <n v="0"/>
    <n v="15.431852720692868"/>
  </r>
  <r>
    <x v="14"/>
    <x v="0"/>
    <x v="1"/>
    <x v="1"/>
    <n v="1375872"/>
    <n v="4205862516.7774911"/>
    <n v="13536589"/>
    <n v="0"/>
    <n v="310.70327368124208"/>
  </r>
  <r>
    <x v="14"/>
    <x v="0"/>
    <x v="1"/>
    <x v="3"/>
    <n v="160637"/>
    <n v="65554548.246213168"/>
    <n v="13536589"/>
    <n v="0"/>
    <n v="4.8427671288692569"/>
  </r>
  <r>
    <x v="14"/>
    <x v="0"/>
    <x v="1"/>
    <x v="2"/>
    <n v="130339"/>
    <n v="138889079.16124776"/>
    <n v="13536589"/>
    <n v="0"/>
    <n v="10.26027156185711"/>
  </r>
  <r>
    <x v="14"/>
    <x v="0"/>
    <x v="1"/>
    <x v="4"/>
    <n v="86455"/>
    <n v="102374867.08935027"/>
    <n v="13536589"/>
    <n v="0"/>
    <n v="7.5628259888329525"/>
  </r>
  <r>
    <x v="14"/>
    <x v="0"/>
    <x v="2"/>
    <x v="1"/>
    <n v="6003688"/>
    <n v="8142915751.2033482"/>
    <n v="16855982"/>
    <n v="0"/>
    <n v="483.08759176435689"/>
  </r>
  <r>
    <x v="14"/>
    <x v="0"/>
    <x v="2"/>
    <x v="0"/>
    <n v="1539476"/>
    <n v="256930062.20347697"/>
    <n v="16855982"/>
    <n v="0"/>
    <n v="15.242663536510479"/>
  </r>
  <r>
    <x v="14"/>
    <x v="0"/>
    <x v="2"/>
    <x v="2"/>
    <n v="287427"/>
    <n v="155059935.04035243"/>
    <n v="16855982"/>
    <n v="0"/>
    <n v="9.1991042135873453"/>
  </r>
  <r>
    <x v="14"/>
    <x v="0"/>
    <x v="2"/>
    <x v="3"/>
    <n v="216343"/>
    <n v="38182603.577879392"/>
    <n v="16855982"/>
    <n v="0"/>
    <n v="2.2652256971963656"/>
  </r>
  <r>
    <x v="14"/>
    <x v="0"/>
    <x v="2"/>
    <x v="4"/>
    <n v="75687"/>
    <n v="68483065.679561332"/>
    <n v="16855982"/>
    <n v="0"/>
    <n v="4.0628345283924325"/>
  </r>
  <r>
    <x v="14"/>
    <x v="0"/>
    <x v="3"/>
    <x v="1"/>
    <n v="3325473"/>
    <n v="9414019816.80093"/>
    <n v="21053439"/>
    <n v="0"/>
    <n v="447.14879202399806"/>
  </r>
  <r>
    <x v="14"/>
    <x v="0"/>
    <x v="3"/>
    <x v="0"/>
    <n v="1885135"/>
    <n v="328077093.47845769"/>
    <n v="21053439"/>
    <n v="0"/>
    <n v="15.58306429075353"/>
  </r>
  <r>
    <x v="14"/>
    <x v="0"/>
    <x v="3"/>
    <x v="2"/>
    <n v="845956"/>
    <n v="373435992.48166168"/>
    <n v="21053439"/>
    <n v="0"/>
    <n v="17.737529364283986"/>
  </r>
  <r>
    <x v="14"/>
    <x v="0"/>
    <x v="3"/>
    <x v="3"/>
    <n v="136918"/>
    <n v="36357465.522440992"/>
    <n v="21053439"/>
    <n v="0"/>
    <n v="1.7269133808705073"/>
  </r>
  <r>
    <x v="14"/>
    <x v="0"/>
    <x v="3"/>
    <x v="4"/>
    <n v="90561"/>
    <n v="90026272.83887212"/>
    <n v="21053439"/>
    <n v="0"/>
    <n v="4.2760839613362984"/>
  </r>
  <r>
    <x v="14"/>
    <x v="1"/>
    <x v="0"/>
    <x v="1"/>
    <n v="5952105"/>
    <n v="12664709652.347084"/>
    <n v="25072619"/>
    <n v="0"/>
    <n v="505.12113043902929"/>
  </r>
  <r>
    <x v="14"/>
    <x v="1"/>
    <x v="0"/>
    <x v="0"/>
    <n v="2347079"/>
    <n v="440323945.05772167"/>
    <n v="25072619"/>
    <n v="0"/>
    <n v="17.561944568204929"/>
  </r>
  <r>
    <x v="14"/>
    <x v="1"/>
    <x v="0"/>
    <x v="2"/>
    <n v="892826"/>
    <n v="391616776.11217976"/>
    <n v="25072619"/>
    <n v="0"/>
    <n v="15.619300724514648"/>
  </r>
  <r>
    <x v="14"/>
    <x v="1"/>
    <x v="0"/>
    <x v="3"/>
    <n v="105558"/>
    <n v="47227410.811328642"/>
    <n v="25072619"/>
    <n v="0"/>
    <n v="1.8836249540316727"/>
  </r>
  <r>
    <x v="14"/>
    <x v="1"/>
    <x v="0"/>
    <x v="4"/>
    <n v="90140"/>
    <n v="83358664.9497917"/>
    <n v="25072619"/>
    <n v="0"/>
    <n v="3.3246891738669859"/>
  </r>
  <r>
    <x v="14"/>
    <x v="1"/>
    <x v="1"/>
    <x v="1"/>
    <n v="5155937"/>
    <n v="17044444613.808352"/>
    <n v="28653394"/>
    <n v="164219726"/>
    <n v="594.8490644357297"/>
  </r>
  <r>
    <x v="14"/>
    <x v="1"/>
    <x v="1"/>
    <x v="0"/>
    <n v="2734377"/>
    <n v="562210324.81616569"/>
    <n v="28653394"/>
    <n v="164219726"/>
    <n v="19.621072631610961"/>
  </r>
  <r>
    <x v="14"/>
    <x v="1"/>
    <x v="1"/>
    <x v="2"/>
    <n v="2049311"/>
    <n v="862186711.52171957"/>
    <n v="28653394"/>
    <n v="164219726"/>
    <n v="30.090212402821095"/>
  </r>
  <r>
    <x v="14"/>
    <x v="1"/>
    <x v="1"/>
    <x v="3"/>
    <n v="67479"/>
    <n v="51588987.162455112"/>
    <n v="28653394"/>
    <n v="164219726"/>
    <n v="1.8004494393388479"/>
  </r>
  <r>
    <x v="14"/>
    <x v="1"/>
    <x v="1"/>
    <x v="4"/>
    <n v="121107"/>
    <n v="102270668.23762833"/>
    <n v="28653394"/>
    <n v="164219726"/>
    <n v="3.5692340054943692"/>
  </r>
  <r>
    <x v="14"/>
    <x v="1"/>
    <x v="2"/>
    <x v="1"/>
    <n v="5708187"/>
    <n v="19050145624.077984"/>
    <n v="32070621"/>
    <n v="610549060"/>
    <n v="594.00613490078615"/>
  </r>
  <r>
    <x v="14"/>
    <x v="1"/>
    <x v="2"/>
    <x v="2"/>
    <n v="4766457"/>
    <n v="1494546030.8330803"/>
    <n v="32070621"/>
    <n v="610549060"/>
    <n v="46.601717841169346"/>
  </r>
  <r>
    <x v="14"/>
    <x v="1"/>
    <x v="2"/>
    <x v="0"/>
    <n v="3527625"/>
    <n v="754845093.61120129"/>
    <n v="32070621"/>
    <n v="610549060"/>
    <n v="23.536965299524486"/>
  </r>
  <r>
    <x v="14"/>
    <x v="1"/>
    <x v="2"/>
    <x v="3"/>
    <n v="103620"/>
    <n v="80276391.647703707"/>
    <n v="32070621"/>
    <n v="610549060"/>
    <n v="2.5031131030391869"/>
  </r>
  <r>
    <x v="14"/>
    <x v="1"/>
    <x v="2"/>
    <x v="4"/>
    <n v="114758"/>
    <n v="86160853.189171702"/>
    <n v="32070621"/>
    <n v="610549060"/>
    <n v="2.6865975931420754"/>
  </r>
  <r>
    <x v="14"/>
    <x v="1"/>
    <x v="3"/>
    <x v="1"/>
    <n v="10301226"/>
    <n v="25360155657.218044"/>
    <n v="36095081"/>
    <n v="771999679"/>
    <n v="702.59312223784855"/>
  </r>
  <r>
    <x v="14"/>
    <x v="1"/>
    <x v="3"/>
    <x v="0"/>
    <n v="4390094"/>
    <n v="966539484.57170832"/>
    <n v="36095081"/>
    <n v="771999679"/>
    <n v="26.777595666614747"/>
  </r>
  <r>
    <x v="14"/>
    <x v="1"/>
    <x v="3"/>
    <x v="2"/>
    <n v="3359590"/>
    <n v="1725990595.6016066"/>
    <n v="36095081"/>
    <n v="771999679"/>
    <n v="47.817889523550498"/>
  </r>
  <r>
    <x v="14"/>
    <x v="1"/>
    <x v="3"/>
    <x v="3"/>
    <n v="104630"/>
    <n v="45850806.127185926"/>
    <n v="36095081"/>
    <n v="771999679"/>
    <n v="1.2702785215300092"/>
  </r>
  <r>
    <x v="14"/>
    <x v="1"/>
    <x v="3"/>
    <x v="4"/>
    <n v="93078"/>
    <n v="49211833.158572711"/>
    <n v="36095081"/>
    <n v="771999679"/>
    <n v="1.3633944514093959"/>
  </r>
  <r>
    <x v="14"/>
    <x v="2"/>
    <x v="0"/>
    <x v="1"/>
    <n v="8196850"/>
    <n v="29875044416.372463"/>
    <n v="40165323"/>
    <n v="814161843"/>
    <n v="743.80192128350279"/>
  </r>
  <r>
    <x v="14"/>
    <x v="2"/>
    <x v="0"/>
    <x v="0"/>
    <n v="5454093"/>
    <n v="1358517296.9653778"/>
    <n v="40165323"/>
    <n v="814161843"/>
    <n v="33.823138854513324"/>
  </r>
  <r>
    <x v="14"/>
    <x v="2"/>
    <x v="0"/>
    <x v="2"/>
    <n v="4499942"/>
    <n v="2298726414.6668339"/>
    <n v="40165323"/>
    <n v="814161843"/>
    <n v="57.231617797940622"/>
  </r>
  <r>
    <x v="14"/>
    <x v="2"/>
    <x v="0"/>
    <x v="3"/>
    <n v="46483"/>
    <n v="31523887.510064334"/>
    <n v="40165323"/>
    <n v="814161843"/>
    <n v="0.78485333007441105"/>
  </r>
  <r>
    <x v="14"/>
    <x v="2"/>
    <x v="0"/>
    <x v="4"/>
    <n v="85345"/>
    <n v="47420137.754062504"/>
    <n v="40165323"/>
    <n v="814161843"/>
    <n v="1.1806238369865096"/>
  </r>
  <r>
    <x v="14"/>
    <x v="2"/>
    <x v="1"/>
    <x v="1"/>
    <n v="8724053"/>
    <n v="32662370316.521744"/>
    <n v="44671385"/>
    <n v="839732036"/>
    <n v="731.16986000146949"/>
  </r>
  <r>
    <x v="14"/>
    <x v="2"/>
    <x v="1"/>
    <x v="0"/>
    <n v="7538593"/>
    <n v="1987320466.8540502"/>
    <n v="44671385"/>
    <n v="839732036"/>
    <n v="44.48754984547827"/>
  </r>
  <r>
    <x v="14"/>
    <x v="2"/>
    <x v="1"/>
    <x v="2"/>
    <n v="3753633"/>
    <n v="2662438204.2556615"/>
    <n v="44671385"/>
    <n v="839732036"/>
    <n v="59.600529606495556"/>
  </r>
  <r>
    <x v="14"/>
    <x v="2"/>
    <x v="1"/>
    <x v="3"/>
    <n v="56553"/>
    <n v="130249402.00867195"/>
    <n v="44671385"/>
    <n v="839732036"/>
    <n v="2.915723387772104"/>
  </r>
  <r>
    <x v="14"/>
    <x v="2"/>
    <x v="1"/>
    <x v="4"/>
    <n v="68679"/>
    <n v="43823586.28346999"/>
    <n v="44671385"/>
    <n v="839732036"/>
    <n v="0.98102143650728513"/>
  </r>
  <r>
    <x v="14"/>
    <x v="2"/>
    <x v="2"/>
    <x v="1"/>
    <n v="11984094"/>
    <n v="43128110246.270493"/>
    <n v="49280297"/>
    <n v="1092506624"/>
    <n v="875.15930040499745"/>
  </r>
  <r>
    <x v="14"/>
    <x v="2"/>
    <x v="2"/>
    <x v="2"/>
    <n v="7728846"/>
    <n v="5163578368.0008011"/>
    <n v="49280297"/>
    <n v="1092506624"/>
    <n v="104.77977370957811"/>
  </r>
  <r>
    <x v="14"/>
    <x v="2"/>
    <x v="2"/>
    <x v="0"/>
    <n v="7211293"/>
    <n v="2217657034.9022017"/>
    <n v="49280297"/>
    <n v="1092506624"/>
    <n v="45.000886153389082"/>
  </r>
  <r>
    <x v="14"/>
    <x v="2"/>
    <x v="2"/>
    <x v="3"/>
    <n v="56918"/>
    <n v="63233533.186278537"/>
    <n v="49280297"/>
    <n v="1092506624"/>
    <n v="1.2831402616400331"/>
  </r>
  <r>
    <x v="14"/>
    <x v="2"/>
    <x v="2"/>
    <x v="4"/>
    <n v="87322"/>
    <n v="50036637.653871216"/>
    <n v="49280297"/>
    <n v="1092506624"/>
    <n v="1.0153477292125739"/>
  </r>
  <r>
    <x v="14"/>
    <x v="2"/>
    <x v="3"/>
    <x v="1"/>
    <n v="17120664"/>
    <n v="60733288288.105988"/>
    <n v="54097318"/>
    <n v="1389419185"/>
    <n v="1122.6672695327704"/>
  </r>
  <r>
    <x v="14"/>
    <x v="2"/>
    <x v="3"/>
    <x v="2"/>
    <n v="14168381"/>
    <n v="9347677563.8424549"/>
    <n v="54097318"/>
    <n v="1389419185"/>
    <n v="172.79373376407412"/>
  </r>
  <r>
    <x v="14"/>
    <x v="2"/>
    <x v="3"/>
    <x v="0"/>
    <n v="7945996"/>
    <n v="2582828438.736846"/>
    <n v="54097318"/>
    <n v="1389419185"/>
    <n v="47.744112540604064"/>
  </r>
  <r>
    <x v="14"/>
    <x v="2"/>
    <x v="3"/>
    <x v="3"/>
    <n v="60989"/>
    <n v="63947540.001266286"/>
    <n v="54097318"/>
    <n v="1389419185"/>
    <n v="1.1820833705890241"/>
  </r>
  <r>
    <x v="14"/>
    <x v="2"/>
    <x v="3"/>
    <x v="4"/>
    <n v="135603"/>
    <n v="77432999.356998235"/>
    <n v="54097318"/>
    <n v="1389419185"/>
    <n v="1.4313648480133199"/>
  </r>
  <r>
    <x v="14"/>
    <x v="3"/>
    <x v="0"/>
    <x v="1"/>
    <n v="19151083"/>
    <n v="69198235576.727966"/>
    <n v="58443539"/>
    <n v="1559044641"/>
    <n v="1184.0185717830668"/>
  </r>
  <r>
    <x v="14"/>
    <x v="3"/>
    <x v="0"/>
    <x v="2"/>
    <n v="17489113"/>
    <n v="11545580927.24733"/>
    <n v="58443539"/>
    <n v="1559044641"/>
    <n v="197.55102317207945"/>
  </r>
  <r>
    <x v="14"/>
    <x v="3"/>
    <x v="0"/>
    <x v="0"/>
    <n v="7826608"/>
    <n v="2888409672.1323009"/>
    <n v="58443539"/>
    <n v="1559044641"/>
    <n v="49.422223937060018"/>
  </r>
  <r>
    <x v="14"/>
    <x v="3"/>
    <x v="0"/>
    <x v="3"/>
    <n v="50526"/>
    <n v="54836609.32711602"/>
    <n v="58443539"/>
    <n v="1559044641"/>
    <n v="0.93828351714149305"/>
  </r>
  <r>
    <x v="14"/>
    <x v="3"/>
    <x v="0"/>
    <x v="4"/>
    <n v="104333"/>
    <n v="62290337.704879291"/>
    <n v="58443539"/>
    <n v="1559044641"/>
    <n v="1.0658207694246458"/>
  </r>
  <r>
    <x v="14"/>
    <x v="3"/>
    <x v="1"/>
    <x v="1"/>
    <n v="24184568"/>
    <n v="86037113965.375977"/>
    <n v="62716533"/>
    <n v="2026575177"/>
    <n v="1371.8410417453397"/>
  </r>
  <r>
    <x v="14"/>
    <x v="3"/>
    <x v="1"/>
    <x v="2"/>
    <n v="19041292"/>
    <n v="14731458451.37311"/>
    <n v="62716533"/>
    <n v="2026575177"/>
    <n v="234.88955378597075"/>
  </r>
  <r>
    <x v="14"/>
    <x v="3"/>
    <x v="1"/>
    <x v="0"/>
    <n v="10583445"/>
    <n v="3531023352.4888778"/>
    <n v="62716533"/>
    <n v="2026575177"/>
    <n v="56.301316153571143"/>
  </r>
  <r>
    <x v="14"/>
    <x v="3"/>
    <x v="1"/>
    <x v="3"/>
    <n v="54379"/>
    <n v="57959229.954408787"/>
    <n v="62716533"/>
    <n v="2026575177"/>
    <n v="0.92414594975153974"/>
  </r>
  <r>
    <x v="14"/>
    <x v="3"/>
    <x v="1"/>
    <x v="4"/>
    <n v="138461"/>
    <n v="75088312.265589073"/>
    <n v="62716533"/>
    <n v="2026575177"/>
    <n v="1.1972650380018468"/>
  </r>
  <r>
    <x v="14"/>
    <x v="3"/>
    <x v="2"/>
    <x v="1"/>
    <n v="30113326"/>
    <n v="97742557031.755432"/>
    <n v="67670273"/>
    <n v="2535235978"/>
    <n v="1444.3943063707668"/>
  </r>
  <r>
    <x v="14"/>
    <x v="3"/>
    <x v="2"/>
    <x v="2"/>
    <n v="29687162"/>
    <n v="19954619973.19194"/>
    <n v="67670273"/>
    <n v="2535235978"/>
    <n v="294.88014586836289"/>
  </r>
  <r>
    <x v="14"/>
    <x v="3"/>
    <x v="2"/>
    <x v="0"/>
    <n v="10742405"/>
    <n v="4029136911.757236"/>
    <n v="67670273"/>
    <n v="2535235978"/>
    <n v="59.540721991135399"/>
  </r>
  <r>
    <x v="14"/>
    <x v="3"/>
    <x v="2"/>
    <x v="3"/>
    <n v="51289"/>
    <n v="65035270.30823113"/>
    <n v="67670273"/>
    <n v="2535235978"/>
    <n v="0.96106114878879134"/>
  </r>
  <r>
    <x v="14"/>
    <x v="3"/>
    <x v="2"/>
    <x v="4"/>
    <n v="201520"/>
    <n v="99665931.840213105"/>
    <n v="67670273"/>
    <n v="2535235978"/>
    <n v="1.4728170498176223"/>
  </r>
  <r>
    <x v="14"/>
    <x v="3"/>
    <x v="3"/>
    <x v="2"/>
    <n v="45007900"/>
    <n v="30397134744.167339"/>
    <n v="72558156"/>
    <n v="3134560099"/>
    <n v="418.93477480556891"/>
  </r>
  <r>
    <x v="14"/>
    <x v="3"/>
    <x v="3"/>
    <x v="1"/>
    <n v="39476282"/>
    <n v="130461675107.99458"/>
    <n v="72558156"/>
    <n v="3134560099"/>
    <n v="1798.0290886664013"/>
  </r>
  <r>
    <x v="14"/>
    <x v="3"/>
    <x v="3"/>
    <x v="0"/>
    <n v="11173974"/>
    <n v="4920513757.5836105"/>
    <n v="72558156"/>
    <n v="3134560099"/>
    <n v="67.814757552322732"/>
  </r>
  <r>
    <x v="14"/>
    <x v="3"/>
    <x v="3"/>
    <x v="3"/>
    <n v="72802"/>
    <n v="82938673.407873422"/>
    <n v="72558156"/>
    <n v="3134560099"/>
    <n v="1.143064790784835"/>
  </r>
  <r>
    <x v="14"/>
    <x v="3"/>
    <x v="3"/>
    <x v="4"/>
    <n v="278084"/>
    <n v="154856720.55251962"/>
    <n v="72558156"/>
    <n v="3134560099"/>
    <n v="2.1342427797161716"/>
  </r>
  <r>
    <x v="15"/>
    <x v="0"/>
    <x v="0"/>
    <x v="0"/>
    <n v="5785292"/>
    <n v="1496816541.9710202"/>
    <n v="40895393"/>
    <n v="0"/>
    <n v="36.601104236142696"/>
  </r>
  <r>
    <x v="15"/>
    <x v="0"/>
    <x v="0"/>
    <x v="1"/>
    <n v="4456528"/>
    <n v="16522277460.174664"/>
    <n v="40895393"/>
    <n v="0"/>
    <n v="404.01317234375676"/>
  </r>
  <r>
    <x v="15"/>
    <x v="0"/>
    <x v="0"/>
    <x v="2"/>
    <n v="1089627"/>
    <n v="696586489.26440835"/>
    <n v="40895393"/>
    <n v="0"/>
    <n v="17.033373154389501"/>
  </r>
  <r>
    <x v="15"/>
    <x v="0"/>
    <x v="0"/>
    <x v="3"/>
    <n v="159848"/>
    <n v="52664837.407077998"/>
    <n v="40895393"/>
    <n v="0"/>
    <n v="1.2877938942187936"/>
  </r>
  <r>
    <x v="15"/>
    <x v="0"/>
    <x v="0"/>
    <x v="4"/>
    <n v="525604"/>
    <n v="449549985.19633806"/>
    <n v="40895393"/>
    <n v="0"/>
    <n v="10.992680402810606"/>
  </r>
  <r>
    <x v="15"/>
    <x v="0"/>
    <x v="1"/>
    <x v="0"/>
    <n v="7391926"/>
    <n v="2435924808.0540595"/>
    <n v="55337315"/>
    <n v="0"/>
    <n v="44.019569942163969"/>
  </r>
  <r>
    <x v="15"/>
    <x v="0"/>
    <x v="1"/>
    <x v="1"/>
    <n v="7164836"/>
    <n v="29135024501.319633"/>
    <n v="55337315"/>
    <n v="0"/>
    <n v="526.4987016684787"/>
  </r>
  <r>
    <x v="15"/>
    <x v="0"/>
    <x v="1"/>
    <x v="2"/>
    <n v="1874383"/>
    <n v="1361967204.9193478"/>
    <n v="55337315"/>
    <n v="0"/>
    <n v="24.612094116227862"/>
  </r>
  <r>
    <x v="15"/>
    <x v="0"/>
    <x v="1"/>
    <x v="3"/>
    <n v="194363"/>
    <n v="93244737.612266719"/>
    <n v="55337315"/>
    <n v="0"/>
    <n v="1.6850246097460044"/>
  </r>
  <r>
    <x v="15"/>
    <x v="0"/>
    <x v="1"/>
    <x v="4"/>
    <n v="490939"/>
    <n v="489418829.39568377"/>
    <n v="55337315"/>
    <n v="0"/>
    <n v="8.8442821881705633"/>
  </r>
  <r>
    <x v="15"/>
    <x v="0"/>
    <x v="2"/>
    <x v="1"/>
    <n v="12863507"/>
    <n v="42819128165.147179"/>
    <n v="70099139"/>
    <n v="0"/>
    <n v="610.83672033613959"/>
  </r>
  <r>
    <x v="15"/>
    <x v="0"/>
    <x v="2"/>
    <x v="0"/>
    <n v="8674172"/>
    <n v="3019156590.4159379"/>
    <n v="70099139"/>
    <n v="0"/>
    <n v="43.069809893327474"/>
  </r>
  <r>
    <x v="15"/>
    <x v="0"/>
    <x v="2"/>
    <x v="2"/>
    <n v="3638065"/>
    <n v="1879406580.5386481"/>
    <n v="70099139"/>
    <n v="0"/>
    <n v="26.810694216068018"/>
  </r>
  <r>
    <x v="15"/>
    <x v="0"/>
    <x v="2"/>
    <x v="3"/>
    <n v="205740"/>
    <n v="50726023.403469488"/>
    <n v="70099139"/>
    <n v="0"/>
    <n v="0.72363261699219283"/>
  </r>
  <r>
    <x v="15"/>
    <x v="0"/>
    <x v="2"/>
    <x v="4"/>
    <n v="598777"/>
    <n v="456674396.30284661"/>
    <n v="70099139"/>
    <n v="0"/>
    <n v="6.5146933730933076"/>
  </r>
  <r>
    <x v="15"/>
    <x v="0"/>
    <x v="3"/>
    <x v="1"/>
    <n v="20471744"/>
    <n v="63575342228.058868"/>
    <n v="91473822"/>
    <n v="0"/>
    <n v="695.01132496747391"/>
  </r>
  <r>
    <x v="15"/>
    <x v="0"/>
    <x v="3"/>
    <x v="2"/>
    <n v="11812478"/>
    <n v="4751317554.8155642"/>
    <n v="91473822"/>
    <n v="0"/>
    <n v="51.941828284113505"/>
  </r>
  <r>
    <x v="15"/>
    <x v="0"/>
    <x v="3"/>
    <x v="0"/>
    <n v="11426205"/>
    <n v="4030978295.062695"/>
    <n v="91473822"/>
    <n v="0"/>
    <n v="44.067015097091875"/>
  </r>
  <r>
    <x v="15"/>
    <x v="0"/>
    <x v="3"/>
    <x v="3"/>
    <n v="289353"/>
    <n v="71134704.794164747"/>
    <n v="91473822"/>
    <n v="0"/>
    <n v="0.77765095235842174"/>
  </r>
  <r>
    <x v="15"/>
    <x v="0"/>
    <x v="3"/>
    <x v="4"/>
    <n v="812291"/>
    <n v="579613793.33667779"/>
    <n v="91473822"/>
    <n v="0"/>
    <n v="6.3363898070934193"/>
  </r>
  <r>
    <x v="15"/>
    <x v="1"/>
    <x v="0"/>
    <x v="1"/>
    <n v="44049036"/>
    <n v="104118436760.31566"/>
    <n v="112927914"/>
    <n v="0"/>
    <n v="921.9902597360973"/>
  </r>
  <r>
    <x v="15"/>
    <x v="1"/>
    <x v="0"/>
    <x v="2"/>
    <n v="24491960"/>
    <n v="7076613843.7746344"/>
    <n v="112927914"/>
    <n v="0"/>
    <n v="62.664877027433931"/>
  </r>
  <r>
    <x v="15"/>
    <x v="1"/>
    <x v="0"/>
    <x v="0"/>
    <n v="16981941"/>
    <n v="6217689429.7701712"/>
    <n v="112927914"/>
    <n v="0"/>
    <n v="55.058923958961742"/>
  </r>
  <r>
    <x v="15"/>
    <x v="1"/>
    <x v="0"/>
    <x v="3"/>
    <n v="293728"/>
    <n v="51023386.14504391"/>
    <n v="112927914"/>
    <n v="0"/>
    <n v="0.45182262150918601"/>
  </r>
  <r>
    <x v="15"/>
    <x v="1"/>
    <x v="0"/>
    <x v="4"/>
    <n v="770944"/>
    <n v="512618725.75178516"/>
    <n v="112927914"/>
    <n v="0"/>
    <n v="4.5393446809952156"/>
  </r>
  <r>
    <x v="15"/>
    <x v="1"/>
    <x v="1"/>
    <x v="1"/>
    <n v="50033334"/>
    <n v="142910706254.40515"/>
    <n v="131648957"/>
    <n v="1243272921"/>
    <n v="1085.5437787813628"/>
  </r>
  <r>
    <x v="15"/>
    <x v="1"/>
    <x v="1"/>
    <x v="2"/>
    <n v="44848593"/>
    <n v="12338599108.54726"/>
    <n v="131648957"/>
    <n v="1243272921"/>
    <n v="93.72348547012993"/>
  </r>
  <r>
    <x v="15"/>
    <x v="1"/>
    <x v="1"/>
    <x v="0"/>
    <n v="19283028"/>
    <n v="7745156562.5570011"/>
    <n v="131648957"/>
    <n v="1243272921"/>
    <n v="58.831887005052394"/>
  </r>
  <r>
    <x v="15"/>
    <x v="1"/>
    <x v="1"/>
    <x v="3"/>
    <n v="140353"/>
    <n v="44871623.829314835"/>
    <n v="131648957"/>
    <n v="1243272921"/>
    <n v="0.34084298768363835"/>
  </r>
  <r>
    <x v="15"/>
    <x v="1"/>
    <x v="1"/>
    <x v="4"/>
    <n v="1096296"/>
    <n v="662690676.74555016"/>
    <n v="131648957"/>
    <n v="1243272921"/>
    <n v="5.0337708087239168"/>
  </r>
  <r>
    <x v="15"/>
    <x v="1"/>
    <x v="2"/>
    <x v="2"/>
    <n v="76924325"/>
    <n v="20375791901.516079"/>
    <n v="149985825"/>
    <n v="4902520260"/>
    <n v="135.85145063885923"/>
  </r>
  <r>
    <x v="15"/>
    <x v="1"/>
    <x v="2"/>
    <x v="1"/>
    <n v="67784880"/>
    <n v="183163325083.02167"/>
    <n v="149985825"/>
    <n v="4902520260"/>
    <n v="1221.2042376872726"/>
  </r>
  <r>
    <x v="15"/>
    <x v="1"/>
    <x v="2"/>
    <x v="0"/>
    <n v="24339891"/>
    <n v="10208179941.827314"/>
    <n v="149985825"/>
    <n v="4902520260"/>
    <n v="68.06096470668021"/>
  </r>
  <r>
    <x v="15"/>
    <x v="1"/>
    <x v="2"/>
    <x v="3"/>
    <n v="189716"/>
    <n v="57194690.691376016"/>
    <n v="149985825"/>
    <n v="4902520260"/>
    <n v="0.38133397400305008"/>
  </r>
  <r>
    <x v="15"/>
    <x v="1"/>
    <x v="2"/>
    <x v="4"/>
    <n v="1494923"/>
    <n v="732228821.13201594"/>
    <n v="149985825"/>
    <n v="4902520260"/>
    <n v="4.8819868219681153"/>
  </r>
  <r>
    <x v="15"/>
    <x v="1"/>
    <x v="3"/>
    <x v="2"/>
    <n v="114044901"/>
    <n v="31602890835.851074"/>
    <n v="169239576"/>
    <n v="6266423570"/>
    <n v="186.73463726859652"/>
  </r>
  <r>
    <x v="15"/>
    <x v="1"/>
    <x v="3"/>
    <x v="1"/>
    <n v="93311589"/>
    <n v="250562864352.78363"/>
    <n v="169239576"/>
    <n v="6266423570"/>
    <n v="1480.5216975536716"/>
  </r>
  <r>
    <x v="15"/>
    <x v="1"/>
    <x v="3"/>
    <x v="0"/>
    <n v="28862161"/>
    <n v="12183568521.027195"/>
    <n v="169239576"/>
    <n v="6266423570"/>
    <n v="71.990067624768784"/>
  </r>
  <r>
    <x v="15"/>
    <x v="1"/>
    <x v="3"/>
    <x v="3"/>
    <n v="101937"/>
    <n v="51145982.180876769"/>
    <n v="169239576"/>
    <n v="6266423570"/>
    <n v="0.30221053130549541"/>
  </r>
  <r>
    <x v="15"/>
    <x v="1"/>
    <x v="3"/>
    <x v="4"/>
    <n v="1475664"/>
    <n v="646673755.38949859"/>
    <n v="169239576"/>
    <n v="6266423570"/>
    <n v="3.8210551614091646"/>
  </r>
  <r>
    <x v="15"/>
    <x v="2"/>
    <x v="0"/>
    <x v="2"/>
    <n v="132970737"/>
    <n v="40374401933.528641"/>
    <n v="187186780"/>
    <n v="6891368396"/>
    <n v="215.69045599015402"/>
  </r>
  <r>
    <x v="15"/>
    <x v="2"/>
    <x v="0"/>
    <x v="1"/>
    <n v="100868460"/>
    <n v="297635301555.93103"/>
    <n v="187186780"/>
    <n v="6891368396"/>
    <n v="1590.0444548270505"/>
  </r>
  <r>
    <x v="15"/>
    <x v="2"/>
    <x v="0"/>
    <x v="0"/>
    <n v="35854971"/>
    <n v="14724886028.403404"/>
    <n v="187186780"/>
    <n v="6891368396"/>
    <n v="78.66413444583749"/>
  </r>
  <r>
    <x v="15"/>
    <x v="2"/>
    <x v="0"/>
    <x v="3"/>
    <n v="93648"/>
    <n v="110130184.7219853"/>
    <n v="187186780"/>
    <n v="6891368396"/>
    <n v="0.58834381745326936"/>
  </r>
  <r>
    <x v="15"/>
    <x v="2"/>
    <x v="0"/>
    <x v="4"/>
    <n v="1246074"/>
    <n v="557335296.81274998"/>
    <n v="187186780"/>
    <n v="6891368396"/>
    <n v="2.977428730879125"/>
  </r>
  <r>
    <x v="15"/>
    <x v="2"/>
    <x v="1"/>
    <x v="2"/>
    <n v="87251639"/>
    <n v="38463881234.438202"/>
    <n v="205209026"/>
    <n v="5395610825"/>
    <n v="187.43757028717735"/>
  </r>
  <r>
    <x v="15"/>
    <x v="2"/>
    <x v="1"/>
    <x v="1"/>
    <n v="82118363"/>
    <n v="265767207470.16788"/>
    <n v="205209026"/>
    <n v="5395610825"/>
    <n v="1295.104862834678"/>
  </r>
  <r>
    <x v="15"/>
    <x v="2"/>
    <x v="1"/>
    <x v="0"/>
    <n v="43290272"/>
    <n v="16434890228.306221"/>
    <n v="205209026"/>
    <n v="5395610825"/>
    <n v="80.088534840110881"/>
  </r>
  <r>
    <x v="15"/>
    <x v="2"/>
    <x v="1"/>
    <x v="3"/>
    <n v="161560"/>
    <n v="246367207.0610708"/>
    <n v="205209026"/>
    <n v="5395610825"/>
    <n v="1.2005671088808287"/>
  </r>
  <r>
    <x v="15"/>
    <x v="2"/>
    <x v="1"/>
    <x v="4"/>
    <n v="399878"/>
    <n v="192530880.1645686"/>
    <n v="205209026"/>
    <n v="5395610825"/>
    <n v="0.93821838111822919"/>
  </r>
  <r>
    <x v="15"/>
    <x v="2"/>
    <x v="2"/>
    <x v="2"/>
    <n v="137206600"/>
    <n v="60769881812.009583"/>
    <n v="225363050"/>
    <n v="7630515332"/>
    <n v="269.65326308820181"/>
  </r>
  <r>
    <x v="15"/>
    <x v="2"/>
    <x v="2"/>
    <x v="1"/>
    <n v="119241776"/>
    <n v="390432374828.47931"/>
    <n v="225363050"/>
    <n v="7630515332"/>
    <n v="1732.4595794584752"/>
  </r>
  <r>
    <x v="15"/>
    <x v="2"/>
    <x v="2"/>
    <x v="0"/>
    <n v="43139631"/>
    <n v="18911088810.529343"/>
    <n v="225363050"/>
    <n v="7630515332"/>
    <n v="83.91388388881559"/>
  </r>
  <r>
    <x v="15"/>
    <x v="2"/>
    <x v="2"/>
    <x v="3"/>
    <n v="251980"/>
    <n v="358426105.95855761"/>
    <n v="225363050"/>
    <n v="7630515332"/>
    <n v="1.5904386542450397"/>
  </r>
  <r>
    <x v="15"/>
    <x v="2"/>
    <x v="2"/>
    <x v="4"/>
    <n v="520544"/>
    <n v="268744139.70489919"/>
    <n v="225363050"/>
    <n v="7630515332"/>
    <n v="1.1924942429777161"/>
  </r>
  <r>
    <x v="15"/>
    <x v="2"/>
    <x v="3"/>
    <x v="2"/>
    <n v="215711211"/>
    <n v="97147239182.964157"/>
    <n v="246402002"/>
    <n v="10290617590"/>
    <n v="394.26318939959003"/>
  </r>
  <r>
    <x v="15"/>
    <x v="2"/>
    <x v="3"/>
    <x v="1"/>
    <n v="166981242"/>
    <n v="538340957771.56799"/>
    <n v="246402002"/>
    <n v="10290617590"/>
    <n v="2184.8075640699058"/>
  </r>
  <r>
    <x v="15"/>
    <x v="2"/>
    <x v="3"/>
    <x v="0"/>
    <n v="47736461"/>
    <n v="21611671359.120274"/>
    <n v="246402002"/>
    <n v="10290617590"/>
    <n v="87.708992555670363"/>
  </r>
  <r>
    <x v="15"/>
    <x v="2"/>
    <x v="3"/>
    <x v="3"/>
    <n v="284700"/>
    <n v="427966918.93005997"/>
    <n v="246402002"/>
    <n v="10290617590"/>
    <n v="1.7368646173989284"/>
  </r>
  <r>
    <x v="15"/>
    <x v="2"/>
    <x v="3"/>
    <x v="4"/>
    <n v="823370"/>
    <n v="508863332.4358694"/>
    <n v="246402002"/>
    <n v="10290617590"/>
    <n v="2.065175316375349"/>
  </r>
  <r>
    <x v="15"/>
    <x v="3"/>
    <x v="0"/>
    <x v="2"/>
    <n v="279599017"/>
    <n v="117959690729.6494"/>
    <n v="265054152"/>
    <n v="11934091235"/>
    <n v="445.03996575631606"/>
  </r>
  <r>
    <x v="15"/>
    <x v="3"/>
    <x v="0"/>
    <x v="1"/>
    <n v="190894164"/>
    <n v="610937002732.09497"/>
    <n v="265054152"/>
    <n v="11934091235"/>
    <n v="2304.9516414747391"/>
  </r>
  <r>
    <x v="15"/>
    <x v="3"/>
    <x v="0"/>
    <x v="0"/>
    <n v="52261651"/>
    <n v="25111731675.64637"/>
    <n v="265054152"/>
    <n v="11934091235"/>
    <n v="94.741891368848925"/>
  </r>
  <r>
    <x v="15"/>
    <x v="3"/>
    <x v="0"/>
    <x v="3"/>
    <n v="297710"/>
    <n v="475815041.81600165"/>
    <n v="265054152"/>
    <n v="11934091235"/>
    <n v="1.7951616234859118"/>
  </r>
  <r>
    <x v="15"/>
    <x v="3"/>
    <x v="0"/>
    <x v="4"/>
    <n v="744950"/>
    <n v="511117233.18647754"/>
    <n v="265054152"/>
    <n v="11934091235"/>
    <n v="1.9283502232648577"/>
  </r>
  <r>
    <x v="15"/>
    <x v="3"/>
    <x v="1"/>
    <x v="2"/>
    <n v="244460862"/>
    <n v="124624417935.05894"/>
    <n v="283261253"/>
    <n v="11561986854"/>
    <n v="439.96281388707598"/>
  </r>
  <r>
    <x v="15"/>
    <x v="3"/>
    <x v="1"/>
    <x v="1"/>
    <n v="216539959"/>
    <n v="684035748184.43774"/>
    <n v="283261253"/>
    <n v="11561986854"/>
    <n v="2414.8581598784276"/>
  </r>
  <r>
    <x v="15"/>
    <x v="3"/>
    <x v="1"/>
    <x v="0"/>
    <n v="68599238"/>
    <n v="28272314719.07621"/>
    <n v="283261253"/>
    <n v="11561986854"/>
    <n v="99.810031974532748"/>
  </r>
  <r>
    <x v="15"/>
    <x v="3"/>
    <x v="1"/>
    <x v="3"/>
    <n v="304779"/>
    <n v="456933673.98713583"/>
    <n v="283261253"/>
    <n v="11561986854"/>
    <n v="1.6131174636410148"/>
  </r>
  <r>
    <x v="15"/>
    <x v="3"/>
    <x v="1"/>
    <x v="4"/>
    <n v="744208"/>
    <n v="497736717.48932767"/>
    <n v="283261253"/>
    <n v="11561986854"/>
    <n v="1.7571648512383289"/>
  </r>
  <r>
    <x v="15"/>
    <x v="3"/>
    <x v="2"/>
    <x v="2"/>
    <n v="391381353"/>
    <n v="190563423840.34485"/>
    <n v="303756431"/>
    <n v="15034591957"/>
    <n v="627.35601420186833"/>
  </r>
  <r>
    <x v="15"/>
    <x v="3"/>
    <x v="2"/>
    <x v="1"/>
    <n v="288462867"/>
    <n v="908138627418.70117"/>
    <n v="303756431"/>
    <n v="15034591957"/>
    <n v="2989.6935002462587"/>
  </r>
  <r>
    <x v="15"/>
    <x v="3"/>
    <x v="2"/>
    <x v="0"/>
    <n v="72168311"/>
    <n v="33386709060.80711"/>
    <n v="303756431"/>
    <n v="15034591957"/>
    <n v="109.9127644833538"/>
  </r>
  <r>
    <x v="15"/>
    <x v="3"/>
    <x v="2"/>
    <x v="3"/>
    <n v="286685"/>
    <n v="508051800.86250389"/>
    <n v="303756431"/>
    <n v="15034591957"/>
    <n v="1.6725631098243443"/>
  </r>
  <r>
    <x v="15"/>
    <x v="3"/>
    <x v="2"/>
    <x v="4"/>
    <n v="997323"/>
    <n v="637927036.87372184"/>
    <n v="303756431"/>
    <n v="15034591957"/>
    <n v="2.1001268508903497"/>
  </r>
  <r>
    <x v="15"/>
    <x v="3"/>
    <x v="3"/>
    <x v="2"/>
    <n v="503210623"/>
    <n v="243754536471.1106"/>
    <n v="324056106"/>
    <n v="21357143643"/>
    <n v="752.19856055145772"/>
  </r>
  <r>
    <x v="15"/>
    <x v="3"/>
    <x v="3"/>
    <x v="1"/>
    <n v="350032663"/>
    <n v="1090951587881.0441"/>
    <n v="324056106"/>
    <n v="21357143643"/>
    <n v="3366.5515559859382"/>
  </r>
  <r>
    <x v="15"/>
    <x v="3"/>
    <x v="3"/>
    <x v="0"/>
    <n v="76826701"/>
    <n v="39294350717.405914"/>
    <n v="324056106"/>
    <n v="21357143643"/>
    <n v="121.25786241906491"/>
  </r>
  <r>
    <x v="15"/>
    <x v="3"/>
    <x v="3"/>
    <x v="3"/>
    <n v="365769"/>
    <n v="574240588.18831933"/>
    <n v="324056106"/>
    <n v="21357143643"/>
    <n v="1.7720406360382523"/>
  </r>
  <r>
    <x v="15"/>
    <x v="3"/>
    <x v="3"/>
    <x v="4"/>
    <n v="1289682"/>
    <n v="896608692.12449121"/>
    <n v="324056106"/>
    <n v="21357143643"/>
    <n v="2.7668316551470604"/>
  </r>
  <r>
    <x v="16"/>
    <x v="0"/>
    <x v="0"/>
    <x v="0"/>
    <n v="988774"/>
    <n v="157311821.37585658"/>
    <n v="8626024"/>
    <n v="0"/>
    <n v="18.236886585970151"/>
  </r>
  <r>
    <x v="16"/>
    <x v="0"/>
    <x v="0"/>
    <x v="1"/>
    <n v="600205"/>
    <n v="2107288314.3025222"/>
    <n v="8626024"/>
    <n v="0"/>
    <n v="244.29427906791381"/>
  </r>
  <r>
    <x v="16"/>
    <x v="0"/>
    <x v="0"/>
    <x v="2"/>
    <n v="72164"/>
    <n v="82919383.045711726"/>
    <n v="8626024"/>
    <n v="0"/>
    <n v="9.6127002481921835"/>
  </r>
  <r>
    <x v="16"/>
    <x v="0"/>
    <x v="0"/>
    <x v="3"/>
    <n v="40170"/>
    <n v="7957491.9019655827"/>
    <n v="8626024"/>
    <n v="0"/>
    <n v="0.92249823348110127"/>
  </r>
  <r>
    <x v="16"/>
    <x v="0"/>
    <x v="0"/>
    <x v="4"/>
    <n v="70067"/>
    <n v="47197742.474449389"/>
    <n v="8626024"/>
    <n v="0"/>
    <n v="5.4715524179447437"/>
  </r>
  <r>
    <x v="16"/>
    <x v="0"/>
    <x v="1"/>
    <x v="0"/>
    <n v="1230869"/>
    <n v="248080143.25702396"/>
    <n v="11732457"/>
    <n v="0"/>
    <n v="21.144773277841459"/>
  </r>
  <r>
    <x v="16"/>
    <x v="0"/>
    <x v="1"/>
    <x v="1"/>
    <n v="848291"/>
    <n v="3436199589.0773172"/>
    <n v="11732457"/>
    <n v="0"/>
    <n v="292.87979398324813"/>
  </r>
  <r>
    <x v="16"/>
    <x v="0"/>
    <x v="1"/>
    <x v="2"/>
    <n v="131217"/>
    <n v="144501582.04666698"/>
    <n v="11732457"/>
    <n v="0"/>
    <n v="12.316395623411786"/>
  </r>
  <r>
    <x v="16"/>
    <x v="0"/>
    <x v="1"/>
    <x v="3"/>
    <n v="41100"/>
    <n v="12355589.343616949"/>
    <n v="11732457"/>
    <n v="0"/>
    <n v="1.0531118369849513"/>
  </r>
  <r>
    <x v="16"/>
    <x v="0"/>
    <x v="1"/>
    <x v="4"/>
    <n v="56688"/>
    <n v="45786439.71799916"/>
    <n v="11732457"/>
    <n v="0"/>
    <n v="3.902544856375707"/>
  </r>
  <r>
    <x v="16"/>
    <x v="0"/>
    <x v="2"/>
    <x v="1"/>
    <n v="1425259"/>
    <n v="4823239268.2797441"/>
    <n v="14823578"/>
    <n v="0"/>
    <n v="325.37618571438986"/>
  </r>
  <r>
    <x v="16"/>
    <x v="0"/>
    <x v="2"/>
    <x v="0"/>
    <n v="1407588"/>
    <n v="296352497.34099543"/>
    <n v="14823578"/>
    <n v="0"/>
    <n v="19.991968021552921"/>
  </r>
  <r>
    <x v="16"/>
    <x v="0"/>
    <x v="2"/>
    <x v="2"/>
    <n v="210974"/>
    <n v="160705488.60235751"/>
    <n v="14823578"/>
    <n v="0"/>
    <n v="10.84120774366064"/>
  </r>
  <r>
    <x v="16"/>
    <x v="0"/>
    <x v="2"/>
    <x v="3"/>
    <n v="37286"/>
    <n v="6170643.387882499"/>
    <n v="14823578"/>
    <n v="0"/>
    <n v="0.41627219743320398"/>
  </r>
  <r>
    <x v="16"/>
    <x v="0"/>
    <x v="2"/>
    <x v="4"/>
    <n v="53241"/>
    <n v="36557326.264476247"/>
    <n v="14823578"/>
    <n v="0"/>
    <n v="2.4661607517750603"/>
  </r>
  <r>
    <x v="16"/>
    <x v="0"/>
    <x v="3"/>
    <x v="1"/>
    <n v="2073960"/>
    <n v="6959805154.5702591"/>
    <n v="19330586"/>
    <n v="0"/>
    <n v="360.04108486779757"/>
  </r>
  <r>
    <x v="16"/>
    <x v="0"/>
    <x v="3"/>
    <x v="0"/>
    <n v="1679897"/>
    <n v="351296525.29857576"/>
    <n v="19330586"/>
    <n v="0"/>
    <n v="18.173092388330893"/>
  </r>
  <r>
    <x v="16"/>
    <x v="0"/>
    <x v="3"/>
    <x v="2"/>
    <n v="417114"/>
    <n v="378857199.64904261"/>
    <n v="19330586"/>
    <n v="0"/>
    <n v="19.598847114569761"/>
  </r>
  <r>
    <x v="16"/>
    <x v="0"/>
    <x v="3"/>
    <x v="3"/>
    <n v="75084"/>
    <n v="10063656.726067666"/>
    <n v="19330586"/>
    <n v="0"/>
    <n v="0.52060794877442751"/>
  </r>
  <r>
    <x v="16"/>
    <x v="0"/>
    <x v="3"/>
    <x v="4"/>
    <n v="64599"/>
    <n v="47338700.568463847"/>
    <n v="19330586"/>
    <n v="0"/>
    <n v="2.4489014750232529"/>
  </r>
  <r>
    <x v="16"/>
    <x v="1"/>
    <x v="0"/>
    <x v="1"/>
    <n v="3601116"/>
    <n v="9314451112.0858345"/>
    <n v="23502864"/>
    <n v="0"/>
    <n v="396.31132240248826"/>
  </r>
  <r>
    <x v="16"/>
    <x v="1"/>
    <x v="0"/>
    <x v="0"/>
    <n v="2180915"/>
    <n v="498453895.94724298"/>
    <n v="23502864"/>
    <n v="0"/>
    <n v="21.208219387528388"/>
  </r>
  <r>
    <x v="16"/>
    <x v="1"/>
    <x v="0"/>
    <x v="2"/>
    <n v="550707"/>
    <n v="371997848.20066386"/>
    <n v="23502864"/>
    <n v="0"/>
    <n v="15.827766701141778"/>
  </r>
  <r>
    <x v="16"/>
    <x v="1"/>
    <x v="0"/>
    <x v="3"/>
    <n v="77652"/>
    <n v="7808573.8983642962"/>
    <n v="23502864"/>
    <n v="0"/>
    <n v="0.33223924958099982"/>
  </r>
  <r>
    <x v="16"/>
    <x v="1"/>
    <x v="0"/>
    <x v="4"/>
    <n v="58649"/>
    <n v="42319704.717572376"/>
    <n v="23502864"/>
    <n v="0"/>
    <n v="1.8006190529619019"/>
  </r>
  <r>
    <x v="16"/>
    <x v="1"/>
    <x v="1"/>
    <x v="1"/>
    <n v="3519528"/>
    <n v="11630623424.131498"/>
    <n v="28051837"/>
    <n v="95405420"/>
    <n v="414.61182824253177"/>
  </r>
  <r>
    <x v="16"/>
    <x v="1"/>
    <x v="1"/>
    <x v="0"/>
    <n v="2711299"/>
    <n v="768892057.79827869"/>
    <n v="28051837"/>
    <n v="95405420"/>
    <n v="27.40968649569291"/>
  </r>
  <r>
    <x v="16"/>
    <x v="1"/>
    <x v="1"/>
    <x v="2"/>
    <n v="937130"/>
    <n v="569545842.99989986"/>
    <n v="28051837"/>
    <n v="95405420"/>
    <n v="20.30333496518962"/>
  </r>
  <r>
    <x v="16"/>
    <x v="1"/>
    <x v="1"/>
    <x v="3"/>
    <n v="38869"/>
    <n v="5823291.622642939"/>
    <n v="28051837"/>
    <n v="95405420"/>
    <n v="0.20759038428188994"/>
  </r>
  <r>
    <x v="16"/>
    <x v="1"/>
    <x v="1"/>
    <x v="4"/>
    <n v="77000"/>
    <n v="56486944.633225575"/>
    <n v="28051837"/>
    <n v="95405420"/>
    <n v="2.0136629424028656"/>
  </r>
  <r>
    <x v="16"/>
    <x v="1"/>
    <x v="2"/>
    <x v="1"/>
    <n v="4181954"/>
    <n v="14433990011.320789"/>
    <n v="32900593"/>
    <n v="346188634"/>
    <n v="438.71519310672574"/>
  </r>
  <r>
    <x v="16"/>
    <x v="1"/>
    <x v="2"/>
    <x v="0"/>
    <n v="3431236"/>
    <n v="1051007778.3129579"/>
    <n v="32900593"/>
    <n v="346188634"/>
    <n v="31.94494939081973"/>
  </r>
  <r>
    <x v="16"/>
    <x v="1"/>
    <x v="2"/>
    <x v="2"/>
    <n v="1497029"/>
    <n v="879510566.1106174"/>
    <n v="32900593"/>
    <n v="346188634"/>
    <n v="26.732362122184771"/>
  </r>
  <r>
    <x v="16"/>
    <x v="1"/>
    <x v="2"/>
    <x v="3"/>
    <n v="96130"/>
    <n v="8910528.7234105784"/>
    <n v="32900593"/>
    <n v="346188634"/>
    <n v="0.27083185775437479"/>
  </r>
  <r>
    <x v="16"/>
    <x v="1"/>
    <x v="2"/>
    <x v="4"/>
    <n v="79747"/>
    <n v="56390837.596709587"/>
    <n v="32900593"/>
    <n v="346188634"/>
    <n v="1.7139763285333363"/>
  </r>
  <r>
    <x v="16"/>
    <x v="1"/>
    <x v="3"/>
    <x v="1"/>
    <n v="5859068"/>
    <n v="18537483865.445911"/>
    <n v="38543318"/>
    <n v="440506363"/>
    <n v="480.95194776552222"/>
  </r>
  <r>
    <x v="16"/>
    <x v="1"/>
    <x v="3"/>
    <x v="0"/>
    <n v="4097032"/>
    <n v="1287955351.6647906"/>
    <n v="38543318"/>
    <n v="440506363"/>
    <n v="33.415788222093141"/>
  </r>
  <r>
    <x v="16"/>
    <x v="1"/>
    <x v="3"/>
    <x v="2"/>
    <n v="2418428"/>
    <n v="1268704040.100692"/>
    <n v="38543318"/>
    <n v="440506363"/>
    <n v="32.916316132946626"/>
  </r>
  <r>
    <x v="16"/>
    <x v="1"/>
    <x v="3"/>
    <x v="3"/>
    <n v="50728"/>
    <n v="10816332.760911917"/>
    <n v="38543318"/>
    <n v="440506363"/>
    <n v="0.28062796152920505"/>
  </r>
  <r>
    <x v="16"/>
    <x v="1"/>
    <x v="3"/>
    <x v="4"/>
    <n v="73381"/>
    <n v="46367047.832443342"/>
    <n v="38543318"/>
    <n v="440506363"/>
    <n v="1.2029853743376049"/>
  </r>
  <r>
    <x v="16"/>
    <x v="2"/>
    <x v="0"/>
    <x v="1"/>
    <n v="6634439"/>
    <n v="22862907701.60516"/>
    <n v="44861476"/>
    <n v="510360378"/>
    <n v="509.63342582854739"/>
  </r>
  <r>
    <x v="16"/>
    <x v="2"/>
    <x v="0"/>
    <x v="0"/>
    <n v="5507580"/>
    <n v="1716538277.3696735"/>
    <n v="44861476"/>
    <n v="510360378"/>
    <n v="38.263080719182611"/>
  </r>
  <r>
    <x v="16"/>
    <x v="2"/>
    <x v="0"/>
    <x v="2"/>
    <n v="3485036"/>
    <n v="1810329140.1843734"/>
    <n v="44861476"/>
    <n v="510360378"/>
    <n v="40.353757869767222"/>
  </r>
  <r>
    <x v="16"/>
    <x v="2"/>
    <x v="0"/>
    <x v="3"/>
    <n v="38050"/>
    <n v="17160614.593254916"/>
    <n v="44861476"/>
    <n v="510360378"/>
    <n v="0.3825245204427718"/>
  </r>
  <r>
    <x v="16"/>
    <x v="2"/>
    <x v="0"/>
    <x v="4"/>
    <n v="68417"/>
    <n v="44149097.181791566"/>
    <n v="44861476"/>
    <n v="510360378"/>
    <n v="0.98412047748477038"/>
  </r>
  <r>
    <x v="16"/>
    <x v="2"/>
    <x v="1"/>
    <x v="0"/>
    <n v="7709714"/>
    <n v="2452435028.9249372"/>
    <n v="52017284"/>
    <n v="504162483"/>
    <n v="47.146541309710386"/>
  </r>
  <r>
    <x v="16"/>
    <x v="2"/>
    <x v="1"/>
    <x v="1"/>
    <n v="5603046"/>
    <n v="21309983654.738998"/>
    <n v="52017284"/>
    <n v="504162483"/>
    <n v="409.67120956832343"/>
  </r>
  <r>
    <x v="16"/>
    <x v="2"/>
    <x v="1"/>
    <x v="2"/>
    <n v="2888260"/>
    <n v="2075701451.3627596"/>
    <n v="52017284"/>
    <n v="504162483"/>
    <n v="39.904072103471599"/>
  </r>
  <r>
    <x v="16"/>
    <x v="2"/>
    <x v="1"/>
    <x v="3"/>
    <n v="40501"/>
    <n v="32921115.845954426"/>
    <n v="52017284"/>
    <n v="504162483"/>
    <n v="0.63288801941205597"/>
  </r>
  <r>
    <x v="16"/>
    <x v="2"/>
    <x v="1"/>
    <x v="4"/>
    <n v="46446"/>
    <n v="23037227.727544237"/>
    <n v="52017284"/>
    <n v="504162483"/>
    <n v="0.44287640484159529"/>
  </r>
  <r>
    <x v="16"/>
    <x v="2"/>
    <x v="2"/>
    <x v="1"/>
    <n v="8590587"/>
    <n v="33346812213.798676"/>
    <n v="61405300"/>
    <n v="707399242"/>
    <n v="543.06081419354155"/>
  </r>
  <r>
    <x v="16"/>
    <x v="2"/>
    <x v="2"/>
    <x v="0"/>
    <n v="7932950"/>
    <n v="2688361345.204546"/>
    <n v="61405300"/>
    <n v="707399242"/>
    <n v="43.78060762189169"/>
  </r>
  <r>
    <x v="16"/>
    <x v="2"/>
    <x v="2"/>
    <x v="2"/>
    <n v="5065205"/>
    <n v="4016995193.6035366"/>
    <n v="61405300"/>
    <n v="707399242"/>
    <n v="65.417727681544378"/>
  </r>
  <r>
    <x v="16"/>
    <x v="2"/>
    <x v="2"/>
    <x v="3"/>
    <n v="94130"/>
    <n v="76828720.824453115"/>
    <n v="61405300"/>
    <n v="707399242"/>
    <n v="1.2511740977481278"/>
  </r>
  <r>
    <x v="16"/>
    <x v="2"/>
    <x v="2"/>
    <x v="4"/>
    <n v="75808"/>
    <n v="35153178.522981867"/>
    <n v="61405300"/>
    <n v="707399242"/>
    <n v="0.57247792166118994"/>
  </r>
  <r>
    <x v="16"/>
    <x v="2"/>
    <x v="3"/>
    <x v="1"/>
    <n v="12941135"/>
    <n v="45686395927.744888"/>
    <n v="70258859"/>
    <n v="1005568003"/>
    <n v="650.25815360515446"/>
  </r>
  <r>
    <x v="16"/>
    <x v="2"/>
    <x v="3"/>
    <x v="2"/>
    <n v="10990709"/>
    <n v="7695667406.7239094"/>
    <n v="70258859"/>
    <n v="1005568003"/>
    <n v="109.53305414088648"/>
  </r>
  <r>
    <x v="16"/>
    <x v="2"/>
    <x v="3"/>
    <x v="0"/>
    <n v="9167428"/>
    <n v="3238199947.5254631"/>
    <n v="70258859"/>
    <n v="1005568003"/>
    <n v="46.089560713268391"/>
  </r>
  <r>
    <x v="16"/>
    <x v="2"/>
    <x v="3"/>
    <x v="3"/>
    <n v="73833"/>
    <n v="69202344.440952316"/>
    <n v="70258859"/>
    <n v="1005568003"/>
    <n v="0.98496254317127918"/>
  </r>
  <r>
    <x v="16"/>
    <x v="2"/>
    <x v="3"/>
    <x v="4"/>
    <n v="115082"/>
    <n v="65791020.576171741"/>
    <n v="70258859"/>
    <n v="1005568003"/>
    <n v="0.93640889579735054"/>
  </r>
  <r>
    <x v="16"/>
    <x v="3"/>
    <x v="0"/>
    <x v="1"/>
    <n v="16209203"/>
    <n v="55336812492.746407"/>
    <n v="76306373"/>
    <n v="1198106063"/>
    <n v="725.1925405070217"/>
  </r>
  <r>
    <x v="16"/>
    <x v="3"/>
    <x v="0"/>
    <x v="2"/>
    <n v="16105923"/>
    <n v="10058436408.184261"/>
    <n v="76306373"/>
    <n v="1198106063"/>
    <n v="131.81646581713773"/>
  </r>
  <r>
    <x v="16"/>
    <x v="3"/>
    <x v="0"/>
    <x v="0"/>
    <n v="9837385"/>
    <n v="3732534739.0436296"/>
    <n v="76306373"/>
    <n v="1198106063"/>
    <n v="48.915111442180979"/>
  </r>
  <r>
    <x v="16"/>
    <x v="3"/>
    <x v="0"/>
    <x v="3"/>
    <n v="68012"/>
    <n v="69655547.760922477"/>
    <n v="76306373"/>
    <n v="1198106063"/>
    <n v="0.91284050102764647"/>
  </r>
  <r>
    <x v="16"/>
    <x v="3"/>
    <x v="0"/>
    <x v="4"/>
    <n v="95819"/>
    <n v="63530974.15939384"/>
    <n v="76306373"/>
    <n v="1198106063"/>
    <n v="0.8325775641229054"/>
  </r>
  <r>
    <x v="16"/>
    <x v="3"/>
    <x v="1"/>
    <x v="1"/>
    <n v="17026648"/>
    <n v="58152644526.04467"/>
    <n v="81576913"/>
    <n v="965958565"/>
    <n v="712.85664518887438"/>
  </r>
  <r>
    <x v="16"/>
    <x v="3"/>
    <x v="1"/>
    <x v="2"/>
    <n v="16135060"/>
    <n v="11263178335.980885"/>
    <n v="81576913"/>
    <n v="965958565"/>
    <n v="138.06820976396696"/>
  </r>
  <r>
    <x v="16"/>
    <x v="3"/>
    <x v="1"/>
    <x v="0"/>
    <n v="13809151"/>
    <n v="4645548909.798975"/>
    <n v="81576913"/>
    <n v="965958565"/>
    <n v="56.946858356836508"/>
  </r>
  <r>
    <x v="16"/>
    <x v="3"/>
    <x v="1"/>
    <x v="3"/>
    <n v="88830"/>
    <n v="88370679.953097641"/>
    <n v="81576913"/>
    <n v="965958565"/>
    <n v="1.0832805104196286"/>
  </r>
  <r>
    <x v="16"/>
    <x v="3"/>
    <x v="1"/>
    <x v="4"/>
    <n v="131344"/>
    <n v="77063984.378882825"/>
    <n v="81576913"/>
    <n v="965958565"/>
    <n v="0.94467885023894971"/>
  </r>
  <r>
    <x v="16"/>
    <x v="3"/>
    <x v="2"/>
    <x v="2"/>
    <n v="25402350"/>
    <n v="17877677018.107368"/>
    <n v="87443675"/>
    <n v="1279109887"/>
    <n v="204.44791482182524"/>
  </r>
  <r>
    <x v="16"/>
    <x v="3"/>
    <x v="2"/>
    <x v="1"/>
    <n v="23378091"/>
    <n v="78598482305.73877"/>
    <n v="87443675"/>
    <n v="1279109887"/>
    <n v="898.84696984360244"/>
  </r>
  <r>
    <x v="16"/>
    <x v="3"/>
    <x v="2"/>
    <x v="0"/>
    <n v="13979407"/>
    <n v="5008396079.4129572"/>
    <n v="87443675"/>
    <n v="1279109887"/>
    <n v="57.275681510560453"/>
  </r>
  <r>
    <x v="16"/>
    <x v="3"/>
    <x v="2"/>
    <x v="3"/>
    <n v="85730"/>
    <n v="101460242.2623948"/>
    <n v="87443675"/>
    <n v="1279109887"/>
    <n v="1.1602925227284284"/>
  </r>
  <r>
    <x v="16"/>
    <x v="3"/>
    <x v="2"/>
    <x v="4"/>
    <n v="182688"/>
    <n v="100146127.60812962"/>
    <n v="87443675"/>
    <n v="1279109887"/>
    <n v="1.1452643957167814"/>
  </r>
  <r>
    <x v="16"/>
    <x v="3"/>
    <x v="3"/>
    <x v="2"/>
    <n v="38574904"/>
    <n v="24589454633.018272"/>
    <n v="93211910"/>
    <n v="2348971427"/>
    <n v="263.80163900748596"/>
  </r>
  <r>
    <x v="16"/>
    <x v="3"/>
    <x v="3"/>
    <x v="1"/>
    <n v="29075528"/>
    <n v="92774490034.558441"/>
    <n v="93211910"/>
    <n v="2348971427"/>
    <n v="995.30725241611765"/>
  </r>
  <r>
    <x v="16"/>
    <x v="3"/>
    <x v="3"/>
    <x v="0"/>
    <n v="13781815"/>
    <n v="5689390023.2045517"/>
    <n v="93211910"/>
    <n v="2348971427"/>
    <n v="61.037157410512798"/>
  </r>
  <r>
    <x v="16"/>
    <x v="3"/>
    <x v="3"/>
    <x v="3"/>
    <n v="108232"/>
    <n v="128238698.74055986"/>
    <n v="93211910"/>
    <n v="2348971427"/>
    <n v="1.3757758932368178"/>
  </r>
  <r>
    <x v="16"/>
    <x v="3"/>
    <x v="3"/>
    <x v="4"/>
    <n v="283262"/>
    <n v="160563553.84187678"/>
    <n v="93211910"/>
    <n v="2348971427"/>
    <n v="1.7225647864299398"/>
  </r>
  <r>
    <x v="17"/>
    <x v="0"/>
    <x v="0"/>
    <x v="0"/>
    <n v="3550"/>
    <n v="927250.71437078179"/>
    <n v="96624"/>
    <n v="0"/>
    <n v="9.5964844590451825"/>
  </r>
  <r>
    <x v="17"/>
    <x v="0"/>
    <x v="0"/>
    <x v="1"/>
    <n v="1752"/>
    <n v="10767803.999610368"/>
    <n v="96624"/>
    <n v="0"/>
    <n v="111.4402632845915"/>
  </r>
  <r>
    <x v="17"/>
    <x v="0"/>
    <x v="0"/>
    <x v="2"/>
    <n v="320"/>
    <n v="369327.62555241917"/>
    <n v="96624"/>
    <n v="0"/>
    <n v="3.8223177011137932"/>
  </r>
  <r>
    <x v="17"/>
    <x v="0"/>
    <x v="0"/>
    <x v="3"/>
    <n v="132"/>
    <n v="274283.17576680594"/>
    <n v="96624"/>
    <n v="0"/>
    <n v="2.8386650911451188"/>
  </r>
  <r>
    <x v="17"/>
    <x v="0"/>
    <x v="0"/>
    <x v="4"/>
    <n v="335"/>
    <n v="194192.25581440225"/>
    <n v="96624"/>
    <n v="0"/>
    <n v="2.0097724769664085"/>
  </r>
  <r>
    <x v="17"/>
    <x v="0"/>
    <x v="1"/>
    <x v="0"/>
    <n v="8075"/>
    <n v="2417434.2729015187"/>
    <n v="142098"/>
    <n v="0"/>
    <n v="17.01244403792818"/>
  </r>
  <r>
    <x v="17"/>
    <x v="0"/>
    <x v="1"/>
    <x v="1"/>
    <n v="5667"/>
    <n v="42638443.119972311"/>
    <n v="142098"/>
    <n v="0"/>
    <n v="300.0636400228878"/>
  </r>
  <r>
    <x v="17"/>
    <x v="0"/>
    <x v="1"/>
    <x v="2"/>
    <n v="724"/>
    <n v="1761366.2964342085"/>
    <n v="142098"/>
    <n v="0"/>
    <n v="12.395433408170478"/>
  </r>
  <r>
    <x v="17"/>
    <x v="0"/>
    <x v="1"/>
    <x v="3"/>
    <n v="151"/>
    <n v="127324.6279709443"/>
    <n v="142098"/>
    <n v="0"/>
    <n v="0.89603392004774385"/>
  </r>
  <r>
    <x v="17"/>
    <x v="0"/>
    <x v="1"/>
    <x v="4"/>
    <n v="393"/>
    <n v="390334.22046249802"/>
    <n v="142098"/>
    <n v="0"/>
    <n v="2.7469367652078005"/>
  </r>
  <r>
    <x v="17"/>
    <x v="0"/>
    <x v="2"/>
    <x v="0"/>
    <n v="13136"/>
    <n v="4676712.3440451147"/>
    <n v="195239"/>
    <n v="0"/>
    <n v="23.953781488560761"/>
  </r>
  <r>
    <x v="17"/>
    <x v="0"/>
    <x v="2"/>
    <x v="1"/>
    <n v="10133"/>
    <n v="77085890.573955655"/>
    <n v="195239"/>
    <n v="0"/>
    <n v="394.82834154014137"/>
  </r>
  <r>
    <x v="17"/>
    <x v="0"/>
    <x v="2"/>
    <x v="2"/>
    <n v="1168"/>
    <n v="2016579.2506718007"/>
    <n v="195239"/>
    <n v="0"/>
    <n v="10.328772687177258"/>
  </r>
  <r>
    <x v="17"/>
    <x v="0"/>
    <x v="2"/>
    <x v="3"/>
    <n v="84"/>
    <n v="69317.122878721188"/>
    <n v="195239"/>
    <n v="0"/>
    <n v="0.35503727676704544"/>
  </r>
  <r>
    <x v="17"/>
    <x v="0"/>
    <x v="2"/>
    <x v="4"/>
    <n v="343"/>
    <n v="242477.8532947429"/>
    <n v="195239"/>
    <n v="0"/>
    <n v="1.2419539809912103"/>
  </r>
  <r>
    <x v="17"/>
    <x v="0"/>
    <x v="3"/>
    <x v="0"/>
    <n v="16650"/>
    <n v="5701932.8954542885"/>
    <n v="262713"/>
    <n v="0"/>
    <n v="21.704037849114009"/>
  </r>
  <r>
    <x v="17"/>
    <x v="0"/>
    <x v="3"/>
    <x v="1"/>
    <n v="15939"/>
    <n v="123611779.58930421"/>
    <n v="262713"/>
    <n v="0"/>
    <n v="470.52022392993194"/>
  </r>
  <r>
    <x v="17"/>
    <x v="0"/>
    <x v="3"/>
    <x v="2"/>
    <n v="1881"/>
    <n v="5082666.8207582431"/>
    <n v="262713"/>
    <n v="0"/>
    <n v="19.346841689441494"/>
  </r>
  <r>
    <x v="17"/>
    <x v="0"/>
    <x v="3"/>
    <x v="3"/>
    <n v="142"/>
    <n v="94604.733918469836"/>
    <n v="262713"/>
    <n v="0"/>
    <n v="0.36010678542161917"/>
  </r>
  <r>
    <x v="17"/>
    <x v="0"/>
    <x v="3"/>
    <x v="4"/>
    <n v="599"/>
    <n v="1031858.4532022325"/>
    <n v="262713"/>
    <n v="0"/>
    <n v="3.9277022956695422"/>
  </r>
  <r>
    <x v="17"/>
    <x v="1"/>
    <x v="0"/>
    <x v="1"/>
    <n v="22076"/>
    <n v="139715922.1887053"/>
    <n v="326139"/>
    <n v="0"/>
    <n v="428.39378972985537"/>
  </r>
  <r>
    <x v="17"/>
    <x v="1"/>
    <x v="0"/>
    <x v="0"/>
    <n v="20014"/>
    <n v="7186109.1822882481"/>
    <n v="326139"/>
    <n v="0"/>
    <n v="22.03388488432309"/>
  </r>
  <r>
    <x v="17"/>
    <x v="1"/>
    <x v="0"/>
    <x v="2"/>
    <n v="3238"/>
    <n v="4967122.4999400275"/>
    <n v="326139"/>
    <n v="0"/>
    <n v="15.230078279322704"/>
  </r>
  <r>
    <x v="17"/>
    <x v="1"/>
    <x v="0"/>
    <x v="3"/>
    <n v="114"/>
    <n v="111851.02856430915"/>
    <n v="326139"/>
    <n v="0"/>
    <n v="0.34295508529893437"/>
  </r>
  <r>
    <x v="17"/>
    <x v="1"/>
    <x v="0"/>
    <x v="4"/>
    <n v="703"/>
    <n v="878916.04962929944"/>
    <n v="326139"/>
    <n v="0"/>
    <n v="2.6949124441704289"/>
  </r>
  <r>
    <x v="17"/>
    <x v="1"/>
    <x v="1"/>
    <x v="1"/>
    <n v="34202"/>
    <n v="240305709.92824298"/>
    <n v="390676"/>
    <n v="1730487"/>
    <n v="615.10230965875303"/>
  </r>
  <r>
    <x v="17"/>
    <x v="1"/>
    <x v="1"/>
    <x v="0"/>
    <n v="25357"/>
    <n v="10116773.366134495"/>
    <n v="390676"/>
    <n v="1730487"/>
    <n v="25.895558893135217"/>
  </r>
  <r>
    <x v="17"/>
    <x v="1"/>
    <x v="1"/>
    <x v="2"/>
    <n v="8220"/>
    <n v="7726519.3677582052"/>
    <n v="390676"/>
    <n v="1730487"/>
    <n v="19.777307456199523"/>
  </r>
  <r>
    <x v="17"/>
    <x v="1"/>
    <x v="1"/>
    <x v="3"/>
    <n v="86"/>
    <n v="113767.09768193656"/>
    <n v="390676"/>
    <n v="1730487"/>
    <n v="0.29120575024300588"/>
  </r>
  <r>
    <x v="17"/>
    <x v="1"/>
    <x v="1"/>
    <x v="4"/>
    <n v="907"/>
    <n v="992737.23760735756"/>
    <n v="390676"/>
    <n v="1730487"/>
    <n v="2.5410755654490105"/>
  </r>
  <r>
    <x v="17"/>
    <x v="1"/>
    <x v="2"/>
    <x v="1"/>
    <n v="43198"/>
    <n v="303596367.67958534"/>
    <n v="430903"/>
    <n v="5534386"/>
    <n v="704.55849153889699"/>
  </r>
  <r>
    <x v="17"/>
    <x v="1"/>
    <x v="2"/>
    <x v="0"/>
    <n v="41491"/>
    <n v="18054746.121448334"/>
    <n v="430903"/>
    <n v="5534386"/>
    <n v="41.899792114346695"/>
  </r>
  <r>
    <x v="17"/>
    <x v="1"/>
    <x v="2"/>
    <x v="2"/>
    <n v="6963"/>
    <n v="8096082.9712299006"/>
    <n v="430903"/>
    <n v="5534386"/>
    <n v="18.788643781152373"/>
  </r>
  <r>
    <x v="17"/>
    <x v="1"/>
    <x v="2"/>
    <x v="3"/>
    <n v="48"/>
    <n v="148633.29469977494"/>
    <n v="430903"/>
    <n v="5534386"/>
    <n v="0.3449344625119225"/>
  </r>
  <r>
    <x v="17"/>
    <x v="1"/>
    <x v="2"/>
    <x v="4"/>
    <n v="696"/>
    <n v="1233697.1268589406"/>
    <n v="430903"/>
    <n v="5534386"/>
    <n v="2.8630506792919532"/>
  </r>
  <r>
    <x v="17"/>
    <x v="1"/>
    <x v="3"/>
    <x v="1"/>
    <n v="42095"/>
    <n v="298044908.50757861"/>
    <n v="474188"/>
    <n v="5174840"/>
    <n v="628.53743348119019"/>
  </r>
  <r>
    <x v="17"/>
    <x v="1"/>
    <x v="3"/>
    <x v="0"/>
    <n v="35467"/>
    <n v="16510212.100753112"/>
    <n v="474188"/>
    <n v="5174840"/>
    <n v="34.817861482688535"/>
  </r>
  <r>
    <x v="17"/>
    <x v="1"/>
    <x v="3"/>
    <x v="2"/>
    <n v="6522"/>
    <n v="8717893.8999293875"/>
    <n v="474188"/>
    <n v="5174840"/>
    <n v="18.38488932644729"/>
  </r>
  <r>
    <x v="17"/>
    <x v="1"/>
    <x v="3"/>
    <x v="3"/>
    <n v="46"/>
    <n v="162760.63254625077"/>
    <n v="474188"/>
    <n v="5174840"/>
    <n v="0.34324072424070362"/>
  </r>
  <r>
    <x v="17"/>
    <x v="1"/>
    <x v="3"/>
    <x v="4"/>
    <n v="576"/>
    <n v="1253584.887304229"/>
    <n v="474188"/>
    <n v="5174840"/>
    <n v="2.6436453206412414"/>
  </r>
  <r>
    <x v="17"/>
    <x v="2"/>
    <x v="0"/>
    <x v="1"/>
    <n v="51560"/>
    <n v="339551900.3873952"/>
    <n v="525690"/>
    <n v="6495324"/>
    <n v="645.91660558008562"/>
  </r>
  <r>
    <x v="17"/>
    <x v="2"/>
    <x v="0"/>
    <x v="0"/>
    <n v="49801"/>
    <n v="23010664.720232859"/>
    <n v="525690"/>
    <n v="6495324"/>
    <n v="43.772308242943289"/>
  </r>
  <r>
    <x v="17"/>
    <x v="2"/>
    <x v="0"/>
    <x v="2"/>
    <n v="14264"/>
    <n v="13338124.271892821"/>
    <n v="525690"/>
    <n v="6495324"/>
    <n v="25.372604142922295"/>
  </r>
  <r>
    <x v="17"/>
    <x v="2"/>
    <x v="0"/>
    <x v="3"/>
    <n v="204"/>
    <n v="583108.94554837735"/>
    <n v="525690"/>
    <n v="6495324"/>
    <n v="1.109225866096706"/>
  </r>
  <r>
    <x v="17"/>
    <x v="2"/>
    <x v="0"/>
    <x v="4"/>
    <n v="590"/>
    <n v="1155879.1206742569"/>
    <n v="525690"/>
    <n v="6495324"/>
    <n v="2.1987846842706862"/>
  </r>
  <r>
    <x v="17"/>
    <x v="2"/>
    <x v="1"/>
    <x v="0"/>
    <n v="70601"/>
    <n v="32087339.266190995"/>
    <n v="583374"/>
    <n v="7652403"/>
    <n v="55.003032816325366"/>
  </r>
  <r>
    <x v="17"/>
    <x v="2"/>
    <x v="1"/>
    <x v="1"/>
    <n v="68450"/>
    <n v="470749365.09816045"/>
    <n v="583374"/>
    <n v="7652403"/>
    <n v="806.94265616595953"/>
  </r>
  <r>
    <x v="17"/>
    <x v="2"/>
    <x v="1"/>
    <x v="2"/>
    <n v="15132"/>
    <n v="19679330.186414924"/>
    <n v="583374"/>
    <n v="7652403"/>
    <n v="33.733642888464217"/>
  </r>
  <r>
    <x v="17"/>
    <x v="2"/>
    <x v="1"/>
    <x v="3"/>
    <n v="337"/>
    <n v="786069.16307688178"/>
    <n v="583374"/>
    <n v="7652403"/>
    <n v="1.3474531999658568"/>
  </r>
  <r>
    <x v="17"/>
    <x v="2"/>
    <x v="1"/>
    <x v="4"/>
    <n v="490"/>
    <n v="490894.93818109273"/>
    <n v="583374"/>
    <n v="7652403"/>
    <n v="0.84147551687441113"/>
  </r>
  <r>
    <x v="17"/>
    <x v="2"/>
    <x v="2"/>
    <x v="1"/>
    <n v="108345"/>
    <n v="751333715.28960311"/>
    <n v="642411"/>
    <n v="11172480"/>
    <n v="1169.5530046801862"/>
  </r>
  <r>
    <x v="17"/>
    <x v="2"/>
    <x v="2"/>
    <x v="0"/>
    <n v="81623"/>
    <n v="40380074.550141789"/>
    <n v="642411"/>
    <n v="11172480"/>
    <n v="62.857072108263694"/>
  </r>
  <r>
    <x v="17"/>
    <x v="2"/>
    <x v="2"/>
    <x v="2"/>
    <n v="36861"/>
    <n v="40538778.756517448"/>
    <n v="642411"/>
    <n v="11172480"/>
    <n v="63.104116767174673"/>
  </r>
  <r>
    <x v="17"/>
    <x v="2"/>
    <x v="2"/>
    <x v="3"/>
    <n v="621"/>
    <n v="2334917.7832646337"/>
    <n v="642411"/>
    <n v="11172480"/>
    <n v="3.6346167535497269"/>
  </r>
  <r>
    <x v="17"/>
    <x v="2"/>
    <x v="2"/>
    <x v="4"/>
    <n v="772"/>
    <n v="900013.67866625905"/>
    <n v="642411"/>
    <n v="11172480"/>
    <n v="1.4009935674611098"/>
  </r>
  <r>
    <x v="17"/>
    <x v="2"/>
    <x v="3"/>
    <x v="1"/>
    <n v="151582"/>
    <n v="985814864.34291232"/>
    <n v="713383"/>
    <n v="13560327"/>
    <n v="1381.887239172944"/>
  </r>
  <r>
    <x v="17"/>
    <x v="2"/>
    <x v="3"/>
    <x v="0"/>
    <n v="94133"/>
    <n v="44185250.863645099"/>
    <n v="713383"/>
    <n v="13560327"/>
    <n v="61.937627983348492"/>
  </r>
  <r>
    <x v="17"/>
    <x v="2"/>
    <x v="3"/>
    <x v="2"/>
    <n v="83868"/>
    <n v="77511378.307394445"/>
    <n v="713383"/>
    <n v="13560327"/>
    <n v="108.65324560214421"/>
  </r>
  <r>
    <x v="17"/>
    <x v="2"/>
    <x v="3"/>
    <x v="3"/>
    <n v="729"/>
    <n v="1965054.5898611392"/>
    <n v="713383"/>
    <n v="13560327"/>
    <n v="2.75455763574565"/>
  </r>
  <r>
    <x v="17"/>
    <x v="2"/>
    <x v="3"/>
    <x v="4"/>
    <n v="1822"/>
    <n v="2486922.4041473325"/>
    <n v="713383"/>
    <n v="13560327"/>
    <n v="3.486097095315325"/>
  </r>
  <r>
    <x v="17"/>
    <x v="3"/>
    <x v="0"/>
    <x v="1"/>
    <n v="141894"/>
    <n v="869999786.15139341"/>
    <n v="769109"/>
    <n v="13026244"/>
    <n v="1131.1787875988884"/>
  </r>
  <r>
    <x v="17"/>
    <x v="3"/>
    <x v="0"/>
    <x v="0"/>
    <n v="72719"/>
    <n v="35459532.412106298"/>
    <n v="769109"/>
    <n v="13026244"/>
    <n v="46.104690508245639"/>
  </r>
  <r>
    <x v="17"/>
    <x v="3"/>
    <x v="0"/>
    <x v="2"/>
    <n v="58875"/>
    <n v="74977913.472374335"/>
    <n v="769109"/>
    <n v="13026244"/>
    <n v="97.486719661809104"/>
  </r>
  <r>
    <x v="17"/>
    <x v="3"/>
    <x v="0"/>
    <x v="3"/>
    <n v="629"/>
    <n v="1455016.1482842809"/>
    <n v="769109"/>
    <n v="13026244"/>
    <n v="1.8918204679496415"/>
  </r>
  <r>
    <x v="17"/>
    <x v="3"/>
    <x v="0"/>
    <x v="4"/>
    <n v="1298"/>
    <n v="1527565.0627209258"/>
    <n v="769109"/>
    <n v="13026244"/>
    <n v="1.98614898892215"/>
  </r>
  <r>
    <x v="17"/>
    <x v="3"/>
    <x v="1"/>
    <x v="1"/>
    <n v="209818"/>
    <n v="1259044412.4358737"/>
    <n v="825528"/>
    <n v="48307952"/>
    <n v="1525.1383507717167"/>
  </r>
  <r>
    <x v="17"/>
    <x v="3"/>
    <x v="1"/>
    <x v="0"/>
    <n v="95458"/>
    <n v="44754721.828153409"/>
    <n v="825528"/>
    <n v="48307952"/>
    <n v="54.213451061809423"/>
  </r>
  <r>
    <x v="17"/>
    <x v="3"/>
    <x v="1"/>
    <x v="2"/>
    <n v="92078"/>
    <n v="119608470.04115529"/>
    <n v="825528"/>
    <n v="48307952"/>
    <n v="144.88723585530144"/>
  </r>
  <r>
    <x v="17"/>
    <x v="3"/>
    <x v="1"/>
    <x v="3"/>
    <n v="755"/>
    <n v="1756762.1471181023"/>
    <n v="825528"/>
    <n v="48307952"/>
    <n v="2.12804671327696"/>
  </r>
  <r>
    <x v="17"/>
    <x v="3"/>
    <x v="1"/>
    <x v="4"/>
    <n v="1607"/>
    <n v="2094729.0180191218"/>
    <n v="825528"/>
    <n v="48307952"/>
    <n v="2.5374415138179707"/>
  </r>
  <r>
    <x v="17"/>
    <x v="3"/>
    <x v="2"/>
    <x v="1"/>
    <n v="330919"/>
    <n v="1917311078.1287262"/>
    <n v="893310"/>
    <n v="78095050"/>
    <n v="2146.299804243461"/>
  </r>
  <r>
    <x v="17"/>
    <x v="3"/>
    <x v="2"/>
    <x v="2"/>
    <n v="135108"/>
    <n v="233260756.5088715"/>
    <n v="893310"/>
    <n v="78095050"/>
    <n v="261.11960742505011"/>
  </r>
  <r>
    <x v="17"/>
    <x v="3"/>
    <x v="2"/>
    <x v="0"/>
    <n v="121856"/>
    <n v="58750081.815117203"/>
    <n v="893310"/>
    <n v="78095050"/>
    <n v="65.766734745068575"/>
  </r>
  <r>
    <x v="17"/>
    <x v="3"/>
    <x v="2"/>
    <x v="3"/>
    <n v="900"/>
    <n v="1911625.5446910746"/>
    <n v="893310"/>
    <n v="78095050"/>
    <n v="2.1399352349028611"/>
  </r>
  <r>
    <x v="17"/>
    <x v="3"/>
    <x v="2"/>
    <x v="4"/>
    <n v="2204"/>
    <n v="2751201.9371823343"/>
    <n v="893310"/>
    <n v="78095050"/>
    <n v="3.0797841031470981"/>
  </r>
  <r>
    <x v="17"/>
    <x v="3"/>
    <x v="3"/>
    <x v="1"/>
    <n v="337120"/>
    <n v="1804428550.1884875"/>
    <n v="957627"/>
    <n v="29317233"/>
    <n v="1884.2707548852397"/>
  </r>
  <r>
    <x v="17"/>
    <x v="3"/>
    <x v="3"/>
    <x v="2"/>
    <n v="169110"/>
    <n v="284786365.92960173"/>
    <n v="957627"/>
    <n v="29317233"/>
    <n v="297.38756940813255"/>
  </r>
  <r>
    <x v="17"/>
    <x v="3"/>
    <x v="3"/>
    <x v="0"/>
    <n v="120607"/>
    <n v="58403893.472532429"/>
    <n v="957627"/>
    <n v="29317233"/>
    <n v="60.988144102591541"/>
  </r>
  <r>
    <x v="17"/>
    <x v="3"/>
    <x v="3"/>
    <x v="3"/>
    <n v="912"/>
    <n v="3068708.9471209948"/>
    <n v="957627"/>
    <n v="29317233"/>
    <n v="3.2044929258688351"/>
  </r>
  <r>
    <x v="17"/>
    <x v="3"/>
    <x v="3"/>
    <x v="4"/>
    <n v="2438"/>
    <n v="2847620.2425241945"/>
    <n v="957627"/>
    <n v="29317233"/>
    <n v="2.9736215066243896"/>
  </r>
  <r>
    <x v="18"/>
    <x v="0"/>
    <x v="0"/>
    <x v="1"/>
    <n v="423"/>
    <n v="1860278.2784597143"/>
    <n v="5511"/>
    <n v="0"/>
    <n v="337.55729966607043"/>
  </r>
  <r>
    <x v="18"/>
    <x v="0"/>
    <x v="0"/>
    <x v="0"/>
    <n v="342"/>
    <n v="61432.049385050741"/>
    <n v="5511"/>
    <n v="0"/>
    <n v="11.147169186182316"/>
  </r>
  <r>
    <x v="18"/>
    <x v="0"/>
    <x v="0"/>
    <x v="2"/>
    <n v="5"/>
    <n v="590.7505138175776"/>
    <n v="5511"/>
    <n v="0"/>
    <n v="0.10719479474098668"/>
  </r>
  <r>
    <x v="18"/>
    <x v="0"/>
    <x v="0"/>
    <x v="4"/>
    <n v="8"/>
    <n v="6310.1025191577146"/>
    <n v="5511"/>
    <n v="0"/>
    <n v="1.1450013643908028"/>
  </r>
  <r>
    <x v="18"/>
    <x v="0"/>
    <x v="1"/>
    <x v="1"/>
    <n v="1315"/>
    <n v="5757123.0799193792"/>
    <n v="7546"/>
    <n v="0"/>
    <n v="762.93706333413456"/>
  </r>
  <r>
    <x v="18"/>
    <x v="0"/>
    <x v="1"/>
    <x v="0"/>
    <n v="750"/>
    <n v="353202.79885100422"/>
    <n v="7546"/>
    <n v="0"/>
    <n v="46.806625874768649"/>
  </r>
  <r>
    <x v="18"/>
    <x v="0"/>
    <x v="1"/>
    <x v="2"/>
    <n v="42"/>
    <n v="64568.477892795563"/>
    <n v="7546"/>
    <n v="0"/>
    <n v="8.5566496014836417"/>
  </r>
  <r>
    <x v="18"/>
    <x v="0"/>
    <x v="1"/>
    <x v="3"/>
    <n v="6"/>
    <n v="9134.4132231589938"/>
    <n v="7546"/>
    <n v="0"/>
    <n v="1.2104973791623368"/>
  </r>
  <r>
    <x v="18"/>
    <x v="0"/>
    <x v="1"/>
    <x v="4"/>
    <n v="19"/>
    <n v="3780.7695141997474"/>
    <n v="7546"/>
    <n v="0"/>
    <n v="0.501029620222601"/>
  </r>
  <r>
    <x v="18"/>
    <x v="0"/>
    <x v="2"/>
    <x v="1"/>
    <n v="841"/>
    <n v="3926048.7448830502"/>
    <n v="10098"/>
    <n v="0"/>
    <n v="388.79468656001683"/>
  </r>
  <r>
    <x v="18"/>
    <x v="0"/>
    <x v="2"/>
    <x v="0"/>
    <n v="760"/>
    <n v="300978.32420203416"/>
    <n v="10098"/>
    <n v="0"/>
    <n v="29.805736205390588"/>
  </r>
  <r>
    <x v="18"/>
    <x v="0"/>
    <x v="2"/>
    <x v="2"/>
    <n v="87"/>
    <n v="94046.433330342057"/>
    <n v="10098"/>
    <n v="0"/>
    <n v="9.3133722846446876"/>
  </r>
  <r>
    <x v="18"/>
    <x v="0"/>
    <x v="2"/>
    <x v="4"/>
    <n v="15"/>
    <n v="17958.809570422687"/>
    <n v="10098"/>
    <n v="0"/>
    <n v="1.7784521262054553"/>
  </r>
  <r>
    <x v="18"/>
    <x v="0"/>
    <x v="3"/>
    <x v="0"/>
    <n v="792"/>
    <n v="351201.08790004038"/>
    <n v="12716"/>
    <n v="0"/>
    <n v="27.618833587609341"/>
  </r>
  <r>
    <x v="18"/>
    <x v="0"/>
    <x v="3"/>
    <x v="1"/>
    <n v="689"/>
    <n v="3841230.4308709241"/>
    <n v="12716"/>
    <n v="0"/>
    <n v="302.07851768409279"/>
  </r>
  <r>
    <x v="18"/>
    <x v="0"/>
    <x v="3"/>
    <x v="2"/>
    <n v="144"/>
    <n v="262079.85573632165"/>
    <n v="12716"/>
    <n v="0"/>
    <n v="20.610243452054235"/>
  </r>
  <r>
    <x v="18"/>
    <x v="0"/>
    <x v="3"/>
    <x v="3"/>
    <n v="6"/>
    <n v="389.89323239199541"/>
    <n v="12716"/>
    <n v="0"/>
    <n v="3.0661625699276142E-2"/>
  </r>
  <r>
    <x v="18"/>
    <x v="0"/>
    <x v="3"/>
    <x v="4"/>
    <n v="11"/>
    <n v="8312.430483153179"/>
    <n v="12716"/>
    <n v="0"/>
    <n v="0.65369852808691242"/>
  </r>
  <r>
    <x v="18"/>
    <x v="1"/>
    <x v="0"/>
    <x v="1"/>
    <n v="1183"/>
    <n v="8221402.3685369287"/>
    <n v="15576"/>
    <n v="0"/>
    <n v="527.82501082029592"/>
  </r>
  <r>
    <x v="18"/>
    <x v="1"/>
    <x v="0"/>
    <x v="0"/>
    <n v="1173"/>
    <n v="353870.52398354514"/>
    <n v="15576"/>
    <n v="0"/>
    <n v="22.718960194115635"/>
  </r>
  <r>
    <x v="18"/>
    <x v="1"/>
    <x v="0"/>
    <x v="2"/>
    <n v="113"/>
    <n v="183062.14559756211"/>
    <n v="15576"/>
    <n v="0"/>
    <n v="11.752834206314979"/>
  </r>
  <r>
    <x v="18"/>
    <x v="1"/>
    <x v="0"/>
    <x v="4"/>
    <n v="12"/>
    <n v="27795.441220958"/>
    <n v="15576"/>
    <n v="0"/>
    <n v="1.7845044440779405"/>
  </r>
  <r>
    <x v="18"/>
    <x v="1"/>
    <x v="1"/>
    <x v="0"/>
    <n v="1448"/>
    <n v="436735.1684614296"/>
    <n v="19217"/>
    <n v="50380"/>
    <n v="22.726500934663559"/>
  </r>
  <r>
    <x v="18"/>
    <x v="1"/>
    <x v="1"/>
    <x v="1"/>
    <n v="1318"/>
    <n v="8602732.1177881956"/>
    <n v="19217"/>
    <n v="50380"/>
    <n v="447.66259654411175"/>
  </r>
  <r>
    <x v="18"/>
    <x v="1"/>
    <x v="1"/>
    <x v="2"/>
    <n v="137"/>
    <n v="190716.54115617339"/>
    <n v="19217"/>
    <n v="50380"/>
    <n v="9.9243659861671123"/>
  </r>
  <r>
    <x v="18"/>
    <x v="1"/>
    <x v="1"/>
    <x v="4"/>
    <n v="23"/>
    <n v="12340.309583089191"/>
    <n v="19217"/>
    <n v="50380"/>
    <n v="0.64215588193210127"/>
  </r>
  <r>
    <x v="18"/>
    <x v="1"/>
    <x v="2"/>
    <x v="0"/>
    <n v="1528"/>
    <n v="503049.24119136349"/>
    <n v="23287"/>
    <n v="165418"/>
    <n v="21.602148889567719"/>
  </r>
  <r>
    <x v="18"/>
    <x v="1"/>
    <x v="2"/>
    <x v="1"/>
    <n v="1455"/>
    <n v="8923273.8629484456"/>
    <n v="23287"/>
    <n v="165418"/>
    <n v="383.18692244378605"/>
  </r>
  <r>
    <x v="18"/>
    <x v="1"/>
    <x v="2"/>
    <x v="2"/>
    <n v="111"/>
    <n v="215159.68119447335"/>
    <n v="23287"/>
    <n v="165418"/>
    <n v="9.2394761538400552"/>
  </r>
  <r>
    <x v="18"/>
    <x v="1"/>
    <x v="2"/>
    <x v="4"/>
    <n v="10"/>
    <n v="10278.678434187355"/>
    <n v="23287"/>
    <n v="165418"/>
    <n v="0.4413912669810347"/>
  </r>
  <r>
    <x v="18"/>
    <x v="1"/>
    <x v="3"/>
    <x v="0"/>
    <n v="1801"/>
    <n v="618155.90046447655"/>
    <n v="26697"/>
    <n v="195360"/>
    <n v="23.154508014551318"/>
  </r>
  <r>
    <x v="18"/>
    <x v="1"/>
    <x v="3"/>
    <x v="1"/>
    <n v="1753"/>
    <n v="10383413.246670496"/>
    <n v="26697"/>
    <n v="195360"/>
    <n v="388.9355825250214"/>
  </r>
  <r>
    <x v="18"/>
    <x v="1"/>
    <x v="3"/>
    <x v="2"/>
    <n v="188"/>
    <n v="211413.62244321496"/>
    <n v="26697"/>
    <n v="195360"/>
    <n v="7.9190029757356619"/>
  </r>
  <r>
    <x v="18"/>
    <x v="1"/>
    <x v="3"/>
    <x v="3"/>
    <n v="2"/>
    <n v="34.397211816256558"/>
    <n v="26697"/>
    <n v="195360"/>
    <n v="1.2884298541505246E-3"/>
  </r>
  <r>
    <x v="18"/>
    <x v="1"/>
    <x v="3"/>
    <x v="4"/>
    <n v="21"/>
    <n v="56896.23813384895"/>
    <n v="26697"/>
    <n v="195360"/>
    <n v="2.1311847074146515"/>
  </r>
  <r>
    <x v="18"/>
    <x v="2"/>
    <x v="0"/>
    <x v="0"/>
    <n v="2684"/>
    <n v="789255.26461239986"/>
    <n v="30492"/>
    <n v="241802"/>
    <n v="25.884011039367699"/>
  </r>
  <r>
    <x v="18"/>
    <x v="2"/>
    <x v="0"/>
    <x v="1"/>
    <n v="2068"/>
    <n v="12463327.261836832"/>
    <n v="30492"/>
    <n v="241802"/>
    <n v="408.74089144158575"/>
  </r>
  <r>
    <x v="18"/>
    <x v="2"/>
    <x v="0"/>
    <x v="2"/>
    <n v="387"/>
    <n v="216594.03077193064"/>
    <n v="30492"/>
    <n v="241802"/>
    <n v="7.1033067943044292"/>
  </r>
  <r>
    <x v="18"/>
    <x v="2"/>
    <x v="0"/>
    <x v="4"/>
    <n v="12"/>
    <n v="33192.017283045374"/>
    <n v="30492"/>
    <n v="241802"/>
    <n v="1.0885483826264388"/>
  </r>
  <r>
    <x v="18"/>
    <x v="2"/>
    <x v="1"/>
    <x v="0"/>
    <n v="4497"/>
    <n v="1061694.138574572"/>
    <n v="35057"/>
    <n v="321222"/>
    <n v="30.284797289402174"/>
  </r>
  <r>
    <x v="18"/>
    <x v="2"/>
    <x v="1"/>
    <x v="1"/>
    <n v="2176"/>
    <n v="14718605.188911092"/>
    <n v="35057"/>
    <n v="321222"/>
    <n v="419.84782465445107"/>
  </r>
  <r>
    <x v="18"/>
    <x v="2"/>
    <x v="1"/>
    <x v="2"/>
    <n v="472"/>
    <n v="971609.45835378231"/>
    <n v="35057"/>
    <n v="321222"/>
    <n v="27.715134163042539"/>
  </r>
  <r>
    <x v="18"/>
    <x v="2"/>
    <x v="1"/>
    <x v="3"/>
    <n v="60"/>
    <n v="158593.59701229632"/>
    <n v="35057"/>
    <n v="321222"/>
    <n v="4.5238781701884454"/>
  </r>
  <r>
    <x v="18"/>
    <x v="2"/>
    <x v="1"/>
    <x v="4"/>
    <n v="15"/>
    <n v="32419.703092655054"/>
    <n v="35057"/>
    <n v="321222"/>
    <n v="0.92477117530464825"/>
  </r>
  <r>
    <x v="18"/>
    <x v="2"/>
    <x v="2"/>
    <x v="0"/>
    <n v="4696"/>
    <n v="1186947.5538162689"/>
    <n v="40084"/>
    <n v="353408"/>
    <n v="29.611504685567031"/>
  </r>
  <r>
    <x v="18"/>
    <x v="2"/>
    <x v="2"/>
    <x v="1"/>
    <n v="2946"/>
    <n v="19189391.618742835"/>
    <n v="40084"/>
    <n v="353408"/>
    <n v="478.7294586054993"/>
  </r>
  <r>
    <x v="18"/>
    <x v="2"/>
    <x v="2"/>
    <x v="2"/>
    <n v="903"/>
    <n v="842981.16945136595"/>
    <n v="40084"/>
    <n v="353408"/>
    <n v="21.030365468799669"/>
  </r>
  <r>
    <x v="18"/>
    <x v="2"/>
    <x v="2"/>
    <x v="3"/>
    <n v="27"/>
    <n v="45457.50970027798"/>
    <n v="40084"/>
    <n v="353408"/>
    <n v="1.1340562244356347"/>
  </r>
  <r>
    <x v="18"/>
    <x v="2"/>
    <x v="2"/>
    <x v="4"/>
    <n v="17"/>
    <n v="42055.45694608544"/>
    <n v="40084"/>
    <n v="353408"/>
    <n v="1.0491831390601098"/>
  </r>
  <r>
    <x v="18"/>
    <x v="2"/>
    <x v="3"/>
    <x v="0"/>
    <n v="5187"/>
    <n v="1499298.1127799235"/>
    <n v="45969"/>
    <n v="452584"/>
    <n v="32.615417189408589"/>
  </r>
  <r>
    <x v="18"/>
    <x v="2"/>
    <x v="3"/>
    <x v="1"/>
    <n v="4741"/>
    <n v="27284123.245664999"/>
    <n v="45969"/>
    <n v="452584"/>
    <n v="593.53310373653983"/>
  </r>
  <r>
    <x v="18"/>
    <x v="2"/>
    <x v="3"/>
    <x v="2"/>
    <n v="1668"/>
    <n v="1227101.6378793938"/>
    <n v="45969"/>
    <n v="452584"/>
    <n v="26.694112072905519"/>
  </r>
  <r>
    <x v="18"/>
    <x v="2"/>
    <x v="3"/>
    <x v="3"/>
    <n v="22"/>
    <n v="13968.753996552699"/>
    <n v="45969"/>
    <n v="452584"/>
    <n v="0.30387334935614652"/>
  </r>
  <r>
    <x v="18"/>
    <x v="2"/>
    <x v="3"/>
    <x v="4"/>
    <n v="32"/>
    <n v="86826.166759517757"/>
    <n v="45969"/>
    <n v="452584"/>
    <n v="1.8887982501145937"/>
  </r>
  <r>
    <x v="18"/>
    <x v="3"/>
    <x v="0"/>
    <x v="1"/>
    <n v="3942"/>
    <n v="24823715.017422147"/>
    <n v="50347"/>
    <n v="520113"/>
    <n v="493.05251588817896"/>
  </r>
  <r>
    <x v="18"/>
    <x v="3"/>
    <x v="0"/>
    <x v="0"/>
    <n v="3541"/>
    <n v="1070209.4218526704"/>
    <n v="50347"/>
    <n v="520113"/>
    <n v="21.256667166915019"/>
  </r>
  <r>
    <x v="18"/>
    <x v="3"/>
    <x v="0"/>
    <x v="2"/>
    <n v="1537"/>
    <n v="1040213.7953898906"/>
    <n v="50347"/>
    <n v="520113"/>
    <n v="20.660889335807308"/>
  </r>
  <r>
    <x v="18"/>
    <x v="3"/>
    <x v="0"/>
    <x v="3"/>
    <n v="19"/>
    <n v="15929.095105497145"/>
    <n v="50347"/>
    <n v="520113"/>
    <n v="0.31638618200681562"/>
  </r>
  <r>
    <x v="18"/>
    <x v="3"/>
    <x v="0"/>
    <x v="4"/>
    <n v="46"/>
    <n v="92715.584310947204"/>
    <n v="50347"/>
    <n v="520113"/>
    <n v="1.8415314579011104"/>
  </r>
  <r>
    <x v="18"/>
    <x v="3"/>
    <x v="1"/>
    <x v="0"/>
    <n v="5499"/>
    <n v="1745295.8280772951"/>
    <n v="53856"/>
    <n v="443311"/>
    <n v="32.406711008565345"/>
  </r>
  <r>
    <x v="18"/>
    <x v="3"/>
    <x v="1"/>
    <x v="1"/>
    <n v="4069"/>
    <n v="23996417.493664831"/>
    <n v="53856"/>
    <n v="443311"/>
    <n v="445.56627847713963"/>
  </r>
  <r>
    <x v="18"/>
    <x v="3"/>
    <x v="1"/>
    <x v="2"/>
    <n v="1743"/>
    <n v="1525331.9146529401"/>
    <n v="53856"/>
    <n v="443311"/>
    <n v="28.322413745041224"/>
  </r>
  <r>
    <x v="18"/>
    <x v="3"/>
    <x v="1"/>
    <x v="3"/>
    <n v="29"/>
    <n v="15052.018496008179"/>
    <n v="53856"/>
    <n v="443311"/>
    <n v="0.27948638027347333"/>
  </r>
  <r>
    <x v="18"/>
    <x v="3"/>
    <x v="1"/>
    <x v="4"/>
    <n v="44"/>
    <n v="101366.40306045809"/>
    <n v="53856"/>
    <n v="443311"/>
    <n v="1.8821747448837287"/>
  </r>
  <r>
    <x v="18"/>
    <x v="3"/>
    <x v="2"/>
    <x v="1"/>
    <n v="5687"/>
    <n v="34142107.520169854"/>
    <n v="58157"/>
    <n v="540397"/>
    <n v="587.06789415151843"/>
  </r>
  <r>
    <x v="18"/>
    <x v="3"/>
    <x v="2"/>
    <x v="0"/>
    <n v="5153"/>
    <n v="1700287.4734963956"/>
    <n v="58157"/>
    <n v="540397"/>
    <n v="29.236162001072884"/>
  </r>
  <r>
    <x v="18"/>
    <x v="3"/>
    <x v="2"/>
    <x v="2"/>
    <n v="2450"/>
    <n v="2750367.0630282219"/>
    <n v="58157"/>
    <n v="540397"/>
    <n v="47.292106935162096"/>
  </r>
  <r>
    <x v="18"/>
    <x v="3"/>
    <x v="2"/>
    <x v="3"/>
    <n v="48"/>
    <n v="137227.35390598275"/>
    <n v="58157"/>
    <n v="540397"/>
    <n v="2.3596016628433851"/>
  </r>
  <r>
    <x v="18"/>
    <x v="3"/>
    <x v="2"/>
    <x v="4"/>
    <n v="32"/>
    <n v="73174.288167687686"/>
    <n v="58157"/>
    <n v="540397"/>
    <n v="1.2582197872601353"/>
  </r>
  <r>
    <x v="18"/>
    <x v="3"/>
    <x v="3"/>
    <x v="1"/>
    <n v="7154"/>
    <n v="44696668.861207649"/>
    <n v="62018"/>
    <n v="740520"/>
    <n v="720.70477701969833"/>
  </r>
  <r>
    <x v="18"/>
    <x v="3"/>
    <x v="3"/>
    <x v="0"/>
    <n v="5355"/>
    <n v="2093901.2918026838"/>
    <n v="62018"/>
    <n v="740520"/>
    <n v="33.762799377643326"/>
  </r>
  <r>
    <x v="18"/>
    <x v="3"/>
    <x v="3"/>
    <x v="2"/>
    <n v="2872"/>
    <n v="4071239.0874364958"/>
    <n v="62018"/>
    <n v="740520"/>
    <n v="65.646088029870299"/>
  </r>
  <r>
    <x v="18"/>
    <x v="3"/>
    <x v="3"/>
    <x v="3"/>
    <n v="27"/>
    <n v="19994.541946360278"/>
    <n v="62018"/>
    <n v="740520"/>
    <n v="0.32239901232481338"/>
  </r>
  <r>
    <x v="18"/>
    <x v="3"/>
    <x v="3"/>
    <x v="4"/>
    <n v="62"/>
    <n v="116381.74598782149"/>
    <n v="62018"/>
    <n v="740520"/>
    <n v="1.8765801217037228"/>
  </r>
  <r>
    <x v="19"/>
    <x v="0"/>
    <x v="0"/>
    <x v="0"/>
    <n v="4404190"/>
    <n v="667057311.45603716"/>
    <n v="28089633"/>
    <n v="0"/>
    <n v="23.747455563269096"/>
  </r>
  <r>
    <x v="19"/>
    <x v="0"/>
    <x v="0"/>
    <x v="1"/>
    <n v="2848290"/>
    <n v="7590790588.5519028"/>
    <n v="28089633"/>
    <n v="0"/>
    <n v="270.23459468309545"/>
  </r>
  <r>
    <x v="19"/>
    <x v="0"/>
    <x v="0"/>
    <x v="3"/>
    <n v="230519"/>
    <n v="43374288.983730227"/>
    <n v="28089633"/>
    <n v="0"/>
    <n v="1.54413868574681"/>
  </r>
  <r>
    <x v="19"/>
    <x v="0"/>
    <x v="0"/>
    <x v="2"/>
    <n v="196394"/>
    <n v="170119673.71275404"/>
    <n v="28089633"/>
    <n v="0"/>
    <n v="6.0563152858833735"/>
  </r>
  <r>
    <x v="19"/>
    <x v="0"/>
    <x v="0"/>
    <x v="4"/>
    <n v="346002"/>
    <n v="210261540.74149579"/>
    <n v="28089633"/>
    <n v="0"/>
    <n v="7.4853787068523037"/>
  </r>
  <r>
    <x v="19"/>
    <x v="0"/>
    <x v="1"/>
    <x v="0"/>
    <n v="5324535"/>
    <n v="1132090445.8903365"/>
    <n v="37858282"/>
    <n v="0"/>
    <n v="29.90337611966482"/>
  </r>
  <r>
    <x v="19"/>
    <x v="0"/>
    <x v="1"/>
    <x v="1"/>
    <n v="4269392"/>
    <n v="14155603482.492638"/>
    <n v="37858282"/>
    <n v="0"/>
    <n v="373.9103502502474"/>
  </r>
  <r>
    <x v="19"/>
    <x v="0"/>
    <x v="1"/>
    <x v="2"/>
    <n v="397135"/>
    <n v="339308203.17074043"/>
    <n v="37858282"/>
    <n v="0"/>
    <n v="8.9625885076015983"/>
  </r>
  <r>
    <x v="19"/>
    <x v="0"/>
    <x v="1"/>
    <x v="3"/>
    <n v="305553"/>
    <n v="53860331.805742756"/>
    <n v="37858282"/>
    <n v="0"/>
    <n v="1.422682936477222"/>
  </r>
  <r>
    <x v="19"/>
    <x v="0"/>
    <x v="1"/>
    <x v="4"/>
    <n v="264797"/>
    <n v="243218603.31985626"/>
    <n v="37858282"/>
    <n v="0"/>
    <n v="6.4244490365372693"/>
  </r>
  <r>
    <x v="19"/>
    <x v="0"/>
    <x v="2"/>
    <x v="1"/>
    <n v="9988509"/>
    <n v="22057686208.544342"/>
    <n v="47402399"/>
    <n v="0"/>
    <n v="465.32847859755668"/>
  </r>
  <r>
    <x v="19"/>
    <x v="0"/>
    <x v="2"/>
    <x v="0"/>
    <n v="5733261"/>
    <n v="1367773856.6756551"/>
    <n v="47402399"/>
    <n v="0"/>
    <n v="28.854528157438931"/>
  </r>
  <r>
    <x v="19"/>
    <x v="0"/>
    <x v="2"/>
    <x v="2"/>
    <n v="784995"/>
    <n v="465390819.59013355"/>
    <n v="47402399"/>
    <n v="0"/>
    <n v="9.8178748208531292"/>
  </r>
  <r>
    <x v="19"/>
    <x v="0"/>
    <x v="2"/>
    <x v="3"/>
    <n v="359440"/>
    <n v="46120458.63885434"/>
    <n v="47402399"/>
    <n v="0"/>
    <n v="0.97295621343667316"/>
  </r>
  <r>
    <x v="19"/>
    <x v="0"/>
    <x v="2"/>
    <x v="4"/>
    <n v="260780"/>
    <n v="212770861.22341695"/>
    <n v="47402399"/>
    <n v="0"/>
    <n v="4.4886095579976226"/>
  </r>
  <r>
    <x v="19"/>
    <x v="0"/>
    <x v="3"/>
    <x v="1"/>
    <n v="11456555"/>
    <n v="30897348664.905441"/>
    <n v="59019862"/>
    <n v="0"/>
    <n v="523.50763993493308"/>
  </r>
  <r>
    <x v="19"/>
    <x v="0"/>
    <x v="3"/>
    <x v="0"/>
    <n v="7273502"/>
    <n v="1669345516.9413681"/>
    <n v="59019862"/>
    <n v="0"/>
    <n v="28.284470013524736"/>
  </r>
  <r>
    <x v="19"/>
    <x v="0"/>
    <x v="3"/>
    <x v="2"/>
    <n v="2056426"/>
    <n v="1036249753.9278035"/>
    <n v="59019862"/>
    <n v="0"/>
    <n v="17.557644474461895"/>
  </r>
  <r>
    <x v="19"/>
    <x v="0"/>
    <x v="3"/>
    <x v="3"/>
    <n v="313540"/>
    <n v="43367243.154430926"/>
    <n v="59019862"/>
    <n v="0"/>
    <n v="0.73479065665099197"/>
  </r>
  <r>
    <x v="19"/>
    <x v="0"/>
    <x v="3"/>
    <x v="4"/>
    <n v="297532"/>
    <n v="259296894.03827757"/>
    <n v="59019862"/>
    <n v="0"/>
    <n v="4.3933836042903245"/>
  </r>
  <r>
    <x v="19"/>
    <x v="1"/>
    <x v="0"/>
    <x v="1"/>
    <n v="23708825"/>
    <n v="44114206183.091858"/>
    <n v="70558433"/>
    <n v="0"/>
    <n v="625.21521960517259"/>
  </r>
  <r>
    <x v="19"/>
    <x v="1"/>
    <x v="0"/>
    <x v="0"/>
    <n v="9966905"/>
    <n v="2423593841.7161422"/>
    <n v="70558433"/>
    <n v="0"/>
    <n v="34.348748103804148"/>
  </r>
  <r>
    <x v="19"/>
    <x v="1"/>
    <x v="0"/>
    <x v="2"/>
    <n v="3018928"/>
    <n v="1263699222.3501081"/>
    <n v="70558433"/>
    <n v="0"/>
    <n v="17.909967223196528"/>
  </r>
  <r>
    <x v="19"/>
    <x v="1"/>
    <x v="0"/>
    <x v="3"/>
    <n v="290838"/>
    <n v="28901169.292499043"/>
    <n v="70558433"/>
    <n v="0"/>
    <n v="0.40960616702611641"/>
  </r>
  <r>
    <x v="19"/>
    <x v="1"/>
    <x v="0"/>
    <x v="4"/>
    <n v="315553"/>
    <n v="239879105.59723681"/>
    <n v="70558433"/>
    <n v="0"/>
    <n v="3.3997226893805426"/>
  </r>
  <r>
    <x v="19"/>
    <x v="1"/>
    <x v="1"/>
    <x v="1"/>
    <n v="20868744"/>
    <n v="61758841793.876663"/>
    <n v="80312892"/>
    <n v="557063661"/>
    <n v="768.97793437542589"/>
  </r>
  <r>
    <x v="19"/>
    <x v="1"/>
    <x v="1"/>
    <x v="0"/>
    <n v="12044969"/>
    <n v="3571897178.3031011"/>
    <n v="80312892"/>
    <n v="557063661"/>
    <n v="44.474767242886749"/>
  </r>
  <r>
    <x v="19"/>
    <x v="1"/>
    <x v="1"/>
    <x v="2"/>
    <n v="7331352"/>
    <n v="2671155681.4491549"/>
    <n v="80312892"/>
    <n v="557063661"/>
    <n v="33.259363657943666"/>
  </r>
  <r>
    <x v="19"/>
    <x v="1"/>
    <x v="1"/>
    <x v="3"/>
    <n v="149197"/>
    <n v="18869661.513485767"/>
    <n v="80312892"/>
    <n v="557063661"/>
    <n v="0.23495183704112868"/>
  </r>
  <r>
    <x v="19"/>
    <x v="1"/>
    <x v="1"/>
    <x v="4"/>
    <n v="451751"/>
    <n v="313802065.4154737"/>
    <n v="80312892"/>
    <n v="557063661"/>
    <n v="3.9072440003215636"/>
  </r>
  <r>
    <x v="19"/>
    <x v="1"/>
    <x v="2"/>
    <x v="1"/>
    <n v="22631038"/>
    <n v="67648107703.035698"/>
    <n v="89987304"/>
    <n v="2115887180"/>
    <n v="751.75168824966352"/>
  </r>
  <r>
    <x v="19"/>
    <x v="1"/>
    <x v="2"/>
    <x v="2"/>
    <n v="17163551"/>
    <n v="5147459307.1017418"/>
    <n v="89987304"/>
    <n v="2115887180"/>
    <n v="57.202061605287582"/>
  </r>
  <r>
    <x v="19"/>
    <x v="1"/>
    <x v="2"/>
    <x v="0"/>
    <n v="13156616"/>
    <n v="4576521609.4608335"/>
    <n v="89987304"/>
    <n v="2115887180"/>
    <n v="50.857414391043804"/>
  </r>
  <r>
    <x v="19"/>
    <x v="1"/>
    <x v="2"/>
    <x v="3"/>
    <n v="192821"/>
    <n v="25654168.600921322"/>
    <n v="89987304"/>
    <n v="2115887180"/>
    <n v="0.28508653399507694"/>
  </r>
  <r>
    <x v="19"/>
    <x v="1"/>
    <x v="2"/>
    <x v="4"/>
    <n v="466385"/>
    <n v="278578703.04411173"/>
    <n v="89987304"/>
    <n v="2115887180"/>
    <n v="3.0957556306399816"/>
  </r>
  <r>
    <x v="19"/>
    <x v="1"/>
    <x v="3"/>
    <x v="1"/>
    <n v="32083162"/>
    <n v="92064471161.989197"/>
    <n v="100817651"/>
    <n v="2616294736"/>
    <n v="913.17810173924011"/>
  </r>
  <r>
    <x v="19"/>
    <x v="1"/>
    <x v="3"/>
    <x v="2"/>
    <n v="19447707"/>
    <n v="7304157801.6129351"/>
    <n v="100817651"/>
    <n v="2616294736"/>
    <n v="72.449196436970496"/>
  </r>
  <r>
    <x v="19"/>
    <x v="1"/>
    <x v="3"/>
    <x v="0"/>
    <n v="16081734"/>
    <n v="5104821720.9990158"/>
    <n v="100817651"/>
    <n v="2616294736"/>
    <n v="50.634206117329754"/>
  </r>
  <r>
    <x v="19"/>
    <x v="1"/>
    <x v="3"/>
    <x v="3"/>
    <n v="127116"/>
    <n v="24020060.932133198"/>
    <n v="100817651"/>
    <n v="2616294736"/>
    <n v="0.23825253508567856"/>
  </r>
  <r>
    <x v="19"/>
    <x v="1"/>
    <x v="3"/>
    <x v="4"/>
    <n v="392270"/>
    <n v="190456045.32494444"/>
    <n v="100817651"/>
    <n v="2616294736"/>
    <n v="1.8891140929770764"/>
  </r>
  <r>
    <x v="19"/>
    <x v="2"/>
    <x v="0"/>
    <x v="1"/>
    <n v="34540722"/>
    <n v="110325991607.38477"/>
    <n v="111665081"/>
    <n v="2886977280"/>
    <n v="988.00798440637652"/>
  </r>
  <r>
    <x v="19"/>
    <x v="2"/>
    <x v="0"/>
    <x v="2"/>
    <n v="24618074"/>
    <n v="9898242848.2579308"/>
    <n v="111665081"/>
    <n v="2886977280"/>
    <n v="88.642239450468239"/>
  </r>
  <r>
    <x v="19"/>
    <x v="2"/>
    <x v="0"/>
    <x v="0"/>
    <n v="19788516"/>
    <n v="6311610609.8462248"/>
    <n v="111665081"/>
    <n v="2886977280"/>
    <n v="56.522688680503663"/>
  </r>
  <r>
    <x v="19"/>
    <x v="2"/>
    <x v="0"/>
    <x v="3"/>
    <n v="68055"/>
    <n v="30645714.401902914"/>
    <n v="111665081"/>
    <n v="2886977280"/>
    <n v="0.27444313054233055"/>
  </r>
  <r>
    <x v="19"/>
    <x v="2"/>
    <x v="0"/>
    <x v="4"/>
    <n v="351379"/>
    <n v="170790656.30339786"/>
    <n v="111665081"/>
    <n v="2886977280"/>
    <n v="1.5294902826730397"/>
  </r>
  <r>
    <x v="19"/>
    <x v="2"/>
    <x v="1"/>
    <x v="1"/>
    <n v="34860958"/>
    <n v="128184693854.7977"/>
    <n v="125118653"/>
    <n v="2791470484"/>
    <n v="1024.5050660415734"/>
  </r>
  <r>
    <x v="19"/>
    <x v="2"/>
    <x v="1"/>
    <x v="0"/>
    <n v="27497528"/>
    <n v="8904067957.0121193"/>
    <n v="125118653"/>
    <n v="2791470484"/>
    <n v="71.164992137600137"/>
  </r>
  <r>
    <x v="19"/>
    <x v="2"/>
    <x v="1"/>
    <x v="2"/>
    <n v="13685723"/>
    <n v="10666223053.634727"/>
    <n v="125118653"/>
    <n v="2791470484"/>
    <n v="85.248864161243233"/>
  </r>
  <r>
    <x v="19"/>
    <x v="2"/>
    <x v="1"/>
    <x v="3"/>
    <n v="80988"/>
    <n v="62073621.443515137"/>
    <n v="125118653"/>
    <n v="2791470484"/>
    <n v="0.49611804439354967"/>
  </r>
  <r>
    <x v="19"/>
    <x v="2"/>
    <x v="1"/>
    <x v="4"/>
    <n v="215376"/>
    <n v="104956802.17437972"/>
    <n v="125118653"/>
    <n v="2791470484"/>
    <n v="0.83885815310351619"/>
  </r>
  <r>
    <x v="19"/>
    <x v="2"/>
    <x v="2"/>
    <x v="1"/>
    <n v="50871564"/>
    <n v="174978985034.2865"/>
    <n v="138206464"/>
    <n v="3573360934"/>
    <n v="1266.0694729465513"/>
  </r>
  <r>
    <x v="19"/>
    <x v="2"/>
    <x v="2"/>
    <x v="2"/>
    <n v="31879804"/>
    <n v="20621273981.65966"/>
    <n v="138206464"/>
    <n v="3573360934"/>
    <n v="149.20629169457413"/>
  </r>
  <r>
    <x v="19"/>
    <x v="2"/>
    <x v="2"/>
    <x v="0"/>
    <n v="25380467"/>
    <n v="9834190567.2055168"/>
    <n v="138206464"/>
    <n v="3573360934"/>
    <n v="71.155793170466453"/>
  </r>
  <r>
    <x v="19"/>
    <x v="2"/>
    <x v="2"/>
    <x v="3"/>
    <n v="131725"/>
    <n v="122971108.07060198"/>
    <n v="138206464"/>
    <n v="3573360934"/>
    <n v="0.88976379621869195"/>
  </r>
  <r>
    <x v="19"/>
    <x v="2"/>
    <x v="2"/>
    <x v="4"/>
    <n v="316321"/>
    <n v="144259293.31583393"/>
    <n v="138206464"/>
    <n v="3573360934"/>
    <n v="1.043795558765138"/>
  </r>
  <r>
    <x v="19"/>
    <x v="2"/>
    <x v="3"/>
    <x v="1"/>
    <n v="67972167"/>
    <n v="235584201864.22342"/>
    <n v="151117417"/>
    <n v="4461285906"/>
    <n v="1558.9480454408733"/>
  </r>
  <r>
    <x v="19"/>
    <x v="2"/>
    <x v="3"/>
    <x v="2"/>
    <n v="57707471"/>
    <n v="37315576877.145691"/>
    <n v="151117417"/>
    <n v="4461285906"/>
    <n v="246.93101310185637"/>
  </r>
  <r>
    <x v="19"/>
    <x v="2"/>
    <x v="3"/>
    <x v="0"/>
    <n v="27335834"/>
    <n v="10977774483.325565"/>
    <n v="151117417"/>
    <n v="4461285906"/>
    <n v="72.64400557697175"/>
  </r>
  <r>
    <x v="19"/>
    <x v="2"/>
    <x v="3"/>
    <x v="3"/>
    <n v="149532"/>
    <n v="132590450.07074244"/>
    <n v="151117417"/>
    <n v="4461285906"/>
    <n v="0.87740018789986629"/>
  </r>
  <r>
    <x v="19"/>
    <x v="2"/>
    <x v="3"/>
    <x v="4"/>
    <n v="487537"/>
    <n v="264996097.6059612"/>
    <n v="151117417"/>
    <n v="4461285906"/>
    <n v="1.7535774688761467"/>
  </r>
  <r>
    <x v="19"/>
    <x v="3"/>
    <x v="0"/>
    <x v="2"/>
    <n v="84812245"/>
    <n v="50098244499.506622"/>
    <n v="163233697"/>
    <n v="5307503036"/>
    <n v="306.91116736458298"/>
  </r>
  <r>
    <x v="19"/>
    <x v="3"/>
    <x v="0"/>
    <x v="1"/>
    <n v="84070625"/>
    <n v="279938170703.81708"/>
    <n v="163233697"/>
    <n v="5307503036"/>
    <n v="1714.9533205990983"/>
  </r>
  <r>
    <x v="19"/>
    <x v="3"/>
    <x v="0"/>
    <x v="0"/>
    <n v="32500681"/>
    <n v="13060914041.039404"/>
    <n v="163233697"/>
    <n v="5307503036"/>
    <n v="80.01358960239321"/>
  </r>
  <r>
    <x v="19"/>
    <x v="3"/>
    <x v="0"/>
    <x v="3"/>
    <n v="169378"/>
    <n v="161838389.79547781"/>
    <n v="163233697"/>
    <n v="5307503036"/>
    <n v="0.99145208844640587"/>
  </r>
  <r>
    <x v="19"/>
    <x v="3"/>
    <x v="0"/>
    <x v="4"/>
    <n v="445569"/>
    <n v="274786748.12995231"/>
    <n v="163233697"/>
    <n v="5307503036"/>
    <n v="1.6833947474090005"/>
  </r>
  <r>
    <x v="19"/>
    <x v="3"/>
    <x v="1"/>
    <x v="1"/>
    <n v="99367521"/>
    <n v="348935762191.10486"/>
    <n v="175350285"/>
    <n v="8005158139"/>
    <n v="1989.9355292813175"/>
  </r>
  <r>
    <x v="19"/>
    <x v="3"/>
    <x v="1"/>
    <x v="2"/>
    <n v="77113464"/>
    <n v="58839392449.993698"/>
    <n v="175350285"/>
    <n v="8005158139"/>
    <n v="335.55344634879663"/>
  </r>
  <r>
    <x v="19"/>
    <x v="3"/>
    <x v="1"/>
    <x v="0"/>
    <n v="46118636"/>
    <n v="17230546398.848663"/>
    <n v="175350285"/>
    <n v="8005158139"/>
    <n v="98.263577951120311"/>
  </r>
  <r>
    <x v="19"/>
    <x v="3"/>
    <x v="1"/>
    <x v="3"/>
    <n v="188726"/>
    <n v="177313389.66602695"/>
    <n v="175350285"/>
    <n v="8005158139"/>
    <n v="1.0111953320522231"/>
  </r>
  <r>
    <x v="19"/>
    <x v="3"/>
    <x v="1"/>
    <x v="4"/>
    <n v="526333"/>
    <n v="317753606.01156956"/>
    <n v="175350285"/>
    <n v="8005158139"/>
    <n v="1.8121077248980209"/>
  </r>
  <r>
    <x v="19"/>
    <x v="3"/>
    <x v="2"/>
    <x v="2"/>
    <n v="138433772"/>
    <n v="85885669792.432281"/>
    <n v="189312563"/>
    <n v="10225302164"/>
    <n v="453.67126423845565"/>
  </r>
  <r>
    <x v="19"/>
    <x v="3"/>
    <x v="2"/>
    <x v="1"/>
    <n v="127654821"/>
    <n v="398912712886.4574"/>
    <n v="189312563"/>
    <n v="10225302164"/>
    <n v="2107.1645038499501"/>
  </r>
  <r>
    <x v="19"/>
    <x v="3"/>
    <x v="2"/>
    <x v="0"/>
    <n v="44437315"/>
    <n v="19025346050.627724"/>
    <n v="189312563"/>
    <n v="10225302164"/>
    <n v="100.49700743118524"/>
  </r>
  <r>
    <x v="19"/>
    <x v="3"/>
    <x v="2"/>
    <x v="3"/>
    <n v="174454"/>
    <n v="180366422.58245987"/>
    <n v="189312563"/>
    <n v="10225302164"/>
    <n v="0.95274407426653385"/>
  </r>
  <r>
    <x v="19"/>
    <x v="3"/>
    <x v="2"/>
    <x v="4"/>
    <n v="742972"/>
    <n v="408508699.43654072"/>
    <n v="189312563"/>
    <n v="10225302164"/>
    <n v="2.1578530920662709"/>
  </r>
  <r>
    <x v="19"/>
    <x v="3"/>
    <x v="3"/>
    <x v="2"/>
    <n v="197193842"/>
    <n v="126461098235.02324"/>
    <n v="203018673"/>
    <n v="10522938591"/>
    <n v="622.90377710735618"/>
  </r>
  <r>
    <x v="19"/>
    <x v="3"/>
    <x v="3"/>
    <x v="1"/>
    <n v="159649020"/>
    <n v="507118521843.35883"/>
    <n v="203018673"/>
    <n v="10522938591"/>
    <n v="2497.891028197977"/>
  </r>
  <r>
    <x v="19"/>
    <x v="3"/>
    <x v="3"/>
    <x v="0"/>
    <n v="46220966"/>
    <n v="22492766779.156635"/>
    <n v="203018673"/>
    <n v="10522938591"/>
    <n v="110.79161560255413"/>
  </r>
  <r>
    <x v="19"/>
    <x v="3"/>
    <x v="3"/>
    <x v="3"/>
    <n v="247925"/>
    <n v="246488171.37792647"/>
    <n v="203018673"/>
    <n v="10522938591"/>
    <n v="1.2141157645037235"/>
  </r>
  <r>
    <x v="19"/>
    <x v="3"/>
    <x v="3"/>
    <x v="4"/>
    <n v="996331"/>
    <n v="568617375.5894115"/>
    <n v="203018673"/>
    <n v="10522938591"/>
    <n v="2.8008131822899438"/>
  </r>
  <r>
    <x v="20"/>
    <x v="0"/>
    <x v="0"/>
    <x v="0"/>
    <n v="9670237"/>
    <n v="2283567431.2235351"/>
    <n v="67176934"/>
    <n v="0"/>
    <n v="33.993326209611396"/>
  </r>
  <r>
    <x v="20"/>
    <x v="0"/>
    <x v="0"/>
    <x v="1"/>
    <n v="5227770"/>
    <n v="18283896464.750908"/>
    <n v="67176934"/>
    <n v="0"/>
    <n v="272.17521515273245"/>
  </r>
  <r>
    <x v="20"/>
    <x v="0"/>
    <x v="0"/>
    <x v="2"/>
    <n v="616779"/>
    <n v="576964070.73668587"/>
    <n v="67176934"/>
    <n v="0"/>
    <n v="8.5887228901617618"/>
  </r>
  <r>
    <x v="20"/>
    <x v="0"/>
    <x v="0"/>
    <x v="3"/>
    <n v="235051"/>
    <n v="60997258.060299724"/>
    <n v="67176934"/>
    <n v="0"/>
    <n v="0.90800896123511265"/>
  </r>
  <r>
    <x v="20"/>
    <x v="0"/>
    <x v="0"/>
    <x v="4"/>
    <n v="637197"/>
    <n v="506188032.95395643"/>
    <n v="67176934"/>
    <n v="0"/>
    <n v="7.5351464083483837"/>
  </r>
  <r>
    <x v="20"/>
    <x v="0"/>
    <x v="1"/>
    <x v="0"/>
    <n v="12384216"/>
    <n v="3725800358.6814823"/>
    <n v="90446081"/>
    <n v="0"/>
    <n v="41.193607478487458"/>
  </r>
  <r>
    <x v="20"/>
    <x v="0"/>
    <x v="1"/>
    <x v="1"/>
    <n v="7772336"/>
    <n v="30782831245.6586"/>
    <n v="90446081"/>
    <n v="0"/>
    <n v="340.34455562158189"/>
  </r>
  <r>
    <x v="20"/>
    <x v="0"/>
    <x v="1"/>
    <x v="2"/>
    <n v="1306326"/>
    <n v="1226121649.4989598"/>
    <n v="90446081"/>
    <n v="0"/>
    <n v="13.55638227707135"/>
  </r>
  <r>
    <x v="20"/>
    <x v="0"/>
    <x v="1"/>
    <x v="3"/>
    <n v="262875"/>
    <n v="85545909.435288414"/>
    <n v="90446081"/>
    <n v="0"/>
    <n v="0.94582217924166789"/>
  </r>
  <r>
    <x v="20"/>
    <x v="0"/>
    <x v="1"/>
    <x v="4"/>
    <n v="559987"/>
    <n v="536758077.84638786"/>
    <n v="90446081"/>
    <n v="0"/>
    <n v="5.9345642388462121"/>
  </r>
  <r>
    <x v="20"/>
    <x v="0"/>
    <x v="2"/>
    <x v="0"/>
    <n v="14371791"/>
    <n v="4547486090.1867371"/>
    <n v="114785363"/>
    <n v="0"/>
    <n v="39.617299378029038"/>
  </r>
  <r>
    <x v="20"/>
    <x v="0"/>
    <x v="2"/>
    <x v="1"/>
    <n v="13470065"/>
    <n v="45466534003.980484"/>
    <n v="114785363"/>
    <n v="0"/>
    <n v="396.10045057731344"/>
  </r>
  <r>
    <x v="20"/>
    <x v="0"/>
    <x v="2"/>
    <x v="2"/>
    <n v="2797204"/>
    <n v="1702220875.4343855"/>
    <n v="114785363"/>
    <n v="0"/>
    <n v="14.829598748007493"/>
  </r>
  <r>
    <x v="20"/>
    <x v="0"/>
    <x v="2"/>
    <x v="3"/>
    <n v="234598"/>
    <n v="52348968.006728604"/>
    <n v="114785363"/>
    <n v="0"/>
    <n v="0.45605961107365756"/>
  </r>
  <r>
    <x v="20"/>
    <x v="0"/>
    <x v="2"/>
    <x v="4"/>
    <n v="664880"/>
    <n v="492227795.63869768"/>
    <n v="114785363"/>
    <n v="0"/>
    <n v="4.2882453195595822"/>
  </r>
  <r>
    <x v="20"/>
    <x v="0"/>
    <x v="3"/>
    <x v="1"/>
    <n v="20824667"/>
    <n v="68974011019.102936"/>
    <n v="147197622"/>
    <n v="0"/>
    <n v="468.58101429860693"/>
  </r>
  <r>
    <x v="20"/>
    <x v="0"/>
    <x v="3"/>
    <x v="0"/>
    <n v="18071025"/>
    <n v="5860865070.470685"/>
    <n v="147197622"/>
    <n v="0"/>
    <n v="39.81630267417421"/>
  </r>
  <r>
    <x v="20"/>
    <x v="0"/>
    <x v="3"/>
    <x v="2"/>
    <n v="6047705"/>
    <n v="3985195742.2480145"/>
    <n v="147197622"/>
    <n v="0"/>
    <n v="27.073778014212856"/>
  </r>
  <r>
    <x v="20"/>
    <x v="0"/>
    <x v="3"/>
    <x v="3"/>
    <n v="325121"/>
    <n v="77345546.530124322"/>
    <n v="147197622"/>
    <n v="0"/>
    <n v="0.5254537775761372"/>
  </r>
  <r>
    <x v="20"/>
    <x v="0"/>
    <x v="3"/>
    <x v="4"/>
    <n v="821705"/>
    <n v="621519669.48186409"/>
    <n v="147197622"/>
    <n v="0"/>
    <n v="4.2223485749101579"/>
  </r>
  <r>
    <x v="20"/>
    <x v="1"/>
    <x v="0"/>
    <x v="1"/>
    <n v="37360716"/>
    <n v="97373087988.088715"/>
    <n v="179128961"/>
    <n v="0"/>
    <n v="543.59209948238754"/>
  </r>
  <r>
    <x v="20"/>
    <x v="1"/>
    <x v="0"/>
    <x v="0"/>
    <n v="24540041"/>
    <n v="8256500586.6512823"/>
    <n v="179128961"/>
    <n v="0"/>
    <n v="46.092494148119812"/>
  </r>
  <r>
    <x v="20"/>
    <x v="1"/>
    <x v="0"/>
    <x v="2"/>
    <n v="12069119"/>
    <n v="5172594695.5318003"/>
    <n v="179128961"/>
    <n v="0"/>
    <n v="28.876373014477544"/>
  </r>
  <r>
    <x v="20"/>
    <x v="1"/>
    <x v="0"/>
    <x v="3"/>
    <n v="287569"/>
    <n v="49487746.208730564"/>
    <n v="179128961"/>
    <n v="0"/>
    <n v="0.27626881735070502"/>
  </r>
  <r>
    <x v="20"/>
    <x v="1"/>
    <x v="0"/>
    <x v="4"/>
    <n v="821624"/>
    <n v="569019903.86049557"/>
    <n v="179128961"/>
    <n v="0"/>
    <n v="3.1765935596561383"/>
  </r>
  <r>
    <x v="20"/>
    <x v="1"/>
    <x v="1"/>
    <x v="1"/>
    <n v="42546317"/>
    <n v="130558153687.95419"/>
    <n v="206546725"/>
    <n v="1209644755"/>
    <n v="632.09984901941289"/>
  </r>
  <r>
    <x v="20"/>
    <x v="1"/>
    <x v="1"/>
    <x v="0"/>
    <n v="29395661"/>
    <n v="12197234771.434273"/>
    <n v="206546725"/>
    <n v="1209644755"/>
    <n v="59.053150183980271"/>
  </r>
  <r>
    <x v="20"/>
    <x v="1"/>
    <x v="1"/>
    <x v="2"/>
    <n v="27854042"/>
    <n v="9728561726.7671432"/>
    <n v="206546725"/>
    <n v="1209644755"/>
    <n v="47.101021460239288"/>
  </r>
  <r>
    <x v="20"/>
    <x v="1"/>
    <x v="1"/>
    <x v="3"/>
    <n v="182840"/>
    <n v="45291636.105074808"/>
    <n v="206546725"/>
    <n v="1209644755"/>
    <n v="0.2192803401025836"/>
  </r>
  <r>
    <x v="20"/>
    <x v="1"/>
    <x v="1"/>
    <x v="4"/>
    <n v="1170993"/>
    <n v="765228265.79764724"/>
    <n v="206546725"/>
    <n v="1209644755"/>
    <n v="3.7048675828563598"/>
  </r>
  <r>
    <x v="20"/>
    <x v="1"/>
    <x v="2"/>
    <x v="1"/>
    <n v="57991699"/>
    <n v="165731686168.5575"/>
    <n v="234443891"/>
    <n v="4839982543"/>
    <n v="706.91407424455986"/>
  </r>
  <r>
    <x v="20"/>
    <x v="1"/>
    <x v="2"/>
    <x v="2"/>
    <n v="54683738"/>
    <n v="17545729507.395977"/>
    <n v="234443891"/>
    <n v="4839982543"/>
    <n v="74.839781205456859"/>
  </r>
  <r>
    <x v="20"/>
    <x v="1"/>
    <x v="2"/>
    <x v="0"/>
    <n v="34309301"/>
    <n v="15471698543.739597"/>
    <n v="234443891"/>
    <n v="4839982543"/>
    <n v="65.993182751516429"/>
  </r>
  <r>
    <x v="20"/>
    <x v="1"/>
    <x v="2"/>
    <x v="3"/>
    <n v="231467"/>
    <n v="54108447.394074507"/>
    <n v="234443891"/>
    <n v="4839982543"/>
    <n v="0.23079487020659673"/>
  </r>
  <r>
    <x v="20"/>
    <x v="1"/>
    <x v="2"/>
    <x v="4"/>
    <n v="1519376"/>
    <n v="814284077.86375177"/>
    <n v="234443891"/>
    <n v="4839982543"/>
    <n v="3.4732578204127815"/>
  </r>
  <r>
    <x v="20"/>
    <x v="1"/>
    <x v="3"/>
    <x v="2"/>
    <n v="80127804"/>
    <n v="27209874138.487556"/>
    <n v="261198267"/>
    <n v="5980195232"/>
    <n v="104.17325677925557"/>
  </r>
  <r>
    <x v="20"/>
    <x v="1"/>
    <x v="3"/>
    <x v="1"/>
    <n v="78795871"/>
    <n v="227268054757.21698"/>
    <n v="261198267"/>
    <n v="5980195232"/>
    <n v="870.09786614402378"/>
  </r>
  <r>
    <x v="20"/>
    <x v="1"/>
    <x v="3"/>
    <x v="0"/>
    <n v="40705998"/>
    <n v="17794666215.044445"/>
    <n v="261198267"/>
    <n v="5980195232"/>
    <n v="68.127045479380783"/>
  </r>
  <r>
    <x v="20"/>
    <x v="1"/>
    <x v="3"/>
    <x v="3"/>
    <n v="129755"/>
    <n v="49622863.824426055"/>
    <n v="261198267"/>
    <n v="5980195232"/>
    <n v="0.18998159671720202"/>
  </r>
  <r>
    <x v="20"/>
    <x v="1"/>
    <x v="3"/>
    <x v="4"/>
    <n v="1501192"/>
    <n v="672210824.9770112"/>
    <n v="261198267"/>
    <n v="5980195232"/>
    <n v="2.5735654095170974"/>
  </r>
  <r>
    <x v="20"/>
    <x v="2"/>
    <x v="0"/>
    <x v="2"/>
    <n v="100337738"/>
    <n v="35200130304.827759"/>
    <n v="287852290"/>
    <n v="6766612248"/>
    <n v="122.28539263949493"/>
  </r>
  <r>
    <x v="20"/>
    <x v="2"/>
    <x v="0"/>
    <x v="1"/>
    <n v="87067410"/>
    <n v="262541205695.83841"/>
    <n v="287852290"/>
    <n v="6766612248"/>
    <n v="912.06919248701615"/>
  </r>
  <r>
    <x v="20"/>
    <x v="2"/>
    <x v="0"/>
    <x v="0"/>
    <n v="50199498"/>
    <n v="21603565070.425602"/>
    <n v="287852290"/>
    <n v="6766612248"/>
    <n v="75.050870953382386"/>
  </r>
  <r>
    <x v="20"/>
    <x v="2"/>
    <x v="0"/>
    <x v="3"/>
    <n v="123476"/>
    <n v="91363684.1276232"/>
    <n v="287852290"/>
    <n v="6766612248"/>
    <n v="0.3173978019338432"/>
  </r>
  <r>
    <x v="20"/>
    <x v="2"/>
    <x v="0"/>
    <x v="4"/>
    <n v="1215959"/>
    <n v="558931962.87612498"/>
    <n v="287852290"/>
    <n v="6766612248"/>
    <n v="1.9417318614214429"/>
  </r>
  <r>
    <x v="20"/>
    <x v="2"/>
    <x v="1"/>
    <x v="1"/>
    <n v="74295930"/>
    <n v="239933338682.69339"/>
    <n v="316415946"/>
    <n v="5569902932"/>
    <n v="758.28459885107497"/>
  </r>
  <r>
    <x v="20"/>
    <x v="2"/>
    <x v="1"/>
    <x v="0"/>
    <n v="60856480"/>
    <n v="23112343247.416145"/>
    <n v="316415946"/>
    <n v="5569902932"/>
    <n v="73.04417978800646"/>
  </r>
  <r>
    <x v="20"/>
    <x v="2"/>
    <x v="1"/>
    <x v="2"/>
    <n v="48965388"/>
    <n v="32859184582.219048"/>
    <n v="316415946"/>
    <n v="5569902932"/>
    <n v="103.84806770205901"/>
  </r>
  <r>
    <x v="20"/>
    <x v="2"/>
    <x v="1"/>
    <x v="3"/>
    <n v="206461"/>
    <n v="211733275.7829895"/>
    <n v="316415946"/>
    <n v="5569902932"/>
    <n v="0.66916120524150036"/>
  </r>
  <r>
    <x v="20"/>
    <x v="2"/>
    <x v="1"/>
    <x v="4"/>
    <n v="466502"/>
    <n v="242917371.3033281"/>
    <n v="316415946"/>
    <n v="5569902932"/>
    <n v="0.76771532653202024"/>
  </r>
  <r>
    <x v="20"/>
    <x v="2"/>
    <x v="2"/>
    <x v="1"/>
    <n v="108436214"/>
    <n v="351555554813.21222"/>
    <n v="345504643"/>
    <n v="7350168111"/>
    <n v="1017.5132575952451"/>
  </r>
  <r>
    <x v="20"/>
    <x v="2"/>
    <x v="2"/>
    <x v="2"/>
    <n v="100808237"/>
    <n v="60171102123.948883"/>
    <n v="345504643"/>
    <n v="7350168111"/>
    <n v="174.154250436365"/>
  </r>
  <r>
    <x v="20"/>
    <x v="2"/>
    <x v="2"/>
    <x v="0"/>
    <n v="58082283"/>
    <n v="27915727882.59293"/>
    <n v="345504643"/>
    <n v="7350168111"/>
    <n v="80.796968863289422"/>
  </r>
  <r>
    <x v="20"/>
    <x v="2"/>
    <x v="2"/>
    <x v="3"/>
    <n v="325453"/>
    <n v="333669599.61883616"/>
    <n v="345504643"/>
    <n v="7350168111"/>
    <n v="0.96574563143811687"/>
  </r>
  <r>
    <x v="20"/>
    <x v="2"/>
    <x v="2"/>
    <x v="4"/>
    <n v="658737"/>
    <n v="331024593.07215291"/>
    <n v="345504643"/>
    <n v="7350168111"/>
    <n v="0.95809014373260659"/>
  </r>
  <r>
    <x v="20"/>
    <x v="2"/>
    <x v="3"/>
    <x v="2"/>
    <n v="189845640"/>
    <n v="103804638603.74611"/>
    <n v="378758941"/>
    <n v="10472074470"/>
    <n v="274.06518333185988"/>
  </r>
  <r>
    <x v="20"/>
    <x v="2"/>
    <x v="3"/>
    <x v="1"/>
    <n v="151741840"/>
    <n v="485747881733.823"/>
    <n v="378758941"/>
    <n v="10472074470"/>
    <n v="1282.4723832296886"/>
  </r>
  <r>
    <x v="20"/>
    <x v="2"/>
    <x v="3"/>
    <x v="0"/>
    <n v="64556682"/>
    <n v="31556917821.777672"/>
    <n v="378758941"/>
    <n v="10472074470"/>
    <n v="83.316628086616362"/>
  </r>
  <r>
    <x v="20"/>
    <x v="2"/>
    <x v="3"/>
    <x v="3"/>
    <n v="398409"/>
    <n v="418399992.53957713"/>
    <n v="378758941"/>
    <n v="10472074470"/>
    <n v="1.1046603716731194"/>
  </r>
  <r>
    <x v="20"/>
    <x v="2"/>
    <x v="3"/>
    <x v="4"/>
    <n v="1078433"/>
    <n v="627692680.4078207"/>
    <n v="378758941"/>
    <n v="10472074470"/>
    <n v="1.6572352820255158"/>
  </r>
  <r>
    <x v="20"/>
    <x v="3"/>
    <x v="0"/>
    <x v="2"/>
    <n v="253043309"/>
    <n v="129493046208.15726"/>
    <n v="407852907"/>
    <n v="12121741324"/>
    <n v="317.49938270798509"/>
  </r>
  <r>
    <x v="20"/>
    <x v="3"/>
    <x v="0"/>
    <x v="1"/>
    <n v="187021609"/>
    <n v="599213284361.79932"/>
    <n v="407852907"/>
    <n v="12121741324"/>
    <n v="1469.1896859810768"/>
  </r>
  <r>
    <x v="20"/>
    <x v="3"/>
    <x v="0"/>
    <x v="0"/>
    <n v="76389103"/>
    <n v="40057211827.159622"/>
    <n v="407852907"/>
    <n v="12121741324"/>
    <n v="98.214849372545046"/>
  </r>
  <r>
    <x v="20"/>
    <x v="3"/>
    <x v="0"/>
    <x v="3"/>
    <n v="439551"/>
    <n v="492900202.68315214"/>
    <n v="407852907"/>
    <n v="12121741324"/>
    <n v="1.2085244317828343"/>
  </r>
  <r>
    <x v="20"/>
    <x v="3"/>
    <x v="0"/>
    <x v="4"/>
    <n v="966668"/>
    <n v="630909553.45082641"/>
    <n v="407852907"/>
    <n v="12121741324"/>
    <n v="1.5469046379773048"/>
  </r>
  <r>
    <x v="20"/>
    <x v="3"/>
    <x v="1"/>
    <x v="2"/>
    <n v="247194293"/>
    <n v="150864465217.02304"/>
    <n v="436311667"/>
    <n v="13288919512"/>
    <n v="345.77224637227738"/>
  </r>
  <r>
    <x v="20"/>
    <x v="3"/>
    <x v="1"/>
    <x v="1"/>
    <n v="228551961"/>
    <n v="719859665693.5271"/>
    <n v="436311667"/>
    <n v="13288919512"/>
    <n v="1649.8748948043306"/>
  </r>
  <r>
    <x v="20"/>
    <x v="3"/>
    <x v="1"/>
    <x v="0"/>
    <n v="96271138"/>
    <n v="43154405548.445969"/>
    <n v="436311667"/>
    <n v="13288919512"/>
    <n v="98.907292223395828"/>
  </r>
  <r>
    <x v="20"/>
    <x v="3"/>
    <x v="1"/>
    <x v="3"/>
    <n v="504252"/>
    <n v="536780917.03591567"/>
    <n v="436311667"/>
    <n v="13288919512"/>
    <n v="1.2302694556089322"/>
  </r>
  <r>
    <x v="20"/>
    <x v="3"/>
    <x v="1"/>
    <x v="4"/>
    <n v="1094842"/>
    <n v="699738247.66956365"/>
    <n v="436311667"/>
    <n v="13288919512"/>
    <n v="1.6037578194524045"/>
  </r>
  <r>
    <x v="20"/>
    <x v="3"/>
    <x v="2"/>
    <x v="2"/>
    <n v="390051884"/>
    <n v="216701984638.98932"/>
    <n v="468393387"/>
    <n v="17219079372"/>
    <n v="462.64953915540514"/>
  </r>
  <r>
    <x v="20"/>
    <x v="3"/>
    <x v="2"/>
    <x v="1"/>
    <n v="296951706"/>
    <n v="890860873379.55762"/>
    <n v="468393387"/>
    <n v="17219079372"/>
    <n v="1901.9501515284153"/>
  </r>
  <r>
    <x v="20"/>
    <x v="3"/>
    <x v="2"/>
    <x v="0"/>
    <n v="103943973"/>
    <n v="50242023586.056046"/>
    <n v="468393387"/>
    <n v="17219079372"/>
    <n v="107.26458780267973"/>
  </r>
  <r>
    <x v="20"/>
    <x v="3"/>
    <x v="2"/>
    <x v="3"/>
    <n v="448646"/>
    <n v="579098938.65831804"/>
    <n v="468393387"/>
    <n v="17219079372"/>
    <n v="1.2363516538253732"/>
  </r>
  <r>
    <x v="20"/>
    <x v="3"/>
    <x v="2"/>
    <x v="4"/>
    <n v="1477851"/>
    <n v="873324624.18261766"/>
    <n v="468393387"/>
    <n v="17219079372"/>
    <n v="1.8645110038298163"/>
  </r>
  <r>
    <x v="20"/>
    <x v="3"/>
    <x v="3"/>
    <x v="2"/>
    <n v="540351277"/>
    <n v="305512280091.41571"/>
    <n v="500307566"/>
    <n v="22349131728"/>
    <n v="610.64893048492434"/>
  </r>
  <r>
    <x v="20"/>
    <x v="3"/>
    <x v="3"/>
    <x v="1"/>
    <n v="361865450"/>
    <n v="1109862480618.2227"/>
    <n v="500307566"/>
    <n v="22349131728"/>
    <n v="2218.3603767811551"/>
  </r>
  <r>
    <x v="20"/>
    <x v="3"/>
    <x v="3"/>
    <x v="0"/>
    <n v="105990417"/>
    <n v="58087950922.438873"/>
    <n v="500307566"/>
    <n v="22349131728"/>
    <n v="116.10448226249466"/>
  </r>
  <r>
    <x v="20"/>
    <x v="3"/>
    <x v="3"/>
    <x v="3"/>
    <n v="606265"/>
    <n v="707102765.30589283"/>
    <n v="500307566"/>
    <n v="22349131728"/>
    <n v="1.4133361423238857"/>
  </r>
  <r>
    <x v="20"/>
    <x v="3"/>
    <x v="3"/>
    <x v="4"/>
    <n v="1918093"/>
    <n v="1188658731.1175365"/>
    <n v="500307566"/>
    <n v="22349131728"/>
    <n v="2.3758559971838134"/>
  </r>
  <r>
    <x v="21"/>
    <x v="0"/>
    <x v="0"/>
    <x v="0"/>
    <n v="50212"/>
    <n v="6463184.5547116911"/>
    <n v="329175"/>
    <n v="0"/>
    <n v="19.634493976491807"/>
  </r>
  <r>
    <x v="21"/>
    <x v="0"/>
    <x v="0"/>
    <x v="1"/>
    <n v="26382"/>
    <n v="115495173.55796441"/>
    <n v="329175"/>
    <n v="0"/>
    <n v="350.86253074493635"/>
  </r>
  <r>
    <x v="21"/>
    <x v="0"/>
    <x v="0"/>
    <x v="3"/>
    <n v="2660"/>
    <n v="412579.53985461866"/>
    <n v="329175"/>
    <n v="0"/>
    <n v="1.2533744660275496"/>
  </r>
  <r>
    <x v="21"/>
    <x v="0"/>
    <x v="0"/>
    <x v="2"/>
    <n v="1614"/>
    <n v="3616475.6407912206"/>
    <n v="329175"/>
    <n v="0"/>
    <n v="10.98648330156063"/>
  </r>
  <r>
    <x v="21"/>
    <x v="0"/>
    <x v="0"/>
    <x v="4"/>
    <n v="3201"/>
    <n v="2058760.6368871084"/>
    <n v="329175"/>
    <n v="0"/>
    <n v="6.2543043575214048"/>
  </r>
  <r>
    <x v="21"/>
    <x v="0"/>
    <x v="1"/>
    <x v="0"/>
    <n v="77991"/>
    <n v="11541247.784420915"/>
    <n v="506605"/>
    <n v="0"/>
    <n v="22.781551276479536"/>
  </r>
  <r>
    <x v="21"/>
    <x v="0"/>
    <x v="1"/>
    <x v="1"/>
    <n v="60365"/>
    <n v="232157389.7914803"/>
    <n v="506605"/>
    <n v="0"/>
    <n v="458.26114979417952"/>
  </r>
  <r>
    <x v="21"/>
    <x v="0"/>
    <x v="1"/>
    <x v="3"/>
    <n v="5992"/>
    <n v="1241901.2660397931"/>
    <n v="506605"/>
    <n v="0"/>
    <n v="2.4514192833465782"/>
  </r>
  <r>
    <x v="21"/>
    <x v="0"/>
    <x v="1"/>
    <x v="2"/>
    <n v="4041"/>
    <n v="5366759.8277298352"/>
    <n v="506605"/>
    <n v="0"/>
    <n v="10.593578483690123"/>
  </r>
  <r>
    <x v="21"/>
    <x v="0"/>
    <x v="1"/>
    <x v="4"/>
    <n v="3332"/>
    <n v="2902422.6498233806"/>
    <n v="506605"/>
    <n v="0"/>
    <n v="5.7291630556812123"/>
  </r>
  <r>
    <x v="21"/>
    <x v="0"/>
    <x v="2"/>
    <x v="1"/>
    <n v="95204"/>
    <n v="357768750.18458962"/>
    <n v="681285"/>
    <n v="0"/>
    <n v="525.13815831053023"/>
  </r>
  <r>
    <x v="21"/>
    <x v="0"/>
    <x v="2"/>
    <x v="0"/>
    <n v="81323"/>
    <n v="13912990.484925149"/>
    <n v="681285"/>
    <n v="0"/>
    <n v="20.421689138796758"/>
  </r>
  <r>
    <x v="21"/>
    <x v="0"/>
    <x v="2"/>
    <x v="2"/>
    <n v="7396"/>
    <n v="9180953.9773583338"/>
    <n v="681285"/>
    <n v="0"/>
    <n v="13.475937349799766"/>
  </r>
  <r>
    <x v="21"/>
    <x v="0"/>
    <x v="2"/>
    <x v="3"/>
    <n v="2577"/>
    <n v="333081.63683149999"/>
    <n v="681285"/>
    <n v="0"/>
    <n v="0.48890205542687715"/>
  </r>
  <r>
    <x v="21"/>
    <x v="0"/>
    <x v="2"/>
    <x v="4"/>
    <n v="2758"/>
    <n v="2135468.5104177971"/>
    <n v="681285"/>
    <n v="0"/>
    <n v="3.1344716387676188"/>
  </r>
  <r>
    <x v="21"/>
    <x v="0"/>
    <x v="3"/>
    <x v="0"/>
    <n v="113507"/>
    <n v="18898063.282383174"/>
    <n v="908479"/>
    <n v="0"/>
    <n v="20.80187135022733"/>
  </r>
  <r>
    <x v="21"/>
    <x v="0"/>
    <x v="3"/>
    <x v="1"/>
    <n v="104872"/>
    <n v="562009595.96018887"/>
    <n v="908479"/>
    <n v="0"/>
    <n v="618.62695335851333"/>
  </r>
  <r>
    <x v="21"/>
    <x v="0"/>
    <x v="3"/>
    <x v="2"/>
    <n v="13333"/>
    <n v="20685433.284307171"/>
    <n v="908479"/>
    <n v="0"/>
    <n v="22.76930263033837"/>
  </r>
  <r>
    <x v="21"/>
    <x v="0"/>
    <x v="3"/>
    <x v="3"/>
    <n v="1452"/>
    <n v="307325.24377239507"/>
    <n v="908479"/>
    <n v="0"/>
    <n v="0.33828546809821147"/>
  </r>
  <r>
    <x v="21"/>
    <x v="0"/>
    <x v="3"/>
    <x v="4"/>
    <n v="2946"/>
    <n v="3783141.5353601985"/>
    <n v="908479"/>
    <n v="0"/>
    <n v="4.1642586513944719"/>
  </r>
  <r>
    <x v="21"/>
    <x v="1"/>
    <x v="0"/>
    <x v="1"/>
    <n v="127067"/>
    <n v="619919870.74553514"/>
    <n v="1094797"/>
    <n v="0"/>
    <n v="566.24184277590746"/>
  </r>
  <r>
    <x v="21"/>
    <x v="1"/>
    <x v="0"/>
    <x v="0"/>
    <n v="120000"/>
    <n v="22106830.369149238"/>
    <n v="1094797"/>
    <n v="0"/>
    <n v="20.192629655679763"/>
  </r>
  <r>
    <x v="21"/>
    <x v="1"/>
    <x v="0"/>
    <x v="2"/>
    <n v="15190"/>
    <n v="14580183.380707521"/>
    <n v="1094797"/>
    <n v="0"/>
    <n v="13.317704908496754"/>
  </r>
  <r>
    <x v="21"/>
    <x v="1"/>
    <x v="0"/>
    <x v="3"/>
    <n v="800"/>
    <n v="174777.17283837448"/>
    <n v="1094797"/>
    <n v="0"/>
    <n v="0.15964345247417966"/>
  </r>
  <r>
    <x v="21"/>
    <x v="1"/>
    <x v="0"/>
    <x v="4"/>
    <n v="2352"/>
    <n v="3116398.7558489172"/>
    <n v="1094797"/>
    <n v="0"/>
    <n v="2.846553978362123"/>
  </r>
  <r>
    <x v="21"/>
    <x v="1"/>
    <x v="1"/>
    <x v="1"/>
    <n v="120153"/>
    <n v="679785849.13986826"/>
    <n v="1295217"/>
    <n v="5113119"/>
    <n v="524.84321093675294"/>
  </r>
  <r>
    <x v="21"/>
    <x v="1"/>
    <x v="1"/>
    <x v="0"/>
    <n v="116500"/>
    <n v="23573234.273060285"/>
    <n v="1295217"/>
    <n v="5113119"/>
    <n v="18.200219942341928"/>
  </r>
  <r>
    <x v="21"/>
    <x v="1"/>
    <x v="1"/>
    <x v="2"/>
    <n v="18044"/>
    <n v="15996651.145700552"/>
    <n v="1295217"/>
    <n v="5113119"/>
    <n v="12.35055681457281"/>
  </r>
  <r>
    <x v="21"/>
    <x v="1"/>
    <x v="1"/>
    <x v="3"/>
    <n v="387"/>
    <n v="91955.015382598343"/>
    <n v="1295217"/>
    <n v="5113119"/>
    <n v="7.0995837286414815E-2"/>
  </r>
  <r>
    <x v="21"/>
    <x v="1"/>
    <x v="1"/>
    <x v="4"/>
    <n v="2341"/>
    <n v="3342252.5754885403"/>
    <n v="1295217"/>
    <n v="5113119"/>
    <n v="2.5804576186758976"/>
  </r>
  <r>
    <x v="21"/>
    <x v="1"/>
    <x v="2"/>
    <x v="0"/>
    <n v="180057"/>
    <n v="36634657.049143404"/>
    <n v="1499476"/>
    <n v="17536255"/>
    <n v="24.4316394854892"/>
  </r>
  <r>
    <x v="21"/>
    <x v="1"/>
    <x v="2"/>
    <x v="1"/>
    <n v="144965"/>
    <n v="803335616.63251925"/>
    <n v="1499476"/>
    <n v="17536255"/>
    <n v="535.74423107306768"/>
  </r>
  <r>
    <x v="21"/>
    <x v="1"/>
    <x v="2"/>
    <x v="2"/>
    <n v="17683"/>
    <n v="20490224.443041254"/>
    <n v="1499476"/>
    <n v="17536255"/>
    <n v="13.664923241879999"/>
  </r>
  <r>
    <x v="21"/>
    <x v="1"/>
    <x v="2"/>
    <x v="3"/>
    <n v="358"/>
    <n v="367865.78846626211"/>
    <n v="1499476"/>
    <n v="17536255"/>
    <n v="0.24532956077073731"/>
  </r>
  <r>
    <x v="21"/>
    <x v="1"/>
    <x v="2"/>
    <x v="4"/>
    <n v="1945"/>
    <n v="2723638.6497642621"/>
    <n v="1499476"/>
    <n v="17536255"/>
    <n v="1.816393626683096"/>
  </r>
  <r>
    <x v="21"/>
    <x v="1"/>
    <x v="3"/>
    <x v="0"/>
    <n v="212136"/>
    <n v="44202546.573960811"/>
    <n v="1708938"/>
    <n v="20410368"/>
    <n v="25.865506281656099"/>
  </r>
  <r>
    <x v="21"/>
    <x v="1"/>
    <x v="3"/>
    <x v="1"/>
    <n v="211927"/>
    <n v="1123258478.4450691"/>
    <n v="1708938"/>
    <n v="20410368"/>
    <n v="657.28451145978909"/>
  </r>
  <r>
    <x v="21"/>
    <x v="1"/>
    <x v="3"/>
    <x v="2"/>
    <n v="23094"/>
    <n v="30486780.446382143"/>
    <n v="1708938"/>
    <n v="20410368"/>
    <n v="17.839605911029039"/>
  </r>
  <r>
    <x v="21"/>
    <x v="1"/>
    <x v="3"/>
    <x v="3"/>
    <n v="548"/>
    <n v="240641.76576834809"/>
    <n v="1708938"/>
    <n v="20410368"/>
    <n v="0.14081363148829745"/>
  </r>
  <r>
    <x v="21"/>
    <x v="1"/>
    <x v="3"/>
    <x v="4"/>
    <n v="1639"/>
    <n v="2709234.8574561328"/>
    <n v="1708938"/>
    <n v="20410368"/>
    <n v="1.5853324447441235"/>
  </r>
  <r>
    <x v="21"/>
    <x v="2"/>
    <x v="0"/>
    <x v="1"/>
    <n v="451733"/>
    <n v="2458093401.7404671"/>
    <n v="1951114"/>
    <n v="23932062"/>
    <n v="1259.8409942937558"/>
  </r>
  <r>
    <x v="21"/>
    <x v="2"/>
    <x v="0"/>
    <x v="0"/>
    <n v="285234"/>
    <n v="62688260.379548095"/>
    <n v="1951114"/>
    <n v="23932062"/>
    <n v="32.129470845654375"/>
  </r>
  <r>
    <x v="21"/>
    <x v="2"/>
    <x v="0"/>
    <x v="2"/>
    <n v="78067"/>
    <n v="74202067.066482604"/>
    <n v="1951114"/>
    <n v="23932062"/>
    <n v="38.030615877125889"/>
  </r>
  <r>
    <x v="21"/>
    <x v="2"/>
    <x v="0"/>
    <x v="3"/>
    <n v="622"/>
    <n v="354184.4660589617"/>
    <n v="1951114"/>
    <n v="23932062"/>
    <n v="0.18152935505509246"/>
  </r>
  <r>
    <x v="21"/>
    <x v="2"/>
    <x v="0"/>
    <x v="4"/>
    <n v="3145"/>
    <n v="3252467.2243867153"/>
    <n v="1951114"/>
    <n v="23932062"/>
    <n v="1.6669795944197598"/>
  </r>
  <r>
    <x v="21"/>
    <x v="2"/>
    <x v="1"/>
    <x v="1"/>
    <n v="533206"/>
    <n v="2980242535.0754428"/>
    <n v="2370456"/>
    <n v="33126401"/>
    <n v="1257.244401530947"/>
  </r>
  <r>
    <x v="21"/>
    <x v="2"/>
    <x v="1"/>
    <x v="0"/>
    <n v="450830"/>
    <n v="107589094.29890464"/>
    <n v="2370456"/>
    <n v="33126401"/>
    <n v="45.387509533568497"/>
  </r>
  <r>
    <x v="21"/>
    <x v="2"/>
    <x v="1"/>
    <x v="2"/>
    <n v="92110"/>
    <n v="106540409.29886684"/>
    <n v="2370456"/>
    <n v="33126401"/>
    <n v="44.945111530805399"/>
  </r>
  <r>
    <x v="21"/>
    <x v="2"/>
    <x v="1"/>
    <x v="3"/>
    <n v="1676"/>
    <n v="1457570.8004862315"/>
    <n v="2370456"/>
    <n v="33126401"/>
    <n v="0.61489046853695295"/>
  </r>
  <r>
    <x v="21"/>
    <x v="2"/>
    <x v="1"/>
    <x v="4"/>
    <n v="5246"/>
    <n v="3106603.3318103859"/>
    <n v="2370456"/>
    <n v="33126401"/>
    <n v="1.3105509369549091"/>
  </r>
  <r>
    <x v="21"/>
    <x v="2"/>
    <x v="2"/>
    <x v="1"/>
    <n v="774786"/>
    <n v="4301284799.3312922"/>
    <n v="2844193"/>
    <n v="39076125"/>
    <n v="1512.3041225863687"/>
  </r>
  <r>
    <x v="21"/>
    <x v="2"/>
    <x v="2"/>
    <x v="0"/>
    <n v="464659"/>
    <n v="113190539.14969069"/>
    <n v="2844193"/>
    <n v="39076125"/>
    <n v="39.797066918345799"/>
  </r>
  <r>
    <x v="21"/>
    <x v="2"/>
    <x v="2"/>
    <x v="2"/>
    <n v="170653"/>
    <n v="195132026.6311202"/>
    <n v="2844193"/>
    <n v="39076125"/>
    <n v="68.607167878944992"/>
  </r>
  <r>
    <x v="21"/>
    <x v="2"/>
    <x v="2"/>
    <x v="3"/>
    <n v="1878"/>
    <n v="1593035.9440662281"/>
    <n v="2844193"/>
    <n v="39076125"/>
    <n v="0.56010121115769151"/>
  </r>
  <r>
    <x v="21"/>
    <x v="2"/>
    <x v="2"/>
    <x v="4"/>
    <n v="8192"/>
    <n v="4775719.8143366445"/>
    <n v="2844193"/>
    <n v="39076125"/>
    <n v="1.6791124281427612"/>
  </r>
  <r>
    <x v="21"/>
    <x v="2"/>
    <x v="3"/>
    <x v="1"/>
    <n v="892853"/>
    <n v="5172499337.5304375"/>
    <n v="3176492"/>
    <n v="41617752"/>
    <n v="1628.3684446648811"/>
  </r>
  <r>
    <x v="21"/>
    <x v="2"/>
    <x v="3"/>
    <x v="0"/>
    <n v="436450"/>
    <n v="114202616.34869762"/>
    <n v="3176492"/>
    <n v="41617752"/>
    <n v="35.952433171151576"/>
  </r>
  <r>
    <x v="21"/>
    <x v="2"/>
    <x v="3"/>
    <x v="2"/>
    <n v="289050"/>
    <n v="307902115.38207734"/>
    <n v="3176492"/>
    <n v="41617752"/>
    <n v="96.931494045027449"/>
  </r>
  <r>
    <x v="21"/>
    <x v="2"/>
    <x v="3"/>
    <x v="3"/>
    <n v="1806"/>
    <n v="2448402.9142817147"/>
    <n v="3176492"/>
    <n v="41617752"/>
    <n v="0.77078831436745776"/>
  </r>
  <r>
    <x v="21"/>
    <x v="2"/>
    <x v="3"/>
    <x v="4"/>
    <n v="7693"/>
    <n v="5172086.2832605438"/>
    <n v="3176492"/>
    <n v="41617752"/>
    <n v="1.6282384099379263"/>
  </r>
  <r>
    <x v="21"/>
    <x v="3"/>
    <x v="0"/>
    <x v="1"/>
    <n v="1117829"/>
    <n v="6402367883.6674232"/>
    <n v="3439348"/>
    <n v="40801497"/>
    <n v="1861.5062749298481"/>
  </r>
  <r>
    <x v="21"/>
    <x v="3"/>
    <x v="0"/>
    <x v="0"/>
    <n v="796590"/>
    <n v="223955812.58644393"/>
    <n v="3439348"/>
    <n v="40801497"/>
    <n v="65.115775602365318"/>
  </r>
  <r>
    <x v="21"/>
    <x v="3"/>
    <x v="0"/>
    <x v="2"/>
    <n v="377280"/>
    <n v="433297594.13521522"/>
    <n v="3439348"/>
    <n v="40801497"/>
    <n v="125.98248102117472"/>
  </r>
  <r>
    <x v="21"/>
    <x v="3"/>
    <x v="0"/>
    <x v="3"/>
    <n v="3398"/>
    <n v="4385333.1754908115"/>
    <n v="3439348"/>
    <n v="40801497"/>
    <n v="1.2750478217065593"/>
  </r>
  <r>
    <x v="21"/>
    <x v="3"/>
    <x v="0"/>
    <x v="4"/>
    <n v="8438"/>
    <n v="6280890.9146698257"/>
    <n v="3439348"/>
    <n v="40801497"/>
    <n v="1.826186508218949"/>
  </r>
  <r>
    <x v="21"/>
    <x v="3"/>
    <x v="1"/>
    <x v="1"/>
    <n v="1372821"/>
    <n v="7041837917.7851868"/>
    <n v="3689499"/>
    <n v="79959022"/>
    <n v="1908.616296625961"/>
  </r>
  <r>
    <x v="21"/>
    <x v="3"/>
    <x v="1"/>
    <x v="0"/>
    <n v="1187952"/>
    <n v="305103750.5728581"/>
    <n v="3689499"/>
    <n v="79959022"/>
    <n v="82.695170963010995"/>
  </r>
  <r>
    <x v="21"/>
    <x v="3"/>
    <x v="1"/>
    <x v="2"/>
    <n v="510734"/>
    <n v="531484849.49141687"/>
    <n v="3689499"/>
    <n v="79959022"/>
    <n v="144.05339301932779"/>
  </r>
  <r>
    <x v="21"/>
    <x v="3"/>
    <x v="1"/>
    <x v="3"/>
    <n v="4165"/>
    <n v="4256098.2322371826"/>
    <n v="3689499"/>
    <n v="79959022"/>
    <n v="1.1535707781021711"/>
  </r>
  <r>
    <x v="21"/>
    <x v="3"/>
    <x v="1"/>
    <x v="4"/>
    <n v="10603"/>
    <n v="7145346.3149420116"/>
    <n v="3689499"/>
    <n v="79959022"/>
    <n v="1.9366711618412178"/>
  </r>
  <r>
    <x v="21"/>
    <x v="3"/>
    <x v="2"/>
    <x v="1"/>
    <n v="1819423"/>
    <n v="9134806594.5281906"/>
    <n v="3979239"/>
    <n v="107181492"/>
    <n v="2295.6164720259803"/>
  </r>
  <r>
    <x v="21"/>
    <x v="3"/>
    <x v="2"/>
    <x v="0"/>
    <n v="1368584"/>
    <n v="367664440.53237265"/>
    <n v="3979239"/>
    <n v="107181492"/>
    <n v="92.395666742402923"/>
  </r>
  <r>
    <x v="21"/>
    <x v="3"/>
    <x v="2"/>
    <x v="2"/>
    <n v="735707"/>
    <n v="889317377.08652604"/>
    <n v="3979239"/>
    <n v="107181492"/>
    <n v="223.48930966110004"/>
  </r>
  <r>
    <x v="21"/>
    <x v="3"/>
    <x v="2"/>
    <x v="3"/>
    <n v="3460"/>
    <n v="5625517.9754616488"/>
    <n v="3979239"/>
    <n v="107181492"/>
    <n v="1.4137170387256581"/>
  </r>
  <r>
    <x v="21"/>
    <x v="3"/>
    <x v="2"/>
    <x v="4"/>
    <n v="14222"/>
    <n v="9447098.7823033892"/>
    <n v="3979239"/>
    <n v="107181492"/>
    <n v="2.3740968517606982"/>
  </r>
  <r>
    <x v="21"/>
    <x v="3"/>
    <x v="3"/>
    <x v="1"/>
    <n v="2199970"/>
    <n v="10998828287.529043"/>
    <n v="4265206"/>
    <n v="83636234"/>
    <n v="2578.7331930811883"/>
  </r>
  <r>
    <x v="21"/>
    <x v="3"/>
    <x v="3"/>
    <x v="0"/>
    <n v="1451488"/>
    <n v="412791673.80376643"/>
    <n v="4265206"/>
    <n v="83636234"/>
    <n v="96.781180980183947"/>
  </r>
  <r>
    <x v="21"/>
    <x v="3"/>
    <x v="3"/>
    <x v="2"/>
    <n v="1013985"/>
    <n v="1229517397.4561875"/>
    <n v="4265206"/>
    <n v="83636234"/>
    <n v="288.26682637513579"/>
  </r>
  <r>
    <x v="21"/>
    <x v="3"/>
    <x v="3"/>
    <x v="3"/>
    <n v="4671"/>
    <n v="5941100.580610943"/>
    <n v="4265206"/>
    <n v="83636234"/>
    <n v="1.3929223068266674"/>
  </r>
  <r>
    <x v="21"/>
    <x v="3"/>
    <x v="3"/>
    <x v="4"/>
    <n v="17325"/>
    <n v="11393578.842227157"/>
    <n v="4265206"/>
    <n v="83636234"/>
    <n v="2.67128453871329"/>
  </r>
  <r>
    <x v="22"/>
    <x v="0"/>
    <x v="0"/>
    <x v="0"/>
    <n v="31857"/>
    <n v="6028476.1490903562"/>
    <n v="203643"/>
    <n v="0"/>
    <n v="29.603159200612623"/>
  </r>
  <r>
    <x v="22"/>
    <x v="0"/>
    <x v="0"/>
    <x v="1"/>
    <n v="13274"/>
    <n v="55943496.515886314"/>
    <n v="203643"/>
    <n v="0"/>
    <n v="274.71357481419108"/>
  </r>
  <r>
    <x v="22"/>
    <x v="0"/>
    <x v="0"/>
    <x v="2"/>
    <n v="1605"/>
    <n v="2395888.4397623385"/>
    <n v="203643"/>
    <n v="0"/>
    <n v="11.765140170604138"/>
  </r>
  <r>
    <x v="22"/>
    <x v="0"/>
    <x v="0"/>
    <x v="3"/>
    <n v="532"/>
    <n v="144318.25455711511"/>
    <n v="203643"/>
    <n v="0"/>
    <n v="0.70868261888262851"/>
  </r>
  <r>
    <x v="22"/>
    <x v="0"/>
    <x v="0"/>
    <x v="4"/>
    <n v="2303"/>
    <n v="1738080.4306043901"/>
    <n v="203643"/>
    <n v="0"/>
    <n v="8.5349382527481428"/>
  </r>
  <r>
    <x v="22"/>
    <x v="0"/>
    <x v="1"/>
    <x v="0"/>
    <n v="42625"/>
    <n v="9657896.164724296"/>
    <n v="292798"/>
    <n v="0"/>
    <n v="32.984843355228847"/>
  </r>
  <r>
    <x v="22"/>
    <x v="0"/>
    <x v="1"/>
    <x v="1"/>
    <n v="19894"/>
    <n v="101140464.66239843"/>
    <n v="292798"/>
    <n v="0"/>
    <n v="345.42744370657732"/>
  </r>
  <r>
    <x v="22"/>
    <x v="0"/>
    <x v="1"/>
    <x v="2"/>
    <n v="2929"/>
    <n v="3663446.4362201309"/>
    <n v="292798"/>
    <n v="0"/>
    <n v="12.511856079003719"/>
  </r>
  <r>
    <x v="22"/>
    <x v="0"/>
    <x v="1"/>
    <x v="3"/>
    <n v="592"/>
    <n v="580648.34341321059"/>
    <n v="292798"/>
    <n v="0"/>
    <n v="1.9831021503330302"/>
  </r>
  <r>
    <x v="22"/>
    <x v="0"/>
    <x v="1"/>
    <x v="4"/>
    <n v="1817"/>
    <n v="1962212.2350756058"/>
    <n v="292798"/>
    <n v="0"/>
    <n v="6.7015902945908294"/>
  </r>
  <r>
    <x v="22"/>
    <x v="0"/>
    <x v="2"/>
    <x v="0"/>
    <n v="60625"/>
    <n v="14231601.453371253"/>
    <n v="410091"/>
    <n v="0"/>
    <n v="34.703520568291559"/>
  </r>
  <r>
    <x v="22"/>
    <x v="0"/>
    <x v="2"/>
    <x v="1"/>
    <n v="40832"/>
    <n v="187460582.05754715"/>
    <n v="410091"/>
    <n v="0"/>
    <n v="457.11947362304255"/>
  </r>
  <r>
    <x v="22"/>
    <x v="0"/>
    <x v="2"/>
    <x v="2"/>
    <n v="5802"/>
    <n v="5458930.6893795719"/>
    <n v="410091"/>
    <n v="0"/>
    <n v="13.311510590038727"/>
  </r>
  <r>
    <x v="22"/>
    <x v="0"/>
    <x v="2"/>
    <x v="3"/>
    <n v="748"/>
    <n v="552674.57833598764"/>
    <n v="410091"/>
    <n v="0"/>
    <n v="1.3476876555105761"/>
  </r>
  <r>
    <x v="22"/>
    <x v="0"/>
    <x v="2"/>
    <x v="4"/>
    <n v="2283"/>
    <n v="2149872.7557602348"/>
    <n v="410091"/>
    <n v="0"/>
    <n v="5.2424285238160184"/>
  </r>
  <r>
    <x v="22"/>
    <x v="0"/>
    <x v="3"/>
    <x v="0"/>
    <n v="82962"/>
    <n v="18100891.637344178"/>
    <n v="545974"/>
    <n v="0"/>
    <n v="33.153394918703412"/>
  </r>
  <r>
    <x v="22"/>
    <x v="0"/>
    <x v="3"/>
    <x v="1"/>
    <n v="58952"/>
    <n v="301941442.7059927"/>
    <n v="545974"/>
    <n v="0"/>
    <n v="553.03264020996005"/>
  </r>
  <r>
    <x v="22"/>
    <x v="0"/>
    <x v="3"/>
    <x v="2"/>
    <n v="15768"/>
    <n v="14434314.193342488"/>
    <n v="545974"/>
    <n v="0"/>
    <n v="26.43773182119018"/>
  </r>
  <r>
    <x v="22"/>
    <x v="0"/>
    <x v="3"/>
    <x v="3"/>
    <n v="763"/>
    <n v="190875.18848979956"/>
    <n v="545974"/>
    <n v="0"/>
    <n v="0.34960490515995185"/>
  </r>
  <r>
    <x v="22"/>
    <x v="0"/>
    <x v="3"/>
    <x v="4"/>
    <n v="2687"/>
    <n v="2918155.2795046642"/>
    <n v="545974"/>
    <n v="0"/>
    <n v="5.3448612562222086"/>
  </r>
  <r>
    <x v="22"/>
    <x v="1"/>
    <x v="0"/>
    <x v="0"/>
    <n v="98817"/>
    <n v="23006751.795504905"/>
    <n v="676357"/>
    <n v="0"/>
    <n v="34.015692593563614"/>
  </r>
  <r>
    <x v="22"/>
    <x v="1"/>
    <x v="0"/>
    <x v="1"/>
    <n v="90694"/>
    <n v="358932132.10468978"/>
    <n v="676357"/>
    <n v="0"/>
    <n v="530.68443455850945"/>
  </r>
  <r>
    <x v="22"/>
    <x v="1"/>
    <x v="0"/>
    <x v="2"/>
    <n v="16073"/>
    <n v="14297275.230527855"/>
    <n v="676357"/>
    <n v="0"/>
    <n v="21.138651970080677"/>
  </r>
  <r>
    <x v="22"/>
    <x v="1"/>
    <x v="0"/>
    <x v="3"/>
    <n v="659"/>
    <n v="62335.064750311045"/>
    <n v="676357"/>
    <n v="0"/>
    <n v="9.2162962385709091E-2"/>
  </r>
  <r>
    <x v="22"/>
    <x v="1"/>
    <x v="0"/>
    <x v="4"/>
    <n v="2498"/>
    <n v="2738667.9579621488"/>
    <n v="676357"/>
    <n v="0"/>
    <n v="4.0491455813455746"/>
  </r>
  <r>
    <x v="22"/>
    <x v="1"/>
    <x v="1"/>
    <x v="0"/>
    <n v="108812"/>
    <n v="27248605.429233357"/>
    <n v="822206"/>
    <n v="4353404"/>
    <n v="33.140849652317492"/>
  </r>
  <r>
    <x v="22"/>
    <x v="1"/>
    <x v="1"/>
    <x v="1"/>
    <n v="97407"/>
    <n v="446537199.17356837"/>
    <n v="822206"/>
    <n v="4353404"/>
    <n v="543.09649792578546"/>
  </r>
  <r>
    <x v="22"/>
    <x v="1"/>
    <x v="1"/>
    <x v="2"/>
    <n v="22588"/>
    <n v="15600927.006629137"/>
    <n v="822206"/>
    <n v="4353404"/>
    <n v="18.974474774726939"/>
  </r>
  <r>
    <x v="22"/>
    <x v="1"/>
    <x v="1"/>
    <x v="3"/>
    <n v="460"/>
    <n v="106800.75308155928"/>
    <n v="822206"/>
    <n v="4353404"/>
    <n v="0.12989537060245154"/>
  </r>
  <r>
    <x v="22"/>
    <x v="1"/>
    <x v="1"/>
    <x v="4"/>
    <n v="3019"/>
    <n v="3437756.744766518"/>
    <n v="822206"/>
    <n v="4353404"/>
    <n v="4.1811379931142776"/>
  </r>
  <r>
    <x v="22"/>
    <x v="1"/>
    <x v="2"/>
    <x v="0"/>
    <n v="155949"/>
    <n v="38916251.421657138"/>
    <n v="961345"/>
    <n v="15265954"/>
    <n v="40.481046265031949"/>
  </r>
  <r>
    <x v="22"/>
    <x v="1"/>
    <x v="2"/>
    <x v="1"/>
    <n v="116168"/>
    <n v="546221812.68893147"/>
    <n v="961345"/>
    <n v="15265954"/>
    <n v="568.18500401929737"/>
  </r>
  <r>
    <x v="22"/>
    <x v="1"/>
    <x v="2"/>
    <x v="2"/>
    <n v="31201"/>
    <n v="23461321.889810227"/>
    <n v="961345"/>
    <n v="15265954"/>
    <n v="24.404684988022225"/>
  </r>
  <r>
    <x v="22"/>
    <x v="1"/>
    <x v="2"/>
    <x v="3"/>
    <n v="421"/>
    <n v="584192.94881087739"/>
    <n v="961345"/>
    <n v="15265954"/>
    <n v="0.60768293256934547"/>
  </r>
  <r>
    <x v="22"/>
    <x v="1"/>
    <x v="2"/>
    <x v="4"/>
    <n v="2811"/>
    <n v="3035023.2043234711"/>
    <n v="961345"/>
    <n v="15265954"/>
    <n v="3.1570593328341761"/>
  </r>
  <r>
    <x v="22"/>
    <x v="1"/>
    <x v="3"/>
    <x v="0"/>
    <n v="175084"/>
    <n v="43611775.02621875"/>
    <n v="1100330"/>
    <n v="16395962"/>
    <n v="39.635177652357704"/>
  </r>
  <r>
    <x v="22"/>
    <x v="1"/>
    <x v="3"/>
    <x v="1"/>
    <n v="163734"/>
    <n v="670870023.42976964"/>
    <n v="1100330"/>
    <n v="16395962"/>
    <n v="609.69892980266798"/>
  </r>
  <r>
    <x v="22"/>
    <x v="1"/>
    <x v="3"/>
    <x v="2"/>
    <n v="24430"/>
    <n v="25344714.505578939"/>
    <n v="1100330"/>
    <n v="16395962"/>
    <n v="23.0337394286977"/>
  </r>
  <r>
    <x v="22"/>
    <x v="1"/>
    <x v="3"/>
    <x v="3"/>
    <n v="382"/>
    <n v="124511.63613216748"/>
    <n v="1100330"/>
    <n v="16395962"/>
    <n v="0.11315844894910389"/>
  </r>
  <r>
    <x v="22"/>
    <x v="1"/>
    <x v="3"/>
    <x v="4"/>
    <n v="2351"/>
    <n v="2485447.1925193951"/>
    <n v="1100330"/>
    <n v="16395962"/>
    <n v="2.2588198018043633"/>
  </r>
  <r>
    <x v="22"/>
    <x v="2"/>
    <x v="0"/>
    <x v="0"/>
    <n v="226214"/>
    <n v="59666071.215307929"/>
    <n v="1251954"/>
    <n v="18878321"/>
    <n v="47.658357427915028"/>
  </r>
  <r>
    <x v="22"/>
    <x v="2"/>
    <x v="0"/>
    <x v="1"/>
    <n v="216022"/>
    <n v="1013733312.3935763"/>
    <n v="1251954"/>
    <n v="18878321"/>
    <n v="809.72089421302724"/>
  </r>
  <r>
    <x v="22"/>
    <x v="2"/>
    <x v="0"/>
    <x v="2"/>
    <n v="57245"/>
    <n v="44125206.347559452"/>
    <n v="1251954"/>
    <n v="18878321"/>
    <n v="35.245069984647557"/>
  </r>
  <r>
    <x v="22"/>
    <x v="2"/>
    <x v="0"/>
    <x v="3"/>
    <n v="473"/>
    <n v="402779.89033132966"/>
    <n v="1251954"/>
    <n v="18878321"/>
    <n v="0.32172099800098858"/>
  </r>
  <r>
    <x v="22"/>
    <x v="2"/>
    <x v="0"/>
    <x v="4"/>
    <n v="2329"/>
    <n v="2207471.0610390808"/>
    <n v="1251954"/>
    <n v="18878321"/>
    <n v="1.7632205824168308"/>
  </r>
  <r>
    <x v="22"/>
    <x v="2"/>
    <x v="1"/>
    <x v="0"/>
    <n v="382662"/>
    <n v="100570200.25271696"/>
    <n v="1498321"/>
    <n v="24257783"/>
    <n v="67.121931984345778"/>
  </r>
  <r>
    <x v="22"/>
    <x v="2"/>
    <x v="1"/>
    <x v="1"/>
    <n v="202270"/>
    <n v="998750895.91115928"/>
    <n v="1498321"/>
    <n v="24257783"/>
    <n v="666.58005588332492"/>
  </r>
  <r>
    <x v="22"/>
    <x v="2"/>
    <x v="1"/>
    <x v="2"/>
    <n v="46014"/>
    <n v="48980521.415951177"/>
    <n v="1498321"/>
    <n v="24257783"/>
    <n v="32.690272255378638"/>
  </r>
  <r>
    <x v="22"/>
    <x v="2"/>
    <x v="1"/>
    <x v="3"/>
    <n v="1186"/>
    <n v="2944583.1147373449"/>
    <n v="1498321"/>
    <n v="24257783"/>
    <n v="1.9652551854624909"/>
  </r>
  <r>
    <x v="22"/>
    <x v="2"/>
    <x v="1"/>
    <x v="4"/>
    <n v="3263"/>
    <n v="2488953.643832149"/>
    <n v="1498321"/>
    <n v="24257783"/>
    <n v="1.661161823022002"/>
  </r>
  <r>
    <x v="22"/>
    <x v="2"/>
    <x v="2"/>
    <x v="0"/>
    <n v="342484"/>
    <n v="97662913.134086743"/>
    <n v="1735151"/>
    <n v="26229874"/>
    <n v="56.284964901663741"/>
  </r>
  <r>
    <x v="22"/>
    <x v="2"/>
    <x v="2"/>
    <x v="1"/>
    <n v="194448"/>
    <n v="1065012681.7126106"/>
    <n v="1735151"/>
    <n v="26229874"/>
    <n v="613.78674346648256"/>
  </r>
  <r>
    <x v="22"/>
    <x v="2"/>
    <x v="2"/>
    <x v="2"/>
    <n v="55595"/>
    <n v="67511647.134948701"/>
    <n v="1735151"/>
    <n v="26229874"/>
    <n v="38.908225932468532"/>
  </r>
  <r>
    <x v="22"/>
    <x v="2"/>
    <x v="2"/>
    <x v="3"/>
    <n v="1587"/>
    <n v="4049966.8133478058"/>
    <n v="1735151"/>
    <n v="26229874"/>
    <n v="2.3340716821462832"/>
  </r>
  <r>
    <x v="22"/>
    <x v="2"/>
    <x v="2"/>
    <x v="4"/>
    <n v="3465"/>
    <n v="2821792.5880408054"/>
    <n v="1735151"/>
    <n v="26229874"/>
    <n v="1.6262518870350795"/>
  </r>
  <r>
    <x v="22"/>
    <x v="2"/>
    <x v="3"/>
    <x v="0"/>
    <n v="350006"/>
    <n v="102794647.7641504"/>
    <n v="1940917"/>
    <n v="30205087"/>
    <n v="52.961897785505712"/>
  </r>
  <r>
    <x v="22"/>
    <x v="2"/>
    <x v="3"/>
    <x v="1"/>
    <n v="286252"/>
    <n v="1579858348.0670543"/>
    <n v="1940917"/>
    <n v="30205087"/>
    <n v="813.97522308633199"/>
  </r>
  <r>
    <x v="22"/>
    <x v="2"/>
    <x v="3"/>
    <x v="2"/>
    <n v="111471"/>
    <n v="115136797.58942303"/>
    <n v="1940917"/>
    <n v="30205087"/>
    <n v="59.320824944818881"/>
  </r>
  <r>
    <x v="22"/>
    <x v="2"/>
    <x v="3"/>
    <x v="3"/>
    <n v="1809"/>
    <n v="2774557.1120706168"/>
    <n v="1940917"/>
    <n v="30205087"/>
    <n v="1.42950837777742"/>
  </r>
  <r>
    <x v="22"/>
    <x v="2"/>
    <x v="3"/>
    <x v="4"/>
    <n v="4470"/>
    <n v="3678221.6662721671"/>
    <n v="1940917"/>
    <n v="30205087"/>
    <n v="1.8950947754448888"/>
  </r>
  <r>
    <x v="22"/>
    <x v="3"/>
    <x v="0"/>
    <x v="1"/>
    <n v="326993"/>
    <n v="1794745857.3188953"/>
    <n v="2099559"/>
    <n v="32329286"/>
    <n v="854.82039672088058"/>
  </r>
  <r>
    <x v="22"/>
    <x v="3"/>
    <x v="0"/>
    <x v="0"/>
    <n v="306634"/>
    <n v="106098525.65614726"/>
    <n v="2099559"/>
    <n v="32329286"/>
    <n v="50.533719536410864"/>
  </r>
  <r>
    <x v="22"/>
    <x v="3"/>
    <x v="0"/>
    <x v="2"/>
    <n v="108805"/>
    <n v="147747773.01896822"/>
    <n v="2099559"/>
    <n v="32329286"/>
    <n v="70.3708602706417"/>
  </r>
  <r>
    <x v="22"/>
    <x v="3"/>
    <x v="0"/>
    <x v="3"/>
    <n v="1777"/>
    <n v="3981898.0457751974"/>
    <n v="2099559"/>
    <n v="32329286"/>
    <n v="1.8965402000016183"/>
  </r>
  <r>
    <x v="22"/>
    <x v="3"/>
    <x v="0"/>
    <x v="4"/>
    <n v="3437"/>
    <n v="2941223.9500499051"/>
    <n v="2099559"/>
    <n v="32329286"/>
    <n v="1.4008770175307792"/>
  </r>
  <r>
    <x v="22"/>
    <x v="3"/>
    <x v="1"/>
    <x v="0"/>
    <n v="389959"/>
    <n v="129031455.70772579"/>
    <n v="2262546"/>
    <n v="80198844"/>
    <n v="57.029318169763528"/>
  </r>
  <r>
    <x v="22"/>
    <x v="3"/>
    <x v="1"/>
    <x v="1"/>
    <n v="366411"/>
    <n v="1885041503.7970467"/>
    <n v="2262546"/>
    <n v="80198844"/>
    <n v="833.15057629636999"/>
  </r>
  <r>
    <x v="22"/>
    <x v="3"/>
    <x v="1"/>
    <x v="2"/>
    <n v="147406"/>
    <n v="173894963.00439677"/>
    <n v="2262546"/>
    <n v="80198844"/>
    <n v="76.858089517029384"/>
  </r>
  <r>
    <x v="22"/>
    <x v="3"/>
    <x v="1"/>
    <x v="3"/>
    <n v="1766"/>
    <n v="2306496.8545958619"/>
    <n v="2262546"/>
    <n v="80198844"/>
    <n v="1.0194253971392677"/>
  </r>
  <r>
    <x v="22"/>
    <x v="3"/>
    <x v="1"/>
    <x v="4"/>
    <n v="4052"/>
    <n v="3342835.5268340455"/>
    <n v="2262546"/>
    <n v="80198844"/>
    <n v="1.4774663263571417"/>
  </r>
  <r>
    <x v="22"/>
    <x v="3"/>
    <x v="2"/>
    <x v="1"/>
    <n v="473274"/>
    <n v="2348008593.2164402"/>
    <n v="2453715"/>
    <n v="109482516"/>
    <n v="956.91985141568614"/>
  </r>
  <r>
    <x v="22"/>
    <x v="3"/>
    <x v="2"/>
    <x v="0"/>
    <n v="418429"/>
    <n v="144363692.75220004"/>
    <n v="2453715"/>
    <n v="109482516"/>
    <n v="58.834743542832008"/>
  </r>
  <r>
    <x v="22"/>
    <x v="3"/>
    <x v="2"/>
    <x v="2"/>
    <n v="199427"/>
    <n v="270311210.89072227"/>
    <n v="2453715"/>
    <n v="109482516"/>
    <n v="110.16406179638722"/>
  </r>
  <r>
    <x v="22"/>
    <x v="3"/>
    <x v="2"/>
    <x v="3"/>
    <n v="1556"/>
    <n v="2379067.1150075165"/>
    <n v="2453715"/>
    <n v="109482516"/>
    <n v="0.96957760579672714"/>
  </r>
  <r>
    <x v="22"/>
    <x v="3"/>
    <x v="2"/>
    <x v="4"/>
    <n v="5045"/>
    <n v="3937887.5536006838"/>
    <n v="2453715"/>
    <n v="109482516"/>
    <n v="1.6048675390584008"/>
  </r>
  <r>
    <x v="22"/>
    <x v="3"/>
    <x v="3"/>
    <x v="1"/>
    <n v="669693"/>
    <n v="3233210261.7281971"/>
    <n v="2642948"/>
    <n v="66534534"/>
    <n v="1223.3347995224262"/>
  </r>
  <r>
    <x v="22"/>
    <x v="3"/>
    <x v="3"/>
    <x v="0"/>
    <n v="447310"/>
    <n v="165277548.45940137"/>
    <n v="2642948"/>
    <n v="66534534"/>
    <n v="62.535300906185583"/>
  </r>
  <r>
    <x v="22"/>
    <x v="3"/>
    <x v="3"/>
    <x v="2"/>
    <n v="314445"/>
    <n v="442464385.03779328"/>
    <n v="2642948"/>
    <n v="66534534"/>
    <n v="167.41320110641348"/>
  </r>
  <r>
    <x v="22"/>
    <x v="3"/>
    <x v="3"/>
    <x v="3"/>
    <n v="1989"/>
    <n v="2464327.9242311358"/>
    <n v="2642948"/>
    <n v="66534534"/>
    <n v="0.93241634880108715"/>
  </r>
  <r>
    <x v="22"/>
    <x v="3"/>
    <x v="3"/>
    <x v="4"/>
    <n v="6756"/>
    <n v="5348877.0365314661"/>
    <n v="2642948"/>
    <n v="66534534"/>
    <n v="2.0238298432399979"/>
  </r>
  <r>
    <x v="23"/>
    <x v="0"/>
    <x v="0"/>
    <x v="0"/>
    <n v="10155"/>
    <n v="2199565.2589137438"/>
    <n v="83523"/>
    <n v="0"/>
    <n v="26.334844999745506"/>
  </r>
  <r>
    <x v="23"/>
    <x v="0"/>
    <x v="0"/>
    <x v="1"/>
    <n v="6845"/>
    <n v="41186717.278001666"/>
    <n v="83523"/>
    <n v="0"/>
    <n v="493.1182701531514"/>
  </r>
  <r>
    <x v="23"/>
    <x v="0"/>
    <x v="0"/>
    <x v="2"/>
    <n v="616"/>
    <n v="1066002.1670622267"/>
    <n v="83523"/>
    <n v="0"/>
    <n v="12.762977468029485"/>
  </r>
  <r>
    <x v="23"/>
    <x v="0"/>
    <x v="0"/>
    <x v="3"/>
    <n v="260"/>
    <n v="65022.498968406893"/>
    <n v="83523"/>
    <n v="0"/>
    <n v="0.77849812588636536"/>
  </r>
  <r>
    <x v="23"/>
    <x v="0"/>
    <x v="0"/>
    <x v="4"/>
    <n v="685"/>
    <n v="709912.77284479095"/>
    <n v="83523"/>
    <n v="0"/>
    <n v="8.4996081659517859"/>
  </r>
  <r>
    <x v="23"/>
    <x v="0"/>
    <x v="1"/>
    <x v="0"/>
    <n v="13550"/>
    <n v="3107406.5016166861"/>
    <n v="114642"/>
    <n v="0"/>
    <n v="27.105306097387398"/>
  </r>
  <r>
    <x v="23"/>
    <x v="0"/>
    <x v="1"/>
    <x v="1"/>
    <n v="11427"/>
    <n v="77040044.252915114"/>
    <n v="114642"/>
    <n v="0"/>
    <n v="672.0054103462528"/>
  </r>
  <r>
    <x v="23"/>
    <x v="0"/>
    <x v="1"/>
    <x v="2"/>
    <n v="1310"/>
    <n v="2368711.9758926411"/>
    <n v="114642"/>
    <n v="0"/>
    <n v="20.661816575885286"/>
  </r>
  <r>
    <x v="23"/>
    <x v="0"/>
    <x v="1"/>
    <x v="3"/>
    <n v="167"/>
    <n v="60939.773046271031"/>
    <n v="114642"/>
    <n v="0"/>
    <n v="0.5315658575938228"/>
  </r>
  <r>
    <x v="23"/>
    <x v="0"/>
    <x v="1"/>
    <x v="4"/>
    <n v="597"/>
    <n v="931303.05426362343"/>
    <n v="114642"/>
    <n v="0"/>
    <n v="8.1235764751454393"/>
  </r>
  <r>
    <x v="23"/>
    <x v="0"/>
    <x v="2"/>
    <x v="1"/>
    <n v="18564"/>
    <n v="108783543.9098094"/>
    <n v="159522"/>
    <n v="0"/>
    <n v="681.93442854157672"/>
  </r>
  <r>
    <x v="23"/>
    <x v="0"/>
    <x v="2"/>
    <x v="0"/>
    <n v="17610"/>
    <n v="4050433.5962071815"/>
    <n v="159522"/>
    <n v="0"/>
    <n v="25.391065785328554"/>
  </r>
  <r>
    <x v="23"/>
    <x v="0"/>
    <x v="2"/>
    <x v="2"/>
    <n v="2310"/>
    <n v="2952533.8004545765"/>
    <n v="159522"/>
    <n v="0"/>
    <n v="18.508630787318218"/>
  </r>
  <r>
    <x v="23"/>
    <x v="0"/>
    <x v="2"/>
    <x v="3"/>
    <n v="240"/>
    <n v="43891.23943201654"/>
    <n v="159522"/>
    <n v="0"/>
    <n v="0.27514223387380138"/>
  </r>
  <r>
    <x v="23"/>
    <x v="0"/>
    <x v="2"/>
    <x v="4"/>
    <n v="592"/>
    <n v="770335.57948722679"/>
    <n v="159522"/>
    <n v="0"/>
    <n v="4.8290240812378658"/>
  </r>
  <r>
    <x v="23"/>
    <x v="0"/>
    <x v="3"/>
    <x v="1"/>
    <n v="26212"/>
    <n v="177049162.13058332"/>
    <n v="213015"/>
    <n v="0"/>
    <n v="831.15819135076549"/>
  </r>
  <r>
    <x v="23"/>
    <x v="0"/>
    <x v="3"/>
    <x v="0"/>
    <n v="24533"/>
    <n v="5523702.9764348874"/>
    <n v="213015"/>
    <n v="0"/>
    <n v="25.931051693237038"/>
  </r>
  <r>
    <x v="23"/>
    <x v="0"/>
    <x v="3"/>
    <x v="2"/>
    <n v="3699"/>
    <n v="6911586.608122997"/>
    <n v="213015"/>
    <n v="0"/>
    <n v="32.446478455146334"/>
  </r>
  <r>
    <x v="23"/>
    <x v="0"/>
    <x v="3"/>
    <x v="3"/>
    <n v="145"/>
    <n v="35654.183378788934"/>
    <n v="213015"/>
    <n v="0"/>
    <n v="0.16737874505921618"/>
  </r>
  <r>
    <x v="23"/>
    <x v="0"/>
    <x v="3"/>
    <x v="4"/>
    <n v="653"/>
    <n v="906746.63100957219"/>
    <n v="213015"/>
    <n v="0"/>
    <n v="4.256726667181054"/>
  </r>
  <r>
    <x v="23"/>
    <x v="1"/>
    <x v="0"/>
    <x v="1"/>
    <n v="35126"/>
    <n v="204183867.41165379"/>
    <n v="260370"/>
    <n v="0"/>
    <n v="784.20658068000841"/>
  </r>
  <r>
    <x v="23"/>
    <x v="1"/>
    <x v="0"/>
    <x v="0"/>
    <n v="30327"/>
    <n v="6760113.704148788"/>
    <n v="260370"/>
    <n v="0"/>
    <n v="25.963489281210538"/>
  </r>
  <r>
    <x v="23"/>
    <x v="1"/>
    <x v="0"/>
    <x v="2"/>
    <n v="3984"/>
    <n v="6470456.0318978233"/>
    <n v="260370"/>
    <n v="0"/>
    <n v="24.851004462487321"/>
  </r>
  <r>
    <x v="23"/>
    <x v="1"/>
    <x v="0"/>
    <x v="3"/>
    <n v="133"/>
    <n v="33512.396067361173"/>
    <n v="260370"/>
    <n v="0"/>
    <n v="0.12871066584998722"/>
  </r>
  <r>
    <x v="23"/>
    <x v="1"/>
    <x v="0"/>
    <x v="4"/>
    <n v="736"/>
    <n v="712945.85363475559"/>
    <n v="260370"/>
    <n v="0"/>
    <n v="2.7382027638927511"/>
  </r>
  <r>
    <x v="23"/>
    <x v="1"/>
    <x v="1"/>
    <x v="1"/>
    <n v="37364"/>
    <n v="233471780.00357005"/>
    <n v="315656"/>
    <n v="1463275"/>
    <n v="739.63992448605461"/>
  </r>
  <r>
    <x v="23"/>
    <x v="1"/>
    <x v="1"/>
    <x v="0"/>
    <n v="31903"/>
    <n v="7823562.3977025058"/>
    <n v="315656"/>
    <n v="1463275"/>
    <n v="24.785090090802981"/>
  </r>
  <r>
    <x v="23"/>
    <x v="1"/>
    <x v="1"/>
    <x v="2"/>
    <n v="5646"/>
    <n v="5889316.8612284632"/>
    <n v="315656"/>
    <n v="1463275"/>
    <n v="18.65738925041331"/>
  </r>
  <r>
    <x v="23"/>
    <x v="1"/>
    <x v="1"/>
    <x v="3"/>
    <n v="80"/>
    <n v="14455.380988399309"/>
    <n v="315656"/>
    <n v="1463275"/>
    <n v="4.5794729035403443E-2"/>
  </r>
  <r>
    <x v="23"/>
    <x v="1"/>
    <x v="1"/>
    <x v="4"/>
    <n v="678"/>
    <n v="817593.4915248882"/>
    <n v="315656"/>
    <n v="1463275"/>
    <n v="2.5901408226832001"/>
  </r>
  <r>
    <x v="23"/>
    <x v="1"/>
    <x v="2"/>
    <x v="0"/>
    <n v="49073"/>
    <n v="12966806.696277115"/>
    <n v="375474"/>
    <n v="5036174"/>
    <n v="34.534499582599899"/>
  </r>
  <r>
    <x v="23"/>
    <x v="1"/>
    <x v="2"/>
    <x v="1"/>
    <n v="42645"/>
    <n v="257538220.22775066"/>
    <n v="375474"/>
    <n v="5036174"/>
    <n v="685.90160764194229"/>
  </r>
  <r>
    <x v="23"/>
    <x v="1"/>
    <x v="2"/>
    <x v="2"/>
    <n v="5560"/>
    <n v="7397529.0213269964"/>
    <n v="375474"/>
    <n v="5036174"/>
    <n v="19.701840929936552"/>
  </r>
  <r>
    <x v="23"/>
    <x v="1"/>
    <x v="2"/>
    <x v="3"/>
    <n v="94"/>
    <n v="72985.311512948887"/>
    <n v="375474"/>
    <n v="5036174"/>
    <n v="0.1943817987742131"/>
  </r>
  <r>
    <x v="23"/>
    <x v="1"/>
    <x v="2"/>
    <x v="4"/>
    <n v="722"/>
    <n v="818358.69447444624"/>
    <n v="375474"/>
    <n v="5036174"/>
    <n v="2.1795349197932379"/>
  </r>
  <r>
    <x v="23"/>
    <x v="1"/>
    <x v="3"/>
    <x v="0"/>
    <n v="60511"/>
    <n v="16857122.3073061"/>
    <n v="437899"/>
    <n v="5820848"/>
    <n v="38.495457416678505"/>
  </r>
  <r>
    <x v="23"/>
    <x v="1"/>
    <x v="3"/>
    <x v="1"/>
    <n v="57109"/>
    <n v="341664291.49368542"/>
    <n v="437899"/>
    <n v="5820848"/>
    <n v="780.2353773214495"/>
  </r>
  <r>
    <x v="23"/>
    <x v="1"/>
    <x v="3"/>
    <x v="2"/>
    <n v="6939"/>
    <n v="9451111.1393528245"/>
    <n v="437899"/>
    <n v="5820848"/>
    <n v="21.582856182253956"/>
  </r>
  <r>
    <x v="23"/>
    <x v="1"/>
    <x v="3"/>
    <x v="3"/>
    <n v="100"/>
    <n v="20966.3333050078"/>
    <n v="437899"/>
    <n v="5820848"/>
    <n v="4.7879381558322352E-2"/>
  </r>
  <r>
    <x v="23"/>
    <x v="1"/>
    <x v="3"/>
    <x v="4"/>
    <n v="580"/>
    <n v="695859.36083911394"/>
    <n v="437899"/>
    <n v="5820848"/>
    <n v="1.5890864350891734"/>
  </r>
  <r>
    <x v="23"/>
    <x v="2"/>
    <x v="0"/>
    <x v="0"/>
    <n v="85067"/>
    <n v="24356294.585232861"/>
    <n v="511489"/>
    <n v="7091513"/>
    <n v="47.61841327033985"/>
  </r>
  <r>
    <x v="23"/>
    <x v="2"/>
    <x v="0"/>
    <x v="1"/>
    <n v="57916"/>
    <n v="356260523.23262954"/>
    <n v="511489"/>
    <n v="7091513"/>
    <n v="696.51649054550444"/>
  </r>
  <r>
    <x v="23"/>
    <x v="2"/>
    <x v="0"/>
    <x v="2"/>
    <n v="9961"/>
    <n v="10404414.592504771"/>
    <n v="511489"/>
    <n v="7091513"/>
    <n v="20.341423945587827"/>
  </r>
  <r>
    <x v="23"/>
    <x v="2"/>
    <x v="0"/>
    <x v="3"/>
    <n v="119"/>
    <n v="283854.31883811468"/>
    <n v="511489"/>
    <n v="7091513"/>
    <n v="0.55495683942003582"/>
  </r>
  <r>
    <x v="23"/>
    <x v="2"/>
    <x v="0"/>
    <x v="4"/>
    <n v="546"/>
    <n v="772492.62043177639"/>
    <n v="511489"/>
    <n v="7091513"/>
    <n v="1.510281981492811"/>
  </r>
  <r>
    <x v="23"/>
    <x v="2"/>
    <x v="1"/>
    <x v="0"/>
    <n v="127592"/>
    <n v="37504550.777320907"/>
    <n v="611314"/>
    <n v="8132388"/>
    <n v="61.35071465289672"/>
  </r>
  <r>
    <x v="23"/>
    <x v="2"/>
    <x v="1"/>
    <x v="1"/>
    <n v="60021"/>
    <n v="404110075.08639592"/>
    <n v="611314"/>
    <n v="8132388"/>
    <n v="661.0515628406938"/>
  </r>
  <r>
    <x v="23"/>
    <x v="2"/>
    <x v="1"/>
    <x v="2"/>
    <n v="10056"/>
    <n v="14627463.664270937"/>
    <n v="611314"/>
    <n v="8132388"/>
    <n v="23.927905567794845"/>
  </r>
  <r>
    <x v="23"/>
    <x v="2"/>
    <x v="1"/>
    <x v="3"/>
    <n v="244"/>
    <n v="434960.2799078573"/>
    <n v="611314"/>
    <n v="8132388"/>
    <n v="0.71151696167249123"/>
  </r>
  <r>
    <x v="23"/>
    <x v="2"/>
    <x v="1"/>
    <x v="4"/>
    <n v="549"/>
    <n v="516383.63442262856"/>
    <n v="611314"/>
    <n v="8132388"/>
    <n v="0.84471095774451188"/>
  </r>
  <r>
    <x v="23"/>
    <x v="2"/>
    <x v="2"/>
    <x v="0"/>
    <n v="132664"/>
    <n v="40941077.032856956"/>
    <n v="751465"/>
    <n v="10173515"/>
    <n v="54.481681825310503"/>
  </r>
  <r>
    <x v="23"/>
    <x v="2"/>
    <x v="2"/>
    <x v="1"/>
    <n v="99644"/>
    <n v="634560147.35069013"/>
    <n v="751465"/>
    <n v="10173515"/>
    <n v="844.43074175203117"/>
  </r>
  <r>
    <x v="23"/>
    <x v="2"/>
    <x v="2"/>
    <x v="2"/>
    <n v="20934"/>
    <n v="30693648.236451425"/>
    <n v="751465"/>
    <n v="10173515"/>
    <n v="40.845080258496971"/>
  </r>
  <r>
    <x v="23"/>
    <x v="2"/>
    <x v="2"/>
    <x v="3"/>
    <n v="535"/>
    <n v="824864.51312728703"/>
    <n v="751465"/>
    <n v="10173515"/>
    <n v="1.0976752252297672"/>
  </r>
  <r>
    <x v="23"/>
    <x v="2"/>
    <x v="2"/>
    <x v="4"/>
    <n v="926"/>
    <n v="924438.37147471716"/>
    <n v="751465"/>
    <n v="10173515"/>
    <n v="1.2301815406901415"/>
  </r>
  <r>
    <x v="23"/>
    <x v="2"/>
    <x v="3"/>
    <x v="1"/>
    <n v="141038"/>
    <n v="887252744.06766796"/>
    <n v="866041"/>
    <n v="12058002"/>
    <n v="1024.4927712055987"/>
  </r>
  <r>
    <x v="23"/>
    <x v="2"/>
    <x v="3"/>
    <x v="0"/>
    <n v="140297"/>
    <n v="45386403.172815919"/>
    <n v="866041"/>
    <n v="12058002"/>
    <n v="52.40676038757509"/>
  </r>
  <r>
    <x v="23"/>
    <x v="2"/>
    <x v="3"/>
    <x v="2"/>
    <n v="39676"/>
    <n v="52094800.565094605"/>
    <n v="866041"/>
    <n v="12058002"/>
    <n v="60.152810969797741"/>
  </r>
  <r>
    <x v="23"/>
    <x v="2"/>
    <x v="3"/>
    <x v="3"/>
    <n v="607"/>
    <n v="855201.58811572369"/>
    <n v="866041"/>
    <n v="12058002"/>
    <n v="0.98748395066252481"/>
  </r>
  <r>
    <x v="23"/>
    <x v="2"/>
    <x v="3"/>
    <x v="4"/>
    <n v="989"/>
    <n v="932966.30026349518"/>
    <n v="866041"/>
    <n v="12058002"/>
    <n v="1.0772772885619679"/>
  </r>
  <r>
    <x v="23"/>
    <x v="3"/>
    <x v="0"/>
    <x v="1"/>
    <n v="156386"/>
    <n v="982955112.18927789"/>
    <n v="943250"/>
    <n v="13125354"/>
    <n v="1042.0939434818742"/>
  </r>
  <r>
    <x v="23"/>
    <x v="3"/>
    <x v="0"/>
    <x v="0"/>
    <n v="128055"/>
    <n v="45558278.223239534"/>
    <n v="943250"/>
    <n v="13125354"/>
    <n v="48.29926130213574"/>
  </r>
  <r>
    <x v="23"/>
    <x v="3"/>
    <x v="0"/>
    <x v="2"/>
    <n v="43511"/>
    <n v="70289687.946227476"/>
    <n v="943250"/>
    <n v="13125354"/>
    <n v="74.518619609040528"/>
  </r>
  <r>
    <x v="23"/>
    <x v="3"/>
    <x v="0"/>
    <x v="3"/>
    <n v="648"/>
    <n v="1330632.9787811027"/>
    <n v="943250"/>
    <n v="13125354"/>
    <n v="1.4106896143982006"/>
  </r>
  <r>
    <x v="23"/>
    <x v="3"/>
    <x v="0"/>
    <x v="4"/>
    <n v="975"/>
    <n v="971875.60841171024"/>
    <n v="943250"/>
    <n v="13125354"/>
    <n v="1.030347848832982"/>
  </r>
  <r>
    <x v="23"/>
    <x v="3"/>
    <x v="1"/>
    <x v="1"/>
    <n v="173064"/>
    <n v="995581952.90340495"/>
    <n v="1018072"/>
    <n v="44160567"/>
    <n v="977.9091782343537"/>
  </r>
  <r>
    <x v="23"/>
    <x v="3"/>
    <x v="1"/>
    <x v="0"/>
    <n v="161763"/>
    <n v="56059844.239659324"/>
    <n v="1018072"/>
    <n v="44160567"/>
    <n v="55.064714715323987"/>
  </r>
  <r>
    <x v="23"/>
    <x v="3"/>
    <x v="1"/>
    <x v="2"/>
    <n v="57877"/>
    <n v="69528721.401561022"/>
    <n v="1018072"/>
    <n v="44160567"/>
    <n v="68.294503140800472"/>
  </r>
  <r>
    <x v="23"/>
    <x v="3"/>
    <x v="1"/>
    <x v="3"/>
    <n v="611"/>
    <n v="710657.50656448293"/>
    <n v="1018072"/>
    <n v="44160567"/>
    <n v="0.69804248281504933"/>
  </r>
  <r>
    <x v="23"/>
    <x v="3"/>
    <x v="1"/>
    <x v="4"/>
    <n v="1025"/>
    <n v="993297.250902934"/>
    <n v="1018072"/>
    <n v="44160567"/>
    <n v="0.9756650324367373"/>
  </r>
  <r>
    <x v="23"/>
    <x v="3"/>
    <x v="2"/>
    <x v="1"/>
    <n v="224873"/>
    <n v="1290523196.2592211"/>
    <n v="1107117"/>
    <n v="59242898"/>
    <n v="1165.6610785122268"/>
  </r>
  <r>
    <x v="23"/>
    <x v="3"/>
    <x v="2"/>
    <x v="0"/>
    <n v="177281"/>
    <n v="67493206.623943478"/>
    <n v="1107117"/>
    <n v="59242898"/>
    <n v="60.963029764644098"/>
  </r>
  <r>
    <x v="23"/>
    <x v="3"/>
    <x v="2"/>
    <x v="2"/>
    <n v="74553"/>
    <n v="113697005.89820999"/>
    <n v="1107117"/>
    <n v="59242898"/>
    <n v="102.69646830299777"/>
  </r>
  <r>
    <x v="23"/>
    <x v="3"/>
    <x v="2"/>
    <x v="3"/>
    <n v="522"/>
    <n v="806905.97294228384"/>
    <n v="1107117"/>
    <n v="59242898"/>
    <n v="0.72883531997276152"/>
  </r>
  <r>
    <x v="23"/>
    <x v="3"/>
    <x v="2"/>
    <x v="4"/>
    <n v="1300"/>
    <n v="1228335.4576346257"/>
    <n v="1107117"/>
    <n v="59242898"/>
    <n v="1.1094901962797299"/>
  </r>
  <r>
    <x v="23"/>
    <x v="3"/>
    <x v="3"/>
    <x v="1"/>
    <n v="272209"/>
    <n v="1545255603.4119103"/>
    <n v="1192455"/>
    <n v="23035298"/>
    <n v="1295.8607271653104"/>
  </r>
  <r>
    <x v="23"/>
    <x v="3"/>
    <x v="3"/>
    <x v="0"/>
    <n v="179405"/>
    <n v="67548806.847545817"/>
    <n v="1192455"/>
    <n v="23035298"/>
    <n v="56.646839375528486"/>
  </r>
  <r>
    <x v="23"/>
    <x v="3"/>
    <x v="3"/>
    <x v="2"/>
    <n v="99265"/>
    <n v="154183940.72826496"/>
    <n v="1192455"/>
    <n v="23035298"/>
    <n v="129.2995884358445"/>
  </r>
  <r>
    <x v="23"/>
    <x v="3"/>
    <x v="3"/>
    <x v="3"/>
    <n v="695"/>
    <n v="2202285.707728365"/>
    <n v="1192455"/>
    <n v="23035298"/>
    <n v="1.846850160155616"/>
  </r>
  <r>
    <x v="23"/>
    <x v="3"/>
    <x v="3"/>
    <x v="4"/>
    <n v="1755"/>
    <n v="1475104.8275919389"/>
    <n v="1192455"/>
    <n v="23035298"/>
    <n v="1.2370318608181767"/>
  </r>
  <r>
    <x v="24"/>
    <x v="0"/>
    <x v="0"/>
    <x v="0"/>
    <n v="28198"/>
    <n v="5361675.5496233152"/>
    <n v="165814"/>
    <n v="0"/>
    <n v="32.335481621716596"/>
  </r>
  <r>
    <x v="24"/>
    <x v="0"/>
    <x v="0"/>
    <x v="1"/>
    <n v="11631"/>
    <n v="69830122.020638764"/>
    <n v="165814"/>
    <n v="0"/>
    <n v="421.13526011457878"/>
  </r>
  <r>
    <x v="24"/>
    <x v="0"/>
    <x v="0"/>
    <x v="2"/>
    <n v="822"/>
    <n v="1170667.4151649117"/>
    <n v="165814"/>
    <n v="0"/>
    <n v="7.060124085812487"/>
  </r>
  <r>
    <x v="24"/>
    <x v="0"/>
    <x v="0"/>
    <x v="3"/>
    <n v="399"/>
    <n v="299016.73456207372"/>
    <n v="165814"/>
    <n v="0"/>
    <n v="1.8033262243361461"/>
  </r>
  <r>
    <x v="24"/>
    <x v="0"/>
    <x v="0"/>
    <x v="4"/>
    <n v="1795"/>
    <n v="1344409.3661360394"/>
    <n v="165814"/>
    <n v="0"/>
    <n v="8.107936399435749"/>
  </r>
  <r>
    <x v="24"/>
    <x v="0"/>
    <x v="1"/>
    <x v="0"/>
    <n v="41959"/>
    <n v="9139467.7039800975"/>
    <n v="246796"/>
    <n v="0"/>
    <n v="37.032479067651408"/>
  </r>
  <r>
    <x v="24"/>
    <x v="0"/>
    <x v="1"/>
    <x v="1"/>
    <n v="20099"/>
    <n v="140193107.69683594"/>
    <n v="246796"/>
    <n v="0"/>
    <n v="568.05259281688495"/>
  </r>
  <r>
    <x v="24"/>
    <x v="0"/>
    <x v="1"/>
    <x v="2"/>
    <n v="1529"/>
    <n v="2293935.4908359242"/>
    <n v="246796"/>
    <n v="0"/>
    <n v="9.2948649525759102"/>
  </r>
  <r>
    <x v="24"/>
    <x v="0"/>
    <x v="1"/>
    <x v="3"/>
    <n v="379"/>
    <n v="153458.52316261371"/>
    <n v="246796"/>
    <n v="0"/>
    <n v="0.62180312145502237"/>
  </r>
  <r>
    <x v="24"/>
    <x v="0"/>
    <x v="1"/>
    <x v="4"/>
    <n v="1633"/>
    <n v="1545608.465487119"/>
    <n v="246796"/>
    <n v="0"/>
    <n v="6.2626965813348638"/>
  </r>
  <r>
    <x v="24"/>
    <x v="0"/>
    <x v="2"/>
    <x v="0"/>
    <n v="54885"/>
    <n v="12664922.724117381"/>
    <n v="352990"/>
    <n v="0"/>
    <n v="35.878984458815779"/>
  </r>
  <r>
    <x v="24"/>
    <x v="0"/>
    <x v="2"/>
    <x v="1"/>
    <n v="33930"/>
    <n v="223964723.15160483"/>
    <n v="352990"/>
    <n v="0"/>
    <n v="634.47894600868244"/>
  </r>
  <r>
    <x v="24"/>
    <x v="0"/>
    <x v="2"/>
    <x v="2"/>
    <n v="3518"/>
    <n v="3631042.2777308393"/>
    <n v="352990"/>
    <n v="0"/>
    <n v="10.286530150233263"/>
  </r>
  <r>
    <x v="24"/>
    <x v="0"/>
    <x v="2"/>
    <x v="3"/>
    <n v="460"/>
    <n v="125171.61850935029"/>
    <n v="352990"/>
    <n v="0"/>
    <n v="0.35460386557508794"/>
  </r>
  <r>
    <x v="24"/>
    <x v="0"/>
    <x v="2"/>
    <x v="4"/>
    <n v="1578"/>
    <n v="1406883.1646908007"/>
    <n v="352990"/>
    <n v="0"/>
    <n v="3.9856176228527742"/>
  </r>
  <r>
    <x v="24"/>
    <x v="0"/>
    <x v="3"/>
    <x v="0"/>
    <n v="72881"/>
    <n v="16615511.42043031"/>
    <n v="472967"/>
    <n v="0"/>
    <n v="35.130382078306333"/>
  </r>
  <r>
    <x v="24"/>
    <x v="0"/>
    <x v="3"/>
    <x v="1"/>
    <n v="53723"/>
    <n v="358926253.43094724"/>
    <n v="472967"/>
    <n v="0"/>
    <n v="758.88223370963988"/>
  </r>
  <r>
    <x v="24"/>
    <x v="0"/>
    <x v="3"/>
    <x v="2"/>
    <n v="10350"/>
    <n v="10500634.794542974"/>
    <n v="472967"/>
    <n v="0"/>
    <n v="22.201622511809436"/>
  </r>
  <r>
    <x v="24"/>
    <x v="0"/>
    <x v="3"/>
    <x v="3"/>
    <n v="587"/>
    <n v="216127.40846239947"/>
    <n v="472967"/>
    <n v="0"/>
    <n v="0.45696086294054228"/>
  </r>
  <r>
    <x v="24"/>
    <x v="0"/>
    <x v="3"/>
    <x v="4"/>
    <n v="1792"/>
    <n v="1754940.4912408509"/>
    <n v="472967"/>
    <n v="0"/>
    <n v="3.7104924682712555"/>
  </r>
  <r>
    <x v="24"/>
    <x v="1"/>
    <x v="0"/>
    <x v="0"/>
    <n v="87596"/>
    <n v="20020458.076388802"/>
    <n v="593021"/>
    <n v="0"/>
    <n v="33.760116549647989"/>
  </r>
  <r>
    <x v="24"/>
    <x v="1"/>
    <x v="0"/>
    <x v="1"/>
    <n v="71642"/>
    <n v="411855878.24982238"/>
    <n v="593021"/>
    <n v="0"/>
    <n v="694.50471104703274"/>
  </r>
  <r>
    <x v="24"/>
    <x v="1"/>
    <x v="0"/>
    <x v="2"/>
    <n v="7306"/>
    <n v="8187940.3220922127"/>
    <n v="593021"/>
    <n v="0"/>
    <n v="13.807167574322348"/>
  </r>
  <r>
    <x v="24"/>
    <x v="1"/>
    <x v="0"/>
    <x v="3"/>
    <n v="430"/>
    <n v="101072.89773317604"/>
    <n v="593021"/>
    <n v="0"/>
    <n v="0.17043729940959265"/>
  </r>
  <r>
    <x v="24"/>
    <x v="1"/>
    <x v="0"/>
    <x v="4"/>
    <n v="1605"/>
    <n v="1776362.8662935253"/>
    <n v="593021"/>
    <n v="0"/>
    <n v="2.9954468160377545"/>
  </r>
  <r>
    <x v="24"/>
    <x v="1"/>
    <x v="1"/>
    <x v="0"/>
    <n v="92492"/>
    <n v="21350211.077814259"/>
    <n v="735801"/>
    <n v="3987467"/>
    <n v="29.016284400013397"/>
  </r>
  <r>
    <x v="24"/>
    <x v="1"/>
    <x v="1"/>
    <x v="1"/>
    <n v="81065"/>
    <n v="487705354.46570444"/>
    <n v="735801"/>
    <n v="3987467"/>
    <n v="662.82235885205978"/>
  </r>
  <r>
    <x v="24"/>
    <x v="1"/>
    <x v="1"/>
    <x v="2"/>
    <n v="12949"/>
    <n v="8990954.079767609"/>
    <n v="735801"/>
    <n v="3987467"/>
    <n v="12.219274069711252"/>
  </r>
  <r>
    <x v="24"/>
    <x v="1"/>
    <x v="1"/>
    <x v="3"/>
    <n v="286"/>
    <n v="129758.00259777348"/>
    <n v="735801"/>
    <n v="3987467"/>
    <n v="0.1763493153689292"/>
  </r>
  <r>
    <x v="24"/>
    <x v="1"/>
    <x v="1"/>
    <x v="4"/>
    <n v="1961"/>
    <n v="1890404.5326202572"/>
    <n v="735801"/>
    <n v="3987467"/>
    <n v="2.569179075076355"/>
  </r>
  <r>
    <x v="24"/>
    <x v="1"/>
    <x v="2"/>
    <x v="0"/>
    <n v="145812"/>
    <n v="33293527.932100531"/>
    <n v="880847"/>
    <n v="13684242"/>
    <n v="37.797174687659187"/>
  </r>
  <r>
    <x v="24"/>
    <x v="1"/>
    <x v="2"/>
    <x v="1"/>
    <n v="100736"/>
    <n v="601803135.4703114"/>
    <n v="880847"/>
    <n v="13684242"/>
    <n v="683.20961014831335"/>
  </r>
  <r>
    <x v="24"/>
    <x v="1"/>
    <x v="2"/>
    <x v="2"/>
    <n v="13031"/>
    <n v="13381591.199777838"/>
    <n v="880847"/>
    <n v="13684242"/>
    <n v="15.19173159445152"/>
  </r>
  <r>
    <x v="24"/>
    <x v="1"/>
    <x v="2"/>
    <x v="3"/>
    <n v="210"/>
    <n v="229319.84921986386"/>
    <n v="880847"/>
    <n v="13684242"/>
    <n v="0.26034016034551272"/>
  </r>
  <r>
    <x v="24"/>
    <x v="1"/>
    <x v="2"/>
    <x v="4"/>
    <n v="2089"/>
    <n v="2248897.2620018576"/>
    <n v="880847"/>
    <n v="13684242"/>
    <n v="2.5531077042912762"/>
  </r>
  <r>
    <x v="24"/>
    <x v="1"/>
    <x v="3"/>
    <x v="0"/>
    <n v="172761"/>
    <n v="39720745.597670965"/>
    <n v="1024364"/>
    <n v="16000061"/>
    <n v="38.776006964000068"/>
  </r>
  <r>
    <x v="24"/>
    <x v="1"/>
    <x v="3"/>
    <x v="1"/>
    <n v="128674"/>
    <n v="777298578.6127516"/>
    <n v="1024364"/>
    <n v="16000061"/>
    <n v="758.81090961098948"/>
  </r>
  <r>
    <x v="24"/>
    <x v="1"/>
    <x v="3"/>
    <x v="2"/>
    <n v="13578"/>
    <n v="15460907.228900284"/>
    <n v="1024364"/>
    <n v="16000061"/>
    <n v="15.093177062938842"/>
  </r>
  <r>
    <x v="24"/>
    <x v="1"/>
    <x v="3"/>
    <x v="3"/>
    <n v="499"/>
    <n v="283291.77408421872"/>
    <n v="1024364"/>
    <n v="16000061"/>
    <n v="0.27655381688952241"/>
  </r>
  <r>
    <x v="24"/>
    <x v="1"/>
    <x v="3"/>
    <x v="4"/>
    <n v="1658"/>
    <n v="1773615.1353679793"/>
    <n v="1024364"/>
    <n v="16000061"/>
    <n v="1.7314305611754994"/>
  </r>
  <r>
    <x v="24"/>
    <x v="2"/>
    <x v="0"/>
    <x v="0"/>
    <n v="221741"/>
    <n v="53662023.320165433"/>
    <n v="1178573"/>
    <n v="18529720"/>
    <n v="45.531353017730282"/>
  </r>
  <r>
    <x v="24"/>
    <x v="2"/>
    <x v="0"/>
    <x v="1"/>
    <n v="135966"/>
    <n v="821508819.58939075"/>
    <n v="1178573"/>
    <n v="18529720"/>
    <n v="697.03685693579507"/>
  </r>
  <r>
    <x v="24"/>
    <x v="2"/>
    <x v="0"/>
    <x v="2"/>
    <n v="18249"/>
    <n v="17663339.369894989"/>
    <n v="1178573"/>
    <n v="18529720"/>
    <n v="14.987055846260681"/>
  </r>
  <r>
    <x v="24"/>
    <x v="2"/>
    <x v="0"/>
    <x v="3"/>
    <n v="528"/>
    <n v="215066.78349539996"/>
    <n v="1178573"/>
    <n v="18529720"/>
    <n v="0.18248066390066628"/>
  </r>
  <r>
    <x v="24"/>
    <x v="2"/>
    <x v="0"/>
    <x v="4"/>
    <n v="1567"/>
    <n v="1730779.6714233835"/>
    <n v="1178573"/>
    <n v="18529720"/>
    <n v="1.4685383692171665"/>
  </r>
  <r>
    <x v="24"/>
    <x v="2"/>
    <x v="1"/>
    <x v="0"/>
    <n v="328269"/>
    <n v="85264116.117793739"/>
    <n v="1432255"/>
    <n v="23312069"/>
    <n v="59.531379620105177"/>
  </r>
  <r>
    <x v="24"/>
    <x v="2"/>
    <x v="1"/>
    <x v="1"/>
    <n v="166866"/>
    <n v="1025000209.9574311"/>
    <n v="1432255"/>
    <n v="23312069"/>
    <n v="715.65483098849791"/>
  </r>
  <r>
    <x v="24"/>
    <x v="2"/>
    <x v="1"/>
    <x v="2"/>
    <n v="20004"/>
    <n v="25214703.910237495"/>
    <n v="1432255"/>
    <n v="23312069"/>
    <n v="17.604898506367579"/>
  </r>
  <r>
    <x v="24"/>
    <x v="2"/>
    <x v="1"/>
    <x v="3"/>
    <n v="860"/>
    <n v="989239.96719383122"/>
    <n v="1432255"/>
    <n v="23312069"/>
    <n v="0.69068704050174812"/>
  </r>
  <r>
    <x v="24"/>
    <x v="2"/>
    <x v="1"/>
    <x v="4"/>
    <n v="1567"/>
    <n v="1206234.3951445608"/>
    <n v="1432255"/>
    <n v="23312069"/>
    <n v="0.8421924832830473"/>
  </r>
  <r>
    <x v="24"/>
    <x v="2"/>
    <x v="2"/>
    <x v="0"/>
    <n v="347494"/>
    <n v="91214897.187445223"/>
    <n v="1904166"/>
    <n v="31555062"/>
    <n v="47.902807416709059"/>
  </r>
  <r>
    <x v="24"/>
    <x v="2"/>
    <x v="2"/>
    <x v="1"/>
    <n v="330638"/>
    <n v="1851638119.5398221"/>
    <n v="1904166"/>
    <n v="31555062"/>
    <n v="972.41423255106019"/>
  </r>
  <r>
    <x v="24"/>
    <x v="2"/>
    <x v="2"/>
    <x v="2"/>
    <n v="51912"/>
    <n v="62568884.132165708"/>
    <n v="1904166"/>
    <n v="31555062"/>
    <n v="32.858944090045568"/>
  </r>
  <r>
    <x v="24"/>
    <x v="2"/>
    <x v="2"/>
    <x v="3"/>
    <n v="2544"/>
    <n v="2136903.0242114514"/>
    <n v="1904166"/>
    <n v="31555062"/>
    <n v="1.122225175857279"/>
  </r>
  <r>
    <x v="24"/>
    <x v="2"/>
    <x v="2"/>
    <x v="4"/>
    <n v="3731"/>
    <n v="2090339.2711506593"/>
    <n v="1904166"/>
    <n v="31555062"/>
    <n v="1.0977715551851357"/>
  </r>
  <r>
    <x v="24"/>
    <x v="2"/>
    <x v="3"/>
    <x v="1"/>
    <n v="417393"/>
    <n v="2563827858.0487146"/>
    <n v="2114068"/>
    <n v="32143331"/>
    <n v="1212.7461642902285"/>
  </r>
  <r>
    <x v="24"/>
    <x v="2"/>
    <x v="3"/>
    <x v="0"/>
    <n v="335297"/>
    <n v="91929581.877302676"/>
    <n v="2114068"/>
    <n v="32143331"/>
    <n v="43.484685392003797"/>
  </r>
  <r>
    <x v="24"/>
    <x v="2"/>
    <x v="3"/>
    <x v="2"/>
    <n v="90496"/>
    <n v="113115660.17405558"/>
    <n v="2114068"/>
    <n v="32143331"/>
    <n v="53.506159770667537"/>
  </r>
  <r>
    <x v="24"/>
    <x v="2"/>
    <x v="3"/>
    <x v="3"/>
    <n v="1068"/>
    <n v="1017278.309874404"/>
    <n v="2114068"/>
    <n v="32143331"/>
    <n v="0.48119469661070696"/>
  </r>
  <r>
    <x v="24"/>
    <x v="2"/>
    <x v="3"/>
    <x v="4"/>
    <n v="3571"/>
    <n v="3194492.1527384534"/>
    <n v="2114068"/>
    <n v="32143331"/>
    <n v="1.5110640493770557"/>
  </r>
  <r>
    <x v="24"/>
    <x v="3"/>
    <x v="0"/>
    <x v="1"/>
    <n v="477346"/>
    <n v="2841021698.4844904"/>
    <n v="2285888"/>
    <n v="32786391"/>
    <n v="1242.8525362942062"/>
  </r>
  <r>
    <x v="24"/>
    <x v="3"/>
    <x v="0"/>
    <x v="0"/>
    <n v="376473"/>
    <n v="110095189.59316181"/>
    <n v="2285888"/>
    <n v="32786391"/>
    <n v="48.162985060143718"/>
  </r>
  <r>
    <x v="24"/>
    <x v="3"/>
    <x v="0"/>
    <x v="2"/>
    <n v="116846"/>
    <n v="151202427.14605337"/>
    <n v="2285888"/>
    <n v="32786391"/>
    <n v="66.146034777755247"/>
  </r>
  <r>
    <x v="24"/>
    <x v="3"/>
    <x v="0"/>
    <x v="3"/>
    <n v="1511"/>
    <n v="1929643.694251965"/>
    <n v="2285888"/>
    <n v="32786391"/>
    <n v="0.8441549604582399"/>
  </r>
  <r>
    <x v="24"/>
    <x v="3"/>
    <x v="0"/>
    <x v="4"/>
    <n v="3721"/>
    <n v="3201525.6952415062"/>
    <n v="2285888"/>
    <n v="32786391"/>
    <n v="1.4005610490284328"/>
  </r>
  <r>
    <x v="24"/>
    <x v="3"/>
    <x v="1"/>
    <x v="1"/>
    <n v="526966"/>
    <n v="2847731457.5714788"/>
    <n v="2456707"/>
    <n v="73885812"/>
    <n v="1159.1660941135751"/>
  </r>
  <r>
    <x v="24"/>
    <x v="3"/>
    <x v="1"/>
    <x v="0"/>
    <n v="453979"/>
    <n v="126962524.74536937"/>
    <n v="2456707"/>
    <n v="73885812"/>
    <n v="51.679962138492449"/>
  </r>
  <r>
    <x v="24"/>
    <x v="3"/>
    <x v="1"/>
    <x v="2"/>
    <n v="144413"/>
    <n v="176831583.13676447"/>
    <n v="2456707"/>
    <n v="73885812"/>
    <n v="71.979109896607312"/>
  </r>
  <r>
    <x v="24"/>
    <x v="3"/>
    <x v="1"/>
    <x v="3"/>
    <n v="1624"/>
    <n v="1785915.6371230448"/>
    <n v="2456707"/>
    <n v="73885812"/>
    <n v="0.72695508138457077"/>
  </r>
  <r>
    <x v="24"/>
    <x v="3"/>
    <x v="1"/>
    <x v="4"/>
    <n v="3809"/>
    <n v="2982482.691132756"/>
    <n v="2456707"/>
    <n v="73885812"/>
    <n v="1.2140164419821964"/>
  </r>
  <r>
    <x v="24"/>
    <x v="3"/>
    <x v="2"/>
    <x v="1"/>
    <n v="667633"/>
    <n v="3536780176.7792263"/>
    <n v="2659767"/>
    <n v="95281901"/>
    <n v="1329.7330844315409"/>
  </r>
  <r>
    <x v="24"/>
    <x v="3"/>
    <x v="2"/>
    <x v="0"/>
    <n v="474693"/>
    <n v="141172028.23897478"/>
    <n v="2659767"/>
    <n v="95281901"/>
    <n v="53.076840279233025"/>
  </r>
  <r>
    <x v="24"/>
    <x v="3"/>
    <x v="2"/>
    <x v="2"/>
    <n v="208387"/>
    <n v="304493279.81583571"/>
    <n v="2659767"/>
    <n v="95281901"/>
    <n v="114.48118568875985"/>
  </r>
  <r>
    <x v="24"/>
    <x v="3"/>
    <x v="2"/>
    <x v="3"/>
    <n v="1437"/>
    <n v="1634878.888862805"/>
    <n v="2659767"/>
    <n v="95281901"/>
    <n v="0.6146699650243066"/>
  </r>
  <r>
    <x v="24"/>
    <x v="3"/>
    <x v="2"/>
    <x v="4"/>
    <n v="4642"/>
    <n v="3336484.2825483214"/>
    <n v="2659767"/>
    <n v="95281901"/>
    <n v="1.2544272797385341"/>
  </r>
  <r>
    <x v="24"/>
    <x v="3"/>
    <x v="3"/>
    <x v="1"/>
    <n v="819452"/>
    <n v="4335295237.9809065"/>
    <n v="2859890"/>
    <n v="70216707"/>
    <n v="1515.8957994821153"/>
  </r>
  <r>
    <x v="24"/>
    <x v="3"/>
    <x v="3"/>
    <x v="0"/>
    <n v="492411"/>
    <n v="154359432.07659015"/>
    <n v="2859890"/>
    <n v="70216707"/>
    <n v="53.973905316844409"/>
  </r>
  <r>
    <x v="24"/>
    <x v="3"/>
    <x v="3"/>
    <x v="2"/>
    <n v="311673"/>
    <n v="442578210.0882374"/>
    <n v="2859890"/>
    <n v="70216707"/>
    <n v="154.75357796566911"/>
  </r>
  <r>
    <x v="24"/>
    <x v="3"/>
    <x v="3"/>
    <x v="3"/>
    <n v="1790"/>
    <n v="2263055.5218537706"/>
    <n v="2859890"/>
    <n v="70216707"/>
    <n v="0.7913085894400731"/>
  </r>
  <r>
    <x v="24"/>
    <x v="3"/>
    <x v="3"/>
    <x v="4"/>
    <n v="6157"/>
    <n v="4587848.4688887224"/>
    <n v="2859890"/>
    <n v="70216707"/>
    <n v="1.6042045214636655"/>
  </r>
  <r>
    <x v="25"/>
    <x v="0"/>
    <x v="0"/>
    <x v="0"/>
    <n v="2874109"/>
    <n v="331254466.15086609"/>
    <n v="17534165"/>
    <n v="0"/>
    <n v="18.89194416448494"/>
  </r>
  <r>
    <x v="25"/>
    <x v="0"/>
    <x v="0"/>
    <x v="1"/>
    <n v="2305610"/>
    <n v="4033548999.1932316"/>
    <n v="17534165"/>
    <n v="0"/>
    <n v="230.03941158265772"/>
  </r>
  <r>
    <x v="25"/>
    <x v="0"/>
    <x v="0"/>
    <x v="3"/>
    <n v="323352"/>
    <n v="58099674.945761368"/>
    <n v="17534165"/>
    <n v="0"/>
    <n v="3.3135125023496337"/>
  </r>
  <r>
    <x v="25"/>
    <x v="0"/>
    <x v="0"/>
    <x v="2"/>
    <n v="129659"/>
    <n v="112301341.66618621"/>
    <n v="17534165"/>
    <n v="0"/>
    <n v="6.4047156888386878"/>
  </r>
  <r>
    <x v="25"/>
    <x v="0"/>
    <x v="0"/>
    <x v="4"/>
    <n v="177091"/>
    <n v="92427728.931437269"/>
    <n v="17534165"/>
    <n v="0"/>
    <n v="5.271293439490119"/>
  </r>
  <r>
    <x v="25"/>
    <x v="0"/>
    <x v="1"/>
    <x v="1"/>
    <n v="3989202"/>
    <n v="7621288195.5657024"/>
    <n v="24043591"/>
    <n v="0"/>
    <n v="316.97795040539921"/>
  </r>
  <r>
    <x v="25"/>
    <x v="0"/>
    <x v="1"/>
    <x v="0"/>
    <n v="3307545"/>
    <n v="482823290.3527084"/>
    <n v="24043591"/>
    <n v="0"/>
    <n v="20.081163847476379"/>
  </r>
  <r>
    <x v="25"/>
    <x v="0"/>
    <x v="1"/>
    <x v="3"/>
    <n v="472304"/>
    <n v="67829259.917879373"/>
    <n v="24043591"/>
    <n v="0"/>
    <n v="2.8210952314851543"/>
  </r>
  <r>
    <x v="25"/>
    <x v="0"/>
    <x v="1"/>
    <x v="2"/>
    <n v="257628"/>
    <n v="213530873.35371211"/>
    <n v="24043591"/>
    <n v="0"/>
    <n v="8.8809892562933754"/>
  </r>
  <r>
    <x v="25"/>
    <x v="0"/>
    <x v="1"/>
    <x v="4"/>
    <n v="131465"/>
    <n v="102838720.42969128"/>
    <n v="24043591"/>
    <n v="0"/>
    <n v="4.2771780816638945"/>
  </r>
  <r>
    <x v="25"/>
    <x v="0"/>
    <x v="2"/>
    <x v="1"/>
    <n v="24472139"/>
    <n v="22029087498.562176"/>
    <n v="30752898"/>
    <n v="0"/>
    <n v="716.32558006605348"/>
  </r>
  <r>
    <x v="25"/>
    <x v="0"/>
    <x v="2"/>
    <x v="0"/>
    <n v="3886392"/>
    <n v="605721781.52850425"/>
    <n v="30752898"/>
    <n v="0"/>
    <n v="19.696413051170143"/>
  </r>
  <r>
    <x v="25"/>
    <x v="0"/>
    <x v="2"/>
    <x v="3"/>
    <n v="836547"/>
    <n v="97292154.491176575"/>
    <n v="30752898"/>
    <n v="0"/>
    <n v="3.1636743467616149"/>
  </r>
  <r>
    <x v="25"/>
    <x v="0"/>
    <x v="2"/>
    <x v="2"/>
    <n v="729995"/>
    <n v="275532813.41930753"/>
    <n v="30752898"/>
    <n v="0"/>
    <n v="8.9595723115040258"/>
  </r>
  <r>
    <x v="25"/>
    <x v="0"/>
    <x v="2"/>
    <x v="4"/>
    <n v="127082"/>
    <n v="86881527.583668485"/>
    <n v="30752898"/>
    <n v="0"/>
    <n v="2.8251492780832717"/>
  </r>
  <r>
    <x v="25"/>
    <x v="0"/>
    <x v="3"/>
    <x v="1"/>
    <n v="12285028"/>
    <n v="21804268077.596016"/>
    <n v="39863021"/>
    <n v="0"/>
    <n v="546.9798206612594"/>
  </r>
  <r>
    <x v="25"/>
    <x v="0"/>
    <x v="3"/>
    <x v="0"/>
    <n v="5142124"/>
    <n v="773017649.59161294"/>
    <n v="39863021"/>
    <n v="0"/>
    <n v="19.391848138945939"/>
  </r>
  <r>
    <x v="25"/>
    <x v="0"/>
    <x v="3"/>
    <x v="2"/>
    <n v="3061813"/>
    <n v="682181415.87299848"/>
    <n v="39863021"/>
    <n v="0"/>
    <n v="17.113138913204757"/>
  </r>
  <r>
    <x v="25"/>
    <x v="0"/>
    <x v="3"/>
    <x v="3"/>
    <n v="495495"/>
    <n v="55534399.309051722"/>
    <n v="39863021"/>
    <n v="0"/>
    <n v="1.3931307240625772"/>
  </r>
  <r>
    <x v="25"/>
    <x v="0"/>
    <x v="3"/>
    <x v="4"/>
    <n v="158338"/>
    <n v="114868029.19162312"/>
    <n v="39863021"/>
    <n v="0"/>
    <n v="2.8815685893857146"/>
  </r>
  <r>
    <x v="25"/>
    <x v="1"/>
    <x v="0"/>
    <x v="1"/>
    <n v="24117274"/>
    <n v="33342321630.613514"/>
    <n v="47528184"/>
    <n v="0"/>
    <n v="701.52736386085178"/>
  </r>
  <r>
    <x v="25"/>
    <x v="1"/>
    <x v="0"/>
    <x v="0"/>
    <n v="6713747"/>
    <n v="1120730273.3482153"/>
    <n v="47528184"/>
    <n v="0"/>
    <n v="23.580330217292026"/>
  </r>
  <r>
    <x v="25"/>
    <x v="1"/>
    <x v="0"/>
    <x v="2"/>
    <n v="2690762"/>
    <n v="821493664.58064198"/>
    <n v="47528184"/>
    <n v="0"/>
    <n v="17.284347842548371"/>
  </r>
  <r>
    <x v="25"/>
    <x v="1"/>
    <x v="0"/>
    <x v="3"/>
    <n v="375910"/>
    <n v="34542738.889085874"/>
    <n v="47528184"/>
    <n v="0"/>
    <n v="0.72678431999602333"/>
  </r>
  <r>
    <x v="25"/>
    <x v="1"/>
    <x v="0"/>
    <x v="4"/>
    <n v="134249"/>
    <n v="108039623.26819064"/>
    <n v="47528184"/>
    <n v="0"/>
    <n v="2.2731696053901542"/>
  </r>
  <r>
    <x v="25"/>
    <x v="1"/>
    <x v="1"/>
    <x v="1"/>
    <n v="16455353"/>
    <n v="41423292021.956635"/>
    <n v="53298949"/>
    <n v="373510995"/>
    <n v="777.18778323296078"/>
  </r>
  <r>
    <x v="25"/>
    <x v="1"/>
    <x v="1"/>
    <x v="0"/>
    <n v="7845252"/>
    <n v="1506620072.6624596"/>
    <n v="53298949"/>
    <n v="373510995"/>
    <n v="28.267350499959381"/>
  </r>
  <r>
    <x v="25"/>
    <x v="1"/>
    <x v="1"/>
    <x v="2"/>
    <n v="4827067"/>
    <n v="1664621261.2600245"/>
    <n v="53298949"/>
    <n v="373510995"/>
    <n v="31.231783974952762"/>
  </r>
  <r>
    <x v="25"/>
    <x v="1"/>
    <x v="1"/>
    <x v="3"/>
    <n v="202705"/>
    <n v="20424212.30787918"/>
    <n v="53298949"/>
    <n v="373510995"/>
    <n v="0.38320103287363472"/>
  </r>
  <r>
    <x v="25"/>
    <x v="1"/>
    <x v="1"/>
    <x v="4"/>
    <n v="181647"/>
    <n v="139897303.48684609"/>
    <n v="53298949"/>
    <n v="373510995"/>
    <n v="2.6247666438384383"/>
  </r>
  <r>
    <x v="25"/>
    <x v="1"/>
    <x v="2"/>
    <x v="1"/>
    <n v="18490877"/>
    <n v="51447586885.480347"/>
    <n v="59259299"/>
    <n v="1431996016"/>
    <n v="868.17744647098084"/>
  </r>
  <r>
    <x v="25"/>
    <x v="1"/>
    <x v="2"/>
    <x v="2"/>
    <n v="13984738"/>
    <n v="3895753253.3344541"/>
    <n v="59259299"/>
    <n v="1431996016"/>
    <n v="65.740792062600235"/>
  </r>
  <r>
    <x v="25"/>
    <x v="1"/>
    <x v="2"/>
    <x v="0"/>
    <n v="8565917"/>
    <n v="1806123698.4609375"/>
    <n v="59259299"/>
    <n v="1431996016"/>
    <n v="30.478316972007001"/>
  </r>
  <r>
    <x v="25"/>
    <x v="1"/>
    <x v="2"/>
    <x v="3"/>
    <n v="195034"/>
    <n v="31079934.758642014"/>
    <n v="59259299"/>
    <n v="1431996016"/>
    <n v="0.52447354732701135"/>
  </r>
  <r>
    <x v="25"/>
    <x v="1"/>
    <x v="2"/>
    <x v="4"/>
    <n v="185706"/>
    <n v="124033587.18883926"/>
    <n v="59259299"/>
    <n v="1431996016"/>
    <n v="2.0930653801496919"/>
  </r>
  <r>
    <x v="25"/>
    <x v="1"/>
    <x v="3"/>
    <x v="1"/>
    <n v="43284477"/>
    <n v="72966050937.295044"/>
    <n v="67270907"/>
    <n v="2088962909"/>
    <n v="1084.6598357488333"/>
  </r>
  <r>
    <x v="25"/>
    <x v="1"/>
    <x v="3"/>
    <x v="0"/>
    <n v="10629461"/>
    <n v="2290841668.3045249"/>
    <n v="67270907"/>
    <n v="2088962909"/>
    <n v="34.053973262238387"/>
  </r>
  <r>
    <x v="25"/>
    <x v="1"/>
    <x v="3"/>
    <x v="2"/>
    <n v="10601703"/>
    <n v="4395710870.1542511"/>
    <n v="67270907"/>
    <n v="2088962909"/>
    <n v="65.343416139078528"/>
  </r>
  <r>
    <x v="25"/>
    <x v="1"/>
    <x v="3"/>
    <x v="3"/>
    <n v="323887"/>
    <n v="38782542.045898683"/>
    <n v="67270907"/>
    <n v="2088962909"/>
    <n v="0.57651284597513575"/>
  </r>
  <r>
    <x v="25"/>
    <x v="1"/>
    <x v="3"/>
    <x v="4"/>
    <n v="156105"/>
    <n v="77987614.250833705"/>
    <n v="67270907"/>
    <n v="2088962909"/>
    <n v="1.1593067156182941"/>
  </r>
  <r>
    <x v="25"/>
    <x v="2"/>
    <x v="0"/>
    <x v="1"/>
    <n v="27110930"/>
    <n v="82863844732.494095"/>
    <n v="73182670"/>
    <n v="1935104842"/>
    <n v="1132.2878043735504"/>
  </r>
  <r>
    <x v="25"/>
    <x v="2"/>
    <x v="0"/>
    <x v="2"/>
    <n v="13269709"/>
    <n v="5738217250.0625687"/>
    <n v="73182670"/>
    <n v="1935104842"/>
    <n v="78.409509383335816"/>
  </r>
  <r>
    <x v="25"/>
    <x v="2"/>
    <x v="0"/>
    <x v="0"/>
    <n v="13083524"/>
    <n v="3253609732.8992968"/>
    <n v="73182670"/>
    <n v="1935104842"/>
    <n v="44.458745942164953"/>
  </r>
  <r>
    <x v="25"/>
    <x v="2"/>
    <x v="0"/>
    <x v="3"/>
    <n v="84037"/>
    <n v="27641460.905009564"/>
    <n v="73182670"/>
    <n v="1935104842"/>
    <n v="0.37770500727849315"/>
  </r>
  <r>
    <x v="25"/>
    <x v="2"/>
    <x v="0"/>
    <x v="4"/>
    <n v="134107"/>
    <n v="73485022.97217913"/>
    <n v="73182670"/>
    <n v="1935104842"/>
    <n v="1.0041314832074195"/>
  </r>
  <r>
    <x v="25"/>
    <x v="2"/>
    <x v="1"/>
    <x v="1"/>
    <n v="24520938"/>
    <n v="80990080777.892517"/>
    <n v="79841465"/>
    <n v="1701510492"/>
    <n v="1014.3862061886329"/>
  </r>
  <r>
    <x v="25"/>
    <x v="2"/>
    <x v="1"/>
    <x v="0"/>
    <n v="17040333"/>
    <n v="4551061364.3448095"/>
    <n v="79841465"/>
    <n v="1701510492"/>
    <n v="57.00122567070644"/>
  </r>
  <r>
    <x v="25"/>
    <x v="2"/>
    <x v="1"/>
    <x v="2"/>
    <n v="8313965"/>
    <n v="6092753944.9481163"/>
    <n v="79841465"/>
    <n v="1701510492"/>
    <n v="76.310648169445741"/>
  </r>
  <r>
    <x v="25"/>
    <x v="2"/>
    <x v="1"/>
    <x v="3"/>
    <n v="66787"/>
    <n v="50322080.338512495"/>
    <n v="79841465"/>
    <n v="1701510492"/>
    <n v="0.63027501234493244"/>
  </r>
  <r>
    <x v="25"/>
    <x v="2"/>
    <x v="1"/>
    <x v="4"/>
    <n v="86553"/>
    <n v="48818444.572588921"/>
    <n v="79841465"/>
    <n v="1701510492"/>
    <n v="0.61144224461047803"/>
  </r>
  <r>
    <x v="25"/>
    <x v="2"/>
    <x v="2"/>
    <x v="1"/>
    <n v="34182172"/>
    <n v="107064668710.39911"/>
    <n v="86919305"/>
    <n v="2261574326"/>
    <n v="1231.7708788674634"/>
  </r>
  <r>
    <x v="25"/>
    <x v="2"/>
    <x v="2"/>
    <x v="0"/>
    <n v="17126851"/>
    <n v="5015719823.5144787"/>
    <n v="86919305"/>
    <n v="2261574326"/>
    <n v="57.705475481131366"/>
  </r>
  <r>
    <x v="25"/>
    <x v="2"/>
    <x v="2"/>
    <x v="2"/>
    <n v="14519265"/>
    <n v="10242496366.436386"/>
    <n v="86919305"/>
    <n v="2261574326"/>
    <n v="117.83914248320768"/>
  </r>
  <r>
    <x v="25"/>
    <x v="2"/>
    <x v="2"/>
    <x v="3"/>
    <n v="90736"/>
    <n v="84971747.757552683"/>
    <n v="86919305"/>
    <n v="2261574326"/>
    <n v="0.9775935018987173"/>
  </r>
  <r>
    <x v="25"/>
    <x v="2"/>
    <x v="2"/>
    <x v="4"/>
    <n v="114805"/>
    <n v="56087156.185133971"/>
    <n v="86919305"/>
    <n v="2261574326"/>
    <n v="0.64527847047481535"/>
  </r>
  <r>
    <x v="25"/>
    <x v="2"/>
    <x v="3"/>
    <x v="1"/>
    <n v="47588728"/>
    <n v="153208735347.12689"/>
    <n v="94586261"/>
    <n v="2970938223"/>
    <n v="1619.7779014346163"/>
  </r>
  <r>
    <x v="25"/>
    <x v="2"/>
    <x v="3"/>
    <x v="2"/>
    <n v="27124765"/>
    <n v="19347472702.804092"/>
    <n v="94586261"/>
    <n v="2970938223"/>
    <n v="204.5484460243554"/>
  </r>
  <r>
    <x v="25"/>
    <x v="2"/>
    <x v="3"/>
    <x v="0"/>
    <n v="17318073"/>
    <n v="5532179002.0027885"/>
    <n v="94586261"/>
    <n v="2970938223"/>
    <n v="58.48818785640325"/>
  </r>
  <r>
    <x v="25"/>
    <x v="2"/>
    <x v="3"/>
    <x v="3"/>
    <n v="106189"/>
    <n v="104419909.66526456"/>
    <n v="94586261"/>
    <n v="2970938223"/>
    <n v="1.103964873558799"/>
  </r>
  <r>
    <x v="25"/>
    <x v="2"/>
    <x v="3"/>
    <x v="4"/>
    <n v="187195"/>
    <n v="109856053.01820508"/>
    <n v="94586261"/>
    <n v="2970938223"/>
    <n v="1.1614377379628642"/>
  </r>
  <r>
    <x v="25"/>
    <x v="3"/>
    <x v="0"/>
    <x v="1"/>
    <n v="54417515"/>
    <n v="181450436291.91052"/>
    <n v="101563099"/>
    <n v="3314470214"/>
    <n v="1786.5783742174954"/>
  </r>
  <r>
    <x v="25"/>
    <x v="3"/>
    <x v="0"/>
    <x v="2"/>
    <n v="38180718"/>
    <n v="25201936762.205833"/>
    <n v="101563099"/>
    <n v="3314470214"/>
    <n v="248.14068308614563"/>
  </r>
  <r>
    <x v="25"/>
    <x v="3"/>
    <x v="0"/>
    <x v="0"/>
    <n v="18633830"/>
    <n v="6552605937.5455427"/>
    <n v="101563099"/>
    <n v="3314470214"/>
    <n v="64.517585639500254"/>
  </r>
  <r>
    <x v="25"/>
    <x v="3"/>
    <x v="0"/>
    <x v="3"/>
    <n v="87263"/>
    <n v="95064023.948443666"/>
    <n v="101563099"/>
    <n v="3314470214"/>
    <n v="0.93600948459089128"/>
  </r>
  <r>
    <x v="25"/>
    <x v="3"/>
    <x v="0"/>
    <x v="4"/>
    <n v="141032"/>
    <n v="97693172.730528504"/>
    <n v="101563099"/>
    <n v="3314470214"/>
    <n v="0.96189633530706364"/>
  </r>
  <r>
    <x v="25"/>
    <x v="3"/>
    <x v="1"/>
    <x v="1"/>
    <n v="66929109"/>
    <n v="208405882369.05441"/>
    <n v="108801319"/>
    <n v="4043341434"/>
    <n v="1915.4720207854687"/>
  </r>
  <r>
    <x v="25"/>
    <x v="3"/>
    <x v="1"/>
    <x v="2"/>
    <n v="39402607"/>
    <n v="29208847674.899841"/>
    <n v="108801319"/>
    <n v="4043341434"/>
    <n v="268.46041889344963"/>
  </r>
  <r>
    <x v="25"/>
    <x v="3"/>
    <x v="1"/>
    <x v="0"/>
    <n v="25183699"/>
    <n v="8024323050.14009"/>
    <n v="108801319"/>
    <n v="4043341434"/>
    <n v="73.752075102509465"/>
  </r>
  <r>
    <x v="25"/>
    <x v="3"/>
    <x v="1"/>
    <x v="3"/>
    <n v="102474"/>
    <n v="102761986.97553992"/>
    <n v="108801319"/>
    <n v="4043341434"/>
    <n v="0.94449210652988425"/>
  </r>
  <r>
    <x v="25"/>
    <x v="3"/>
    <x v="1"/>
    <x v="4"/>
    <n v="206448"/>
    <n v="122302396.20450994"/>
    <n v="108801319"/>
    <n v="4043341434"/>
    <n v="1.1240892787752872"/>
  </r>
  <r>
    <x v="25"/>
    <x v="3"/>
    <x v="2"/>
    <x v="1"/>
    <n v="85728576"/>
    <n v="251150860524.22568"/>
    <n v="117177390"/>
    <n v="5421676744"/>
    <n v="2143.3389199420271"/>
  </r>
  <r>
    <x v="25"/>
    <x v="3"/>
    <x v="2"/>
    <x v="2"/>
    <n v="64268830"/>
    <n v="43316348173.180038"/>
    <n v="117177390"/>
    <n v="5421676744"/>
    <n v="369.66472946000965"/>
  </r>
  <r>
    <x v="25"/>
    <x v="3"/>
    <x v="2"/>
    <x v="0"/>
    <n v="26943670"/>
    <n v="9025674783.4041977"/>
    <n v="117177390"/>
    <n v="5421676744"/>
    <n v="77.025736649401367"/>
  </r>
  <r>
    <x v="25"/>
    <x v="3"/>
    <x v="2"/>
    <x v="3"/>
    <n v="97213"/>
    <n v="112383446.87807697"/>
    <n v="117177390"/>
    <n v="5421676744"/>
    <n v="0.95908815581296847"/>
  </r>
  <r>
    <x v="25"/>
    <x v="3"/>
    <x v="2"/>
    <x v="4"/>
    <n v="324385"/>
    <n v="175452005.35341299"/>
    <n v="117177390"/>
    <n v="5421676744"/>
    <n v="1.4973196224409246"/>
  </r>
  <r>
    <x v="25"/>
    <x v="3"/>
    <x v="3"/>
    <x v="1"/>
    <n v="107560893"/>
    <n v="310704112799.89081"/>
    <n v="125391585"/>
    <n v="6240865906"/>
    <n v="2477.8705269567395"/>
  </r>
  <r>
    <x v="25"/>
    <x v="3"/>
    <x v="3"/>
    <x v="2"/>
    <n v="99512650"/>
    <n v="63383870318.301788"/>
    <n v="125391585"/>
    <n v="6240865906"/>
    <n v="505.48743217738087"/>
  </r>
  <r>
    <x v="25"/>
    <x v="3"/>
    <x v="3"/>
    <x v="0"/>
    <n v="26302130"/>
    <n v="10728834440.697895"/>
    <n v="125391585"/>
    <n v="6240865906"/>
    <n v="85.562635169639933"/>
  </r>
  <r>
    <x v="25"/>
    <x v="3"/>
    <x v="3"/>
    <x v="3"/>
    <n v="133004"/>
    <n v="147526652.49426866"/>
    <n v="125391585"/>
    <n v="6240865906"/>
    <n v="1.1765275356736951"/>
  </r>
  <r>
    <x v="25"/>
    <x v="3"/>
    <x v="3"/>
    <x v="4"/>
    <n v="416689"/>
    <n v="286705478.53455383"/>
    <n v="125391585"/>
    <n v="6240865906"/>
    <n v="2.2864810149305779"/>
  </r>
  <r>
    <x v="26"/>
    <x v="0"/>
    <x v="0"/>
    <x v="0"/>
    <n v="53125"/>
    <n v="9704752.6489832364"/>
    <n v="542498"/>
    <n v="0"/>
    <n v="17.889010925354999"/>
  </r>
  <r>
    <x v="26"/>
    <x v="0"/>
    <x v="0"/>
    <x v="1"/>
    <n v="40303"/>
    <n v="147834476.16250613"/>
    <n v="542498"/>
    <n v="0"/>
    <n v="272.50695147725179"/>
  </r>
  <r>
    <x v="26"/>
    <x v="0"/>
    <x v="0"/>
    <x v="2"/>
    <n v="4163"/>
    <n v="4427034.0315394765"/>
    <n v="542498"/>
    <n v="0"/>
    <n v="8.1604614791934278"/>
  </r>
  <r>
    <x v="26"/>
    <x v="0"/>
    <x v="0"/>
    <x v="3"/>
    <n v="2086"/>
    <n v="565799.45534425718"/>
    <n v="542498"/>
    <n v="0"/>
    <n v="1.0429521497669247"/>
  </r>
  <r>
    <x v="26"/>
    <x v="0"/>
    <x v="0"/>
    <x v="4"/>
    <n v="4535"/>
    <n v="3293909.0714630377"/>
    <n v="542498"/>
    <n v="0"/>
    <n v="6.0717441750256"/>
  </r>
  <r>
    <x v="26"/>
    <x v="0"/>
    <x v="1"/>
    <x v="0"/>
    <n v="59867"/>
    <n v="14607336.895731753"/>
    <n v="721380"/>
    <n v="0"/>
    <n v="20.249157026437874"/>
  </r>
  <r>
    <x v="26"/>
    <x v="0"/>
    <x v="1"/>
    <x v="1"/>
    <n v="57751"/>
    <n v="261299695.1891191"/>
    <n v="721380"/>
    <n v="0"/>
    <n v="362.22198451456808"/>
  </r>
  <r>
    <x v="26"/>
    <x v="0"/>
    <x v="1"/>
    <x v="2"/>
    <n v="6904"/>
    <n v="6103101.528770715"/>
    <n v="721380"/>
    <n v="0"/>
    <n v="8.4603142986646631"/>
  </r>
  <r>
    <x v="26"/>
    <x v="0"/>
    <x v="1"/>
    <x v="3"/>
    <n v="2105"/>
    <n v="822585.95719086996"/>
    <n v="721380"/>
    <n v="0"/>
    <n v="1.1402949308143697"/>
  </r>
  <r>
    <x v="26"/>
    <x v="0"/>
    <x v="1"/>
    <x v="4"/>
    <n v="3634"/>
    <n v="2968399.9616244407"/>
    <n v="721380"/>
    <n v="0"/>
    <n v="4.1148908503485551"/>
  </r>
  <r>
    <x v="26"/>
    <x v="0"/>
    <x v="2"/>
    <x v="1"/>
    <n v="101817"/>
    <n v="378368361.36171496"/>
    <n v="897006"/>
    <n v="0"/>
    <n v="421.812520051945"/>
  </r>
  <r>
    <x v="26"/>
    <x v="0"/>
    <x v="2"/>
    <x v="0"/>
    <n v="67909"/>
    <n v="19654338.114449568"/>
    <n v="897006"/>
    <n v="0"/>
    <n v="21.911044200874429"/>
  </r>
  <r>
    <x v="26"/>
    <x v="0"/>
    <x v="2"/>
    <x v="2"/>
    <n v="14384"/>
    <n v="16102024.2759922"/>
    <n v="897006"/>
    <n v="0"/>
    <n v="17.950854594051989"/>
  </r>
  <r>
    <x v="26"/>
    <x v="0"/>
    <x v="2"/>
    <x v="3"/>
    <n v="1766"/>
    <n v="395306.64210759662"/>
    <n v="897006"/>
    <n v="0"/>
    <n v="0.44069564987034271"/>
  </r>
  <r>
    <x v="26"/>
    <x v="0"/>
    <x v="2"/>
    <x v="4"/>
    <n v="4395"/>
    <n v="3138045.0999426576"/>
    <n v="897006"/>
    <n v="0"/>
    <n v="3.4983546374747299"/>
  </r>
  <r>
    <x v="26"/>
    <x v="0"/>
    <x v="3"/>
    <x v="1"/>
    <n v="173170"/>
    <n v="569825171.33697593"/>
    <n v="1204434"/>
    <n v="0"/>
    <n v="473.10618210460342"/>
  </r>
  <r>
    <x v="26"/>
    <x v="0"/>
    <x v="3"/>
    <x v="0"/>
    <n v="95788"/>
    <n v="25159891.51570208"/>
    <n v="1204434"/>
    <n v="0"/>
    <n v="20.889389967156422"/>
  </r>
  <r>
    <x v="26"/>
    <x v="0"/>
    <x v="3"/>
    <x v="2"/>
    <n v="29470"/>
    <n v="25999609.758757301"/>
    <n v="1204434"/>
    <n v="0"/>
    <n v="21.586579056019094"/>
  </r>
  <r>
    <x v="26"/>
    <x v="0"/>
    <x v="3"/>
    <x v="3"/>
    <n v="3490"/>
    <n v="689170.07268646813"/>
    <n v="1204434"/>
    <n v="0"/>
    <n v="0.57219413657076112"/>
  </r>
  <r>
    <x v="26"/>
    <x v="0"/>
    <x v="3"/>
    <x v="4"/>
    <n v="6046"/>
    <n v="4017822.7393730418"/>
    <n v="1204434"/>
    <n v="0"/>
    <n v="3.335859614867267"/>
  </r>
  <r>
    <x v="26"/>
    <x v="1"/>
    <x v="0"/>
    <x v="1"/>
    <n v="313822"/>
    <n v="835983054.25464296"/>
    <n v="1463649"/>
    <n v="0"/>
    <n v="571.16361522102841"/>
  </r>
  <r>
    <x v="26"/>
    <x v="1"/>
    <x v="0"/>
    <x v="0"/>
    <n v="124092"/>
    <n v="32635247.523153085"/>
    <n v="1463649"/>
    <n v="0"/>
    <n v="22.297181580524487"/>
  </r>
  <r>
    <x v="26"/>
    <x v="1"/>
    <x v="0"/>
    <x v="2"/>
    <n v="54518"/>
    <n v="33763704.680837251"/>
    <n v="1463649"/>
    <n v="0"/>
    <n v="23.068170497733576"/>
  </r>
  <r>
    <x v="26"/>
    <x v="1"/>
    <x v="0"/>
    <x v="3"/>
    <n v="3165"/>
    <n v="337570.32284238498"/>
    <n v="1463649"/>
    <n v="0"/>
    <n v="0.23063611756806787"/>
  </r>
  <r>
    <x v="26"/>
    <x v="1"/>
    <x v="0"/>
    <x v="4"/>
    <n v="5495"/>
    <n v="3753447.525046112"/>
    <n v="1463649"/>
    <n v="0"/>
    <n v="2.5644451128966796"/>
  </r>
  <r>
    <x v="26"/>
    <x v="1"/>
    <x v="1"/>
    <x v="1"/>
    <n v="331248"/>
    <n v="1109343371.746654"/>
    <n v="1721038"/>
    <n v="7281252"/>
    <n v="644.57808121996959"/>
  </r>
  <r>
    <x v="26"/>
    <x v="1"/>
    <x v="1"/>
    <x v="0"/>
    <n v="147585"/>
    <n v="46876569.36325147"/>
    <n v="1721038"/>
    <n v="7281252"/>
    <n v="27.237381953943764"/>
  </r>
  <r>
    <x v="26"/>
    <x v="1"/>
    <x v="1"/>
    <x v="2"/>
    <n v="92941"/>
    <n v="49963601.615546763"/>
    <n v="1721038"/>
    <n v="7281252"/>
    <n v="29.031085667804408"/>
  </r>
  <r>
    <x v="26"/>
    <x v="1"/>
    <x v="1"/>
    <x v="3"/>
    <n v="1524"/>
    <n v="469351.54819677607"/>
    <n v="1721038"/>
    <n v="7281252"/>
    <n v="0.2727142272261136"/>
  </r>
  <r>
    <x v="26"/>
    <x v="1"/>
    <x v="1"/>
    <x v="4"/>
    <n v="6779"/>
    <n v="4794015.8541584257"/>
    <n v="1721038"/>
    <n v="7281252"/>
    <n v="2.785537480380111"/>
  </r>
  <r>
    <x v="26"/>
    <x v="1"/>
    <x v="2"/>
    <x v="1"/>
    <n v="394866"/>
    <n v="1316118199.6720929"/>
    <n v="1956548"/>
    <n v="27246142"/>
    <n v="672.67360661332759"/>
  </r>
  <r>
    <x v="26"/>
    <x v="1"/>
    <x v="2"/>
    <x v="0"/>
    <n v="158483"/>
    <n v="57003044.295498252"/>
    <n v="1956548"/>
    <n v="27246142"/>
    <n v="29.134498256878057"/>
  </r>
  <r>
    <x v="26"/>
    <x v="1"/>
    <x v="2"/>
    <x v="2"/>
    <n v="156137"/>
    <n v="82601335.478254139"/>
    <n v="1956548"/>
    <n v="27246142"/>
    <n v="42.217893697601156"/>
  </r>
  <r>
    <x v="26"/>
    <x v="1"/>
    <x v="2"/>
    <x v="3"/>
    <n v="1090"/>
    <n v="528680.89759528893"/>
    <n v="1956548"/>
    <n v="27246142"/>
    <n v="0.27021105416033181"/>
  </r>
  <r>
    <x v="26"/>
    <x v="1"/>
    <x v="2"/>
    <x v="4"/>
    <n v="6250"/>
    <n v="4457097.1119702151"/>
    <n v="1956548"/>
    <n v="27246142"/>
    <n v="2.2780412808529182"/>
  </r>
  <r>
    <x v="26"/>
    <x v="1"/>
    <x v="3"/>
    <x v="1"/>
    <n v="559670"/>
    <n v="1725523873.442102"/>
    <n v="2247212"/>
    <n v="35894342"/>
    <n v="767.85095195384417"/>
  </r>
  <r>
    <x v="26"/>
    <x v="1"/>
    <x v="3"/>
    <x v="2"/>
    <n v="249621"/>
    <n v="128039884.38667427"/>
    <n v="2247212"/>
    <n v="35894342"/>
    <n v="56.977216384869017"/>
  </r>
  <r>
    <x v="26"/>
    <x v="1"/>
    <x v="3"/>
    <x v="0"/>
    <n v="195707"/>
    <n v="74383571.675933748"/>
    <n v="2247212"/>
    <n v="35894342"/>
    <n v="33.10038023823909"/>
  </r>
  <r>
    <x v="26"/>
    <x v="1"/>
    <x v="3"/>
    <x v="3"/>
    <n v="1481"/>
    <n v="391196.12844819052"/>
    <n v="2247212"/>
    <n v="35894342"/>
    <n v="0.17408065124616215"/>
  </r>
  <r>
    <x v="26"/>
    <x v="1"/>
    <x v="3"/>
    <x v="4"/>
    <n v="6176"/>
    <n v="3689792.2457444831"/>
    <n v="2247212"/>
    <n v="35894342"/>
    <n v="1.6419422136160198"/>
  </r>
  <r>
    <x v="26"/>
    <x v="2"/>
    <x v="0"/>
    <x v="1"/>
    <n v="600290"/>
    <n v="1919499665.8834748"/>
    <n v="2539988"/>
    <n v="42030373"/>
    <n v="755.71210016877046"/>
  </r>
  <r>
    <x v="26"/>
    <x v="2"/>
    <x v="0"/>
    <x v="2"/>
    <n v="349788"/>
    <n v="184925417.68654612"/>
    <n v="2539988"/>
    <n v="42030373"/>
    <n v="72.805626517348159"/>
  </r>
  <r>
    <x v="26"/>
    <x v="2"/>
    <x v="0"/>
    <x v="0"/>
    <n v="251115"/>
    <n v="96515615.435203537"/>
    <n v="2539988"/>
    <n v="42030373"/>
    <n v="37.998453313639097"/>
  </r>
  <r>
    <x v="26"/>
    <x v="2"/>
    <x v="0"/>
    <x v="3"/>
    <n v="1527"/>
    <n v="858236.54982346343"/>
    <n v="2539988"/>
    <n v="42030373"/>
    <n v="0.33789000177302547"/>
  </r>
  <r>
    <x v="26"/>
    <x v="2"/>
    <x v="0"/>
    <x v="4"/>
    <n v="5201"/>
    <n v="3478541.5245353868"/>
    <n v="2539988"/>
    <n v="42030373"/>
    <n v="1.3695110073493997"/>
  </r>
  <r>
    <x v="26"/>
    <x v="2"/>
    <x v="1"/>
    <x v="1"/>
    <n v="468789"/>
    <n v="1680190117.5830743"/>
    <n v="2811600"/>
    <n v="33633688"/>
    <n v="597.59216018746417"/>
  </r>
  <r>
    <x v="26"/>
    <x v="2"/>
    <x v="1"/>
    <x v="0"/>
    <n v="310746"/>
    <n v="115223074.03158064"/>
    <n v="2811600"/>
    <n v="33633688"/>
    <n v="40.981318121916573"/>
  </r>
  <r>
    <x v="26"/>
    <x v="2"/>
    <x v="1"/>
    <x v="2"/>
    <n v="249951"/>
    <n v="160931601.28167117"/>
    <n v="2811600"/>
    <n v="33633688"/>
    <n v="57.238441201334176"/>
  </r>
  <r>
    <x v="26"/>
    <x v="2"/>
    <x v="1"/>
    <x v="3"/>
    <n v="1555"/>
    <n v="2339469.0036580288"/>
    <n v="2811600"/>
    <n v="33633688"/>
    <n v="0.83207746608978117"/>
  </r>
  <r>
    <x v="26"/>
    <x v="2"/>
    <x v="1"/>
    <x v="4"/>
    <n v="2342"/>
    <n v="1346718.5876069884"/>
    <n v="2811600"/>
    <n v="33633688"/>
    <n v="0.47898655129000867"/>
  </r>
  <r>
    <x v="26"/>
    <x v="2"/>
    <x v="2"/>
    <x v="1"/>
    <n v="855511"/>
    <n v="3116583524.6597652"/>
    <n v="3136903"/>
    <n v="46443749"/>
    <n v="993.52244065556545"/>
  </r>
  <r>
    <x v="26"/>
    <x v="2"/>
    <x v="2"/>
    <x v="2"/>
    <n v="560420"/>
    <n v="335583369.65612602"/>
    <n v="3136903"/>
    <n v="46443749"/>
    <n v="106.97919880089567"/>
  </r>
  <r>
    <x v="26"/>
    <x v="2"/>
    <x v="2"/>
    <x v="0"/>
    <n v="306852"/>
    <n v="138925436.52727452"/>
    <n v="3136903"/>
    <n v="46443749"/>
    <n v="44.287450561038874"/>
  </r>
  <r>
    <x v="26"/>
    <x v="2"/>
    <x v="2"/>
    <x v="3"/>
    <n v="3039"/>
    <n v="4788490.3633704996"/>
    <n v="3136903"/>
    <n v="46443749"/>
    <n v="1.5265025292049195"/>
  </r>
  <r>
    <x v="26"/>
    <x v="2"/>
    <x v="2"/>
    <x v="4"/>
    <n v="5080"/>
    <n v="2199408.2280669413"/>
    <n v="3136903"/>
    <n v="46443749"/>
    <n v="0.70114001869580966"/>
  </r>
  <r>
    <x v="26"/>
    <x v="2"/>
    <x v="3"/>
    <x v="1"/>
    <n v="1211359"/>
    <n v="4090057482.9812045"/>
    <n v="3515886"/>
    <n v="70148496"/>
    <n v="1163.3077645239932"/>
  </r>
  <r>
    <x v="26"/>
    <x v="2"/>
    <x v="3"/>
    <x v="2"/>
    <n v="1108292"/>
    <n v="647985607.5763036"/>
    <n v="3515886"/>
    <n v="70148496"/>
    <n v="184.30222355796053"/>
  </r>
  <r>
    <x v="26"/>
    <x v="2"/>
    <x v="3"/>
    <x v="0"/>
    <n v="383707"/>
    <n v="184037245.74375987"/>
    <n v="3515886"/>
    <n v="70148496"/>
    <n v="52.344486068023784"/>
  </r>
  <r>
    <x v="26"/>
    <x v="2"/>
    <x v="3"/>
    <x v="3"/>
    <n v="3783"/>
    <n v="3888988.2367634568"/>
    <n v="3515886"/>
    <n v="70148496"/>
    <n v="1.1061189801840723"/>
  </r>
  <r>
    <x v="26"/>
    <x v="2"/>
    <x v="3"/>
    <x v="4"/>
    <n v="8862"/>
    <n v="4556893.1331745479"/>
    <n v="3515886"/>
    <n v="70148496"/>
    <n v="1.2960867141808774"/>
  </r>
  <r>
    <x v="26"/>
    <x v="3"/>
    <x v="0"/>
    <x v="1"/>
    <n v="1406958"/>
    <n v="4798646712.5019426"/>
    <n v="3809069"/>
    <n v="87059577"/>
    <n v="1259.7951658271202"/>
  </r>
  <r>
    <x v="26"/>
    <x v="3"/>
    <x v="0"/>
    <x v="2"/>
    <n v="1385444"/>
    <n v="857787315.62927616"/>
    <n v="3809069"/>
    <n v="87059577"/>
    <n v="225.19605594681434"/>
  </r>
  <r>
    <x v="26"/>
    <x v="3"/>
    <x v="0"/>
    <x v="0"/>
    <n v="504499"/>
    <n v="231829246.92353857"/>
    <n v="3809069"/>
    <n v="87059577"/>
    <n v="60.862443532406097"/>
  </r>
  <r>
    <x v="26"/>
    <x v="3"/>
    <x v="0"/>
    <x v="3"/>
    <n v="5073"/>
    <n v="5953397.4349969355"/>
    <n v="3809069"/>
    <n v="87059577"/>
    <n v="1.562953423788578"/>
  </r>
  <r>
    <x v="26"/>
    <x v="3"/>
    <x v="0"/>
    <x v="4"/>
    <n v="7458"/>
    <n v="5092899.2538959524"/>
    <n v="3809069"/>
    <n v="87059577"/>
    <n v="1.3370456806888908"/>
  </r>
  <r>
    <x v="26"/>
    <x v="3"/>
    <x v="1"/>
    <x v="1"/>
    <n v="1581221"/>
    <n v="5266478797.1422634"/>
    <n v="4069571"/>
    <n v="56968076"/>
    <n v="1294.1115407845848"/>
  </r>
  <r>
    <x v="26"/>
    <x v="3"/>
    <x v="1"/>
    <x v="2"/>
    <n v="1437110"/>
    <n v="932602617.31696916"/>
    <n v="4069571"/>
    <n v="56968076"/>
    <n v="229.16484742911948"/>
  </r>
  <r>
    <x v="26"/>
    <x v="3"/>
    <x v="1"/>
    <x v="0"/>
    <n v="719252"/>
    <n v="289799593.15714782"/>
    <n v="4069571"/>
    <n v="56968076"/>
    <n v="71.21133730242029"/>
  </r>
  <r>
    <x v="26"/>
    <x v="3"/>
    <x v="1"/>
    <x v="3"/>
    <n v="4851"/>
    <n v="4980243.907969391"/>
    <n v="4069571"/>
    <n v="56968076"/>
    <n v="1.223776144455863"/>
  </r>
  <r>
    <x v="26"/>
    <x v="3"/>
    <x v="1"/>
    <x v="4"/>
    <n v="8953"/>
    <n v="4973445.0195440706"/>
    <n v="4069571"/>
    <n v="56968076"/>
    <n v="1.2221054798021882"/>
  </r>
  <r>
    <x v="26"/>
    <x v="3"/>
    <x v="2"/>
    <x v="2"/>
    <n v="2273996"/>
    <n v="1443176801.0606492"/>
    <n v="4362699"/>
    <n v="75895512"/>
    <n v="330.79907668639277"/>
  </r>
  <r>
    <x v="26"/>
    <x v="3"/>
    <x v="2"/>
    <x v="1"/>
    <n v="2089199"/>
    <n v="6918396493.7784309"/>
    <n v="4362699"/>
    <n v="75895512"/>
    <n v="1585.8065142193927"/>
  </r>
  <r>
    <x v="26"/>
    <x v="3"/>
    <x v="2"/>
    <x v="0"/>
    <n v="741388"/>
    <n v="356068931.74410951"/>
    <n v="4362699"/>
    <n v="75895512"/>
    <n v="81.616662470665403"/>
  </r>
  <r>
    <x v="26"/>
    <x v="3"/>
    <x v="2"/>
    <x v="3"/>
    <n v="4733"/>
    <n v="5523949.081350253"/>
    <n v="4362699"/>
    <n v="75895512"/>
    <n v="1.2661769884537653"/>
  </r>
  <r>
    <x v="26"/>
    <x v="3"/>
    <x v="2"/>
    <x v="4"/>
    <n v="12410"/>
    <n v="6808255.3499292061"/>
    <n v="4362699"/>
    <n v="75895512"/>
    <n v="1.5605604122423311"/>
  </r>
  <r>
    <x v="26"/>
    <x v="3"/>
    <x v="3"/>
    <x v="2"/>
    <n v="3052713"/>
    <n v="1864951565.9282069"/>
    <n v="4654837"/>
    <n v="156833248"/>
    <n v="400.64809271048739"/>
  </r>
  <r>
    <x v="26"/>
    <x v="3"/>
    <x v="3"/>
    <x v="1"/>
    <n v="2530821"/>
    <n v="8113722339.4470339"/>
    <n v="4654837"/>
    <n v="156833248"/>
    <n v="1743.0733534701717"/>
  </r>
  <r>
    <x v="26"/>
    <x v="3"/>
    <x v="3"/>
    <x v="0"/>
    <n v="762641"/>
    <n v="428453211.31208152"/>
    <n v="4654837"/>
    <n v="156833248"/>
    <n v="92.044729238012309"/>
  </r>
  <r>
    <x v="26"/>
    <x v="3"/>
    <x v="3"/>
    <x v="3"/>
    <n v="5995"/>
    <n v="7655925.1085546799"/>
    <n v="4654837"/>
    <n v="156833248"/>
    <n v="1.6447246398863546"/>
  </r>
  <r>
    <x v="26"/>
    <x v="3"/>
    <x v="3"/>
    <x v="4"/>
    <n v="16640"/>
    <n v="8868759.4346358906"/>
    <n v="4654837"/>
    <n v="156833248"/>
    <n v="1.9052781944106507"/>
  </r>
  <r>
    <x v="27"/>
    <x v="0"/>
    <x v="0"/>
    <x v="0"/>
    <n v="946338"/>
    <n v="196018621.35851485"/>
    <n v="9318562"/>
    <n v="0"/>
    <n v="21.035286491468838"/>
  </r>
  <r>
    <x v="27"/>
    <x v="0"/>
    <x v="0"/>
    <x v="1"/>
    <n v="690684"/>
    <n v="2412434633.5413933"/>
    <n v="9318562"/>
    <n v="0"/>
    <n v="258.88486158501638"/>
  </r>
  <r>
    <x v="27"/>
    <x v="0"/>
    <x v="0"/>
    <x v="2"/>
    <n v="87477"/>
    <n v="83873893.962043241"/>
    <n v="9318562"/>
    <n v="0"/>
    <n v="9.0007335855084989"/>
  </r>
  <r>
    <x v="27"/>
    <x v="0"/>
    <x v="0"/>
    <x v="3"/>
    <n v="60688"/>
    <n v="11162488.423236402"/>
    <n v="9318562"/>
    <n v="0"/>
    <n v="1.1978767135139952"/>
  </r>
  <r>
    <x v="27"/>
    <x v="0"/>
    <x v="0"/>
    <x v="4"/>
    <n v="85246"/>
    <n v="77268587.569207966"/>
    <n v="9318562"/>
    <n v="0"/>
    <n v="8.2919003564292399"/>
  </r>
  <r>
    <x v="27"/>
    <x v="0"/>
    <x v="1"/>
    <x v="0"/>
    <n v="1262450"/>
    <n v="395417027.84974498"/>
    <n v="12674090"/>
    <n v="0"/>
    <n v="31.198849609695447"/>
  </r>
  <r>
    <x v="27"/>
    <x v="0"/>
    <x v="1"/>
    <x v="1"/>
    <n v="1017159"/>
    <n v="4036457553.7177477"/>
    <n v="12674090"/>
    <n v="0"/>
    <n v="318.48105494893503"/>
  </r>
  <r>
    <x v="27"/>
    <x v="0"/>
    <x v="1"/>
    <x v="2"/>
    <n v="147667"/>
    <n v="159406610.2632674"/>
    <n v="12674090"/>
    <n v="0"/>
    <n v="12.577361393462363"/>
  </r>
  <r>
    <x v="27"/>
    <x v="0"/>
    <x v="1"/>
    <x v="3"/>
    <n v="82256"/>
    <n v="17719391.411258094"/>
    <n v="12674090"/>
    <n v="0"/>
    <n v="1.3980799734938045"/>
  </r>
  <r>
    <x v="27"/>
    <x v="0"/>
    <x v="1"/>
    <x v="4"/>
    <n v="71631"/>
    <n v="75671628.765017703"/>
    <n v="12674090"/>
    <n v="0"/>
    <n v="5.9705768828387447"/>
  </r>
  <r>
    <x v="27"/>
    <x v="0"/>
    <x v="2"/>
    <x v="1"/>
    <n v="1684209"/>
    <n v="6173898400.5591173"/>
    <n v="16204628"/>
    <n v="0"/>
    <n v="380.99599698056119"/>
  </r>
  <r>
    <x v="27"/>
    <x v="0"/>
    <x v="2"/>
    <x v="0"/>
    <n v="1381730"/>
    <n v="622737633.75249183"/>
    <n v="16204628"/>
    <n v="0"/>
    <n v="38.429616141295675"/>
  </r>
  <r>
    <x v="27"/>
    <x v="0"/>
    <x v="2"/>
    <x v="2"/>
    <n v="274458"/>
    <n v="194883994.57571086"/>
    <n v="16204628"/>
    <n v="0"/>
    <n v="12.026440506731216"/>
  </r>
  <r>
    <x v="27"/>
    <x v="0"/>
    <x v="2"/>
    <x v="3"/>
    <n v="54285"/>
    <n v="9429174.5346892495"/>
    <n v="16204628"/>
    <n v="0"/>
    <n v="0.58188157942837371"/>
  </r>
  <r>
    <x v="27"/>
    <x v="0"/>
    <x v="2"/>
    <x v="4"/>
    <n v="67426"/>
    <n v="64737840.399184637"/>
    <n v="16204628"/>
    <n v="0"/>
    <n v="3.9950216937522192"/>
  </r>
  <r>
    <x v="27"/>
    <x v="0"/>
    <x v="3"/>
    <x v="1"/>
    <n v="2269375"/>
    <n v="9404088424.4898911"/>
    <n v="20522865"/>
    <n v="0"/>
    <n v="458.22493226408159"/>
  </r>
  <r>
    <x v="27"/>
    <x v="0"/>
    <x v="3"/>
    <x v="0"/>
    <n v="1817964"/>
    <n v="825449591.24103105"/>
    <n v="20522865"/>
    <n v="0"/>
    <n v="40.220972619613832"/>
  </r>
  <r>
    <x v="27"/>
    <x v="0"/>
    <x v="3"/>
    <x v="2"/>
    <n v="648096"/>
    <n v="455091549.59187788"/>
    <n v="20522865"/>
    <n v="0"/>
    <n v="22.174854709217154"/>
  </r>
  <r>
    <x v="27"/>
    <x v="0"/>
    <x v="3"/>
    <x v="3"/>
    <n v="62453"/>
    <n v="11832962.875482317"/>
    <n v="20522865"/>
    <n v="0"/>
    <n v="0.57657460961139284"/>
  </r>
  <r>
    <x v="27"/>
    <x v="0"/>
    <x v="3"/>
    <x v="4"/>
    <n v="89249"/>
    <n v="85520045.451507092"/>
    <n v="20522865"/>
    <n v="0"/>
    <n v="4.1670617358496047"/>
  </r>
  <r>
    <x v="27"/>
    <x v="1"/>
    <x v="0"/>
    <x v="1"/>
    <n v="4026294"/>
    <n v="12027441595.712797"/>
    <n v="24492490"/>
    <n v="0"/>
    <n v="491.0665104165725"/>
  </r>
  <r>
    <x v="27"/>
    <x v="1"/>
    <x v="0"/>
    <x v="0"/>
    <n v="2304690"/>
    <n v="986004867.80724442"/>
    <n v="24492490"/>
    <n v="0"/>
    <n v="40.257436781937827"/>
  </r>
  <r>
    <x v="27"/>
    <x v="1"/>
    <x v="0"/>
    <x v="2"/>
    <n v="711152"/>
    <n v="478382600.61751902"/>
    <n v="24492490"/>
    <n v="0"/>
    <n v="19.531807530288631"/>
  </r>
  <r>
    <x v="27"/>
    <x v="1"/>
    <x v="0"/>
    <x v="3"/>
    <n v="45621"/>
    <n v="6871295.9547105785"/>
    <n v="24492490"/>
    <n v="0"/>
    <n v="0.28054705563666982"/>
  </r>
  <r>
    <x v="27"/>
    <x v="1"/>
    <x v="0"/>
    <x v="4"/>
    <n v="84380"/>
    <n v="75789641.760895222"/>
    <n v="24492490"/>
    <n v="0"/>
    <n v="3.094403295087401"/>
  </r>
  <r>
    <x v="27"/>
    <x v="1"/>
    <x v="1"/>
    <x v="1"/>
    <n v="4140474"/>
    <n v="16258891447.321405"/>
    <n v="28601232"/>
    <n v="120209034"/>
    <n v="568.46822008651259"/>
  </r>
  <r>
    <x v="27"/>
    <x v="1"/>
    <x v="1"/>
    <x v="0"/>
    <n v="2815047"/>
    <n v="1440058991.4565237"/>
    <n v="28601232"/>
    <n v="120209034"/>
    <n v="50.349544084552846"/>
  </r>
  <r>
    <x v="27"/>
    <x v="1"/>
    <x v="1"/>
    <x v="2"/>
    <n v="1407963"/>
    <n v="815090878.01500154"/>
    <n v="28601232"/>
    <n v="120209034"/>
    <n v="28.498453423789631"/>
  </r>
  <r>
    <x v="27"/>
    <x v="1"/>
    <x v="1"/>
    <x v="3"/>
    <n v="37435"/>
    <n v="6876144.4545593495"/>
    <n v="28601232"/>
    <n v="120209034"/>
    <n v="0.2404142749710694"/>
  </r>
  <r>
    <x v="27"/>
    <x v="1"/>
    <x v="1"/>
    <x v="4"/>
    <n v="108911"/>
    <n v="93875933.524827033"/>
    <n v="28601232"/>
    <n v="120209034"/>
    <n v="3.2822339095332338"/>
  </r>
  <r>
    <x v="27"/>
    <x v="1"/>
    <x v="2"/>
    <x v="1"/>
    <n v="4726946"/>
    <n v="19146726286.636036"/>
    <n v="32589843"/>
    <n v="449469746"/>
    <n v="587.5059381733148"/>
  </r>
  <r>
    <x v="27"/>
    <x v="1"/>
    <x v="2"/>
    <x v="0"/>
    <n v="3455594"/>
    <n v="2481094964.9170833"/>
    <n v="32589843"/>
    <n v="449469746"/>
    <n v="76.130927200756489"/>
  </r>
  <r>
    <x v="27"/>
    <x v="1"/>
    <x v="2"/>
    <x v="2"/>
    <n v="2374014"/>
    <n v="1183743251.2734203"/>
    <n v="32589843"/>
    <n v="449469746"/>
    <n v="36.322459463011846"/>
  </r>
  <r>
    <x v="27"/>
    <x v="1"/>
    <x v="2"/>
    <x v="3"/>
    <n v="32359"/>
    <n v="7912219.7342963759"/>
    <n v="32589843"/>
    <n v="449469746"/>
    <n v="0.24278176897926068"/>
  </r>
  <r>
    <x v="27"/>
    <x v="1"/>
    <x v="2"/>
    <x v="4"/>
    <n v="117899"/>
    <n v="86338883.282503441"/>
    <n v="32589843"/>
    <n v="449469746"/>
    <n v="2.649257416873823"/>
  </r>
  <r>
    <x v="27"/>
    <x v="1"/>
    <x v="3"/>
    <x v="1"/>
    <n v="6386367"/>
    <n v="25564144629.75061"/>
    <n v="36539162"/>
    <n v="524412680"/>
    <n v="699.63686167051696"/>
  </r>
  <r>
    <x v="27"/>
    <x v="1"/>
    <x v="3"/>
    <x v="0"/>
    <n v="4068332"/>
    <n v="2622222199.1884565"/>
    <n v="36539162"/>
    <n v="524412680"/>
    <n v="71.764705473772395"/>
  </r>
  <r>
    <x v="27"/>
    <x v="1"/>
    <x v="3"/>
    <x v="2"/>
    <n v="3122413"/>
    <n v="1741259163.3677325"/>
    <n v="36539162"/>
    <n v="524412680"/>
    <n v="47.654600381030427"/>
  </r>
  <r>
    <x v="27"/>
    <x v="1"/>
    <x v="3"/>
    <x v="3"/>
    <n v="22956"/>
    <n v="6382345.429778575"/>
    <n v="36539162"/>
    <n v="524412680"/>
    <n v="0.17467136848345277"/>
  </r>
  <r>
    <x v="27"/>
    <x v="1"/>
    <x v="3"/>
    <x v="4"/>
    <n v="98557"/>
    <n v="55793908.455870152"/>
    <n v="36539162"/>
    <n v="524412680"/>
    <n v="1.5269619061288311"/>
  </r>
  <r>
    <x v="27"/>
    <x v="2"/>
    <x v="0"/>
    <x v="1"/>
    <n v="6339183"/>
    <n v="26350005915.230072"/>
    <n v="41134522"/>
    <n v="592390810"/>
    <n v="640.58130820701092"/>
  </r>
  <r>
    <x v="27"/>
    <x v="2"/>
    <x v="0"/>
    <x v="0"/>
    <n v="4935115"/>
    <n v="2767419472.6505165"/>
    <n v="41134522"/>
    <n v="592390810"/>
    <n v="67.277297464414843"/>
  </r>
  <r>
    <x v="27"/>
    <x v="2"/>
    <x v="0"/>
    <x v="2"/>
    <n v="3838480"/>
    <n v="2196329615.3949203"/>
    <n v="41134522"/>
    <n v="592390810"/>
    <n v="53.393828555851954"/>
  </r>
  <r>
    <x v="27"/>
    <x v="2"/>
    <x v="0"/>
    <x v="3"/>
    <n v="17924"/>
    <n v="10987850.955996178"/>
    <n v="41134522"/>
    <n v="592390810"/>
    <n v="0.26711993774951798"/>
  </r>
  <r>
    <x v="27"/>
    <x v="2"/>
    <x v="0"/>
    <x v="4"/>
    <n v="87082"/>
    <n v="49442411.668161854"/>
    <n v="41134522"/>
    <n v="592390810"/>
    <n v="1.2019687907923631"/>
  </r>
  <r>
    <x v="27"/>
    <x v="2"/>
    <x v="1"/>
    <x v="0"/>
    <n v="6064807"/>
    <n v="3089758241.1281967"/>
    <n v="46480291"/>
    <n v="564185336"/>
    <n v="66.474589006514535"/>
  </r>
  <r>
    <x v="27"/>
    <x v="2"/>
    <x v="1"/>
    <x v="1"/>
    <n v="5639212"/>
    <n v="25074384847.498463"/>
    <n v="46480291"/>
    <n v="564185336"/>
    <n v="539.46273373156077"/>
  </r>
  <r>
    <x v="27"/>
    <x v="2"/>
    <x v="1"/>
    <x v="2"/>
    <n v="2290868"/>
    <n v="2058898904.3613408"/>
    <n v="46480291"/>
    <n v="564185336"/>
    <n v="44.296170700853416"/>
  </r>
  <r>
    <x v="27"/>
    <x v="2"/>
    <x v="1"/>
    <x v="3"/>
    <n v="23314"/>
    <n v="23704957.876037344"/>
    <n v="46480291"/>
    <n v="564185336"/>
    <n v="0.51000020365701548"/>
  </r>
  <r>
    <x v="27"/>
    <x v="2"/>
    <x v="1"/>
    <x v="4"/>
    <n v="63093"/>
    <n v="37907301.349607691"/>
    <n v="46480291"/>
    <n v="564185336"/>
    <n v="0.81555645487692174"/>
  </r>
  <r>
    <x v="27"/>
    <x v="2"/>
    <x v="2"/>
    <x v="1"/>
    <n v="7354451"/>
    <n v="32477438924.476498"/>
    <n v="51636563"/>
    <n v="648414052"/>
    <n v="628.96205784409972"/>
  </r>
  <r>
    <x v="27"/>
    <x v="2"/>
    <x v="2"/>
    <x v="0"/>
    <n v="5478668"/>
    <n v="4066750820.6407743"/>
    <n v="51636563"/>
    <n v="648414052"/>
    <n v="78.757194212185937"/>
  </r>
  <r>
    <x v="27"/>
    <x v="2"/>
    <x v="2"/>
    <x v="2"/>
    <n v="4261548"/>
    <n v="3490665357.2910872"/>
    <n v="51636563"/>
    <n v="648414052"/>
    <n v="67.600652609103491"/>
  </r>
  <r>
    <x v="27"/>
    <x v="2"/>
    <x v="2"/>
    <x v="3"/>
    <n v="32390"/>
    <n v="42060249.328475811"/>
    <n v="51636563"/>
    <n v="648414052"/>
    <n v="0.81454393718024587"/>
  </r>
  <r>
    <x v="27"/>
    <x v="2"/>
    <x v="2"/>
    <x v="4"/>
    <n v="82516"/>
    <n v="46176796.076553434"/>
    <n v="51636563"/>
    <n v="648414052"/>
    <n v="0.89426548541879969"/>
  </r>
  <r>
    <x v="27"/>
    <x v="2"/>
    <x v="3"/>
    <x v="1"/>
    <n v="9609405"/>
    <n v="43286909256.833908"/>
    <n v="56736548"/>
    <n v="783103013"/>
    <n v="762.94576922152385"/>
  </r>
  <r>
    <x v="27"/>
    <x v="2"/>
    <x v="3"/>
    <x v="2"/>
    <n v="7144295"/>
    <n v="6142380827.1094742"/>
    <n v="56736548"/>
    <n v="783103013"/>
    <n v="108.26144775514848"/>
  </r>
  <r>
    <x v="27"/>
    <x v="2"/>
    <x v="3"/>
    <x v="0"/>
    <n v="6072201"/>
    <n v="4201551869.9511185"/>
    <n v="56736548"/>
    <n v="783103013"/>
    <n v="74.053709964009769"/>
  </r>
  <r>
    <x v="27"/>
    <x v="2"/>
    <x v="3"/>
    <x v="3"/>
    <n v="38820"/>
    <n v="51677182.316327386"/>
    <n v="56736548"/>
    <n v="783103013"/>
    <n v="0.91082704425950245"/>
  </r>
  <r>
    <x v="27"/>
    <x v="2"/>
    <x v="3"/>
    <x v="4"/>
    <n v="133204"/>
    <n v="92887343.344186962"/>
    <n v="56736548"/>
    <n v="783103013"/>
    <n v="1.6371694545848465"/>
  </r>
  <r>
    <x v="27"/>
    <x v="3"/>
    <x v="0"/>
    <x v="1"/>
    <n v="10951083"/>
    <n v="46908632143.315323"/>
    <n v="61256547"/>
    <n v="891574948"/>
    <n v="765.77336530763512"/>
  </r>
  <r>
    <x v="27"/>
    <x v="3"/>
    <x v="0"/>
    <x v="2"/>
    <n v="9333364"/>
    <n v="7651004598.9073973"/>
    <n v="61256547"/>
    <n v="891574948"/>
    <n v="124.90101015500265"/>
  </r>
  <r>
    <x v="27"/>
    <x v="3"/>
    <x v="0"/>
    <x v="0"/>
    <n v="6332928"/>
    <n v="3980874403.2760215"/>
    <n v="61256547"/>
    <n v="891574948"/>
    <n v="64.986921369825524"/>
  </r>
  <r>
    <x v="27"/>
    <x v="3"/>
    <x v="0"/>
    <x v="3"/>
    <n v="43094"/>
    <n v="52009482.414072141"/>
    <n v="61256547"/>
    <n v="891574948"/>
    <n v="0.84904365265760318"/>
  </r>
  <r>
    <x v="27"/>
    <x v="3"/>
    <x v="0"/>
    <x v="4"/>
    <n v="110366"/>
    <n v="98366463.193879783"/>
    <n v="61256547"/>
    <n v="891574948"/>
    <n v="1.6058114276973494"/>
  </r>
  <r>
    <x v="27"/>
    <x v="3"/>
    <x v="1"/>
    <x v="1"/>
    <n v="13180933"/>
    <n v="55282486111.30394"/>
    <n v="65742028"/>
    <n v="944834979"/>
    <n v="840.9002246067605"/>
  </r>
  <r>
    <x v="27"/>
    <x v="3"/>
    <x v="1"/>
    <x v="2"/>
    <n v="11225598"/>
    <n v="9710508482.4364223"/>
    <n v="65742028"/>
    <n v="944834979"/>
    <n v="147.70625089990261"/>
  </r>
  <r>
    <x v="27"/>
    <x v="3"/>
    <x v="1"/>
    <x v="0"/>
    <n v="7591039"/>
    <n v="4370756868.5183258"/>
    <n v="65742028"/>
    <n v="944834979"/>
    <n v="66.483450564049008"/>
  </r>
  <r>
    <x v="27"/>
    <x v="3"/>
    <x v="1"/>
    <x v="3"/>
    <n v="46218"/>
    <n v="53309051.06501615"/>
    <n v="65742028"/>
    <n v="944834979"/>
    <n v="0.81088236379042267"/>
  </r>
  <r>
    <x v="27"/>
    <x v="3"/>
    <x v="1"/>
    <x v="4"/>
    <n v="127460"/>
    <n v="113998049.29147904"/>
    <n v="65742028"/>
    <n v="944834979"/>
    <n v="1.7340208806987067"/>
  </r>
  <r>
    <x v="27"/>
    <x v="3"/>
    <x v="2"/>
    <x v="1"/>
    <n v="17024782"/>
    <n v="66149902036.358826"/>
    <n v="70783482"/>
    <n v="1183755705"/>
    <n v="934.53868285765918"/>
  </r>
  <r>
    <x v="27"/>
    <x v="3"/>
    <x v="2"/>
    <x v="2"/>
    <n v="16837685"/>
    <n v="14103740968.543571"/>
    <n v="70783482"/>
    <n v="1183755705"/>
    <n v="199.25186738543849"/>
  </r>
  <r>
    <x v="27"/>
    <x v="3"/>
    <x v="2"/>
    <x v="0"/>
    <n v="8465739"/>
    <n v="5540272095.2748528"/>
    <n v="70783482"/>
    <n v="1183755705"/>
    <n v="78.270691674575332"/>
  </r>
  <r>
    <x v="27"/>
    <x v="3"/>
    <x v="2"/>
    <x v="3"/>
    <n v="43789"/>
    <n v="63576666.590925634"/>
    <n v="70783482"/>
    <n v="1183755705"/>
    <n v="0.89818506796438236"/>
  </r>
  <r>
    <x v="27"/>
    <x v="3"/>
    <x v="2"/>
    <x v="4"/>
    <n v="161494"/>
    <n v="135069073.84402025"/>
    <n v="70783482"/>
    <n v="1183755705"/>
    <n v="1.9082004731558735"/>
  </r>
  <r>
    <x v="27"/>
    <x v="3"/>
    <x v="3"/>
    <x v="2"/>
    <n v="22669743"/>
    <n v="20753662875.546524"/>
    <n v="75681133"/>
    <n v="1522702489"/>
    <n v="274.22505521351701"/>
  </r>
  <r>
    <x v="27"/>
    <x v="3"/>
    <x v="3"/>
    <x v="1"/>
    <n v="20663881"/>
    <n v="83611403637.319916"/>
    <n v="75681133"/>
    <n v="1522702489"/>
    <n v="1104.7853054382776"/>
  </r>
  <r>
    <x v="27"/>
    <x v="3"/>
    <x v="3"/>
    <x v="0"/>
    <n v="8765579"/>
    <n v="6107473171.9350224"/>
    <n v="75681133"/>
    <n v="1522702489"/>
    <n v="80.700075829137262"/>
  </r>
  <r>
    <x v="27"/>
    <x v="3"/>
    <x v="3"/>
    <x v="3"/>
    <n v="58581"/>
    <n v="86356456.603242517"/>
    <n v="75681133"/>
    <n v="1522702489"/>
    <n v="1.141056603939089"/>
  </r>
  <r>
    <x v="27"/>
    <x v="3"/>
    <x v="3"/>
    <x v="4"/>
    <n v="201576"/>
    <n v="151230100.59485891"/>
    <n v="75681133"/>
    <n v="1522702489"/>
    <n v="1.9982536545120027"/>
  </r>
  <r>
    <x v="28"/>
    <x v="0"/>
    <x v="0"/>
    <x v="0"/>
    <n v="4305940"/>
    <n v="868358581.17370248"/>
    <n v="34740222"/>
    <n v="0"/>
    <n v="24.995769490871488"/>
  </r>
  <r>
    <x v="28"/>
    <x v="0"/>
    <x v="0"/>
    <x v="1"/>
    <n v="2540658"/>
    <n v="7547652852.6626339"/>
    <n v="34740222"/>
    <n v="0"/>
    <n v="217.25977607922695"/>
  </r>
  <r>
    <x v="28"/>
    <x v="0"/>
    <x v="0"/>
    <x v="3"/>
    <n v="202537"/>
    <n v="37125466.495713077"/>
    <n v="34740222"/>
    <n v="0"/>
    <n v="1.0686594488576693"/>
  </r>
  <r>
    <x v="28"/>
    <x v="0"/>
    <x v="0"/>
    <x v="2"/>
    <n v="184127"/>
    <n v="201212697.26059398"/>
    <n v="34740222"/>
    <n v="0"/>
    <n v="5.7919231851942108"/>
  </r>
  <r>
    <x v="28"/>
    <x v="0"/>
    <x v="0"/>
    <x v="4"/>
    <n v="358428"/>
    <n v="271943533.1341365"/>
    <n v="34740222"/>
    <n v="0"/>
    <n v="7.8279158128044344"/>
  </r>
  <r>
    <x v="28"/>
    <x v="0"/>
    <x v="1"/>
    <x v="0"/>
    <n v="5288093"/>
    <n v="1511007056.105427"/>
    <n v="46342604"/>
    <n v="0"/>
    <n v="32.605139238732185"/>
  </r>
  <r>
    <x v="28"/>
    <x v="0"/>
    <x v="1"/>
    <x v="1"/>
    <n v="3770555"/>
    <n v="13341587602.422176"/>
    <n v="46342604"/>
    <n v="0"/>
    <n v="287.89033094519624"/>
  </r>
  <r>
    <x v="28"/>
    <x v="0"/>
    <x v="1"/>
    <x v="2"/>
    <n v="345752"/>
    <n v="342809667.59355128"/>
    <n v="46342604"/>
    <n v="0"/>
    <n v="7.397289707620903"/>
  </r>
  <r>
    <x v="28"/>
    <x v="0"/>
    <x v="1"/>
    <x v="3"/>
    <n v="279471"/>
    <n v="52145152.939022891"/>
    <n v="46342604"/>
    <n v="0"/>
    <n v="1.1252098164147808"/>
  </r>
  <r>
    <x v="28"/>
    <x v="0"/>
    <x v="1"/>
    <x v="4"/>
    <n v="289826"/>
    <n v="311536696.6979239"/>
    <n v="46342604"/>
    <n v="0"/>
    <n v="6.7224685237351771"/>
  </r>
  <r>
    <x v="28"/>
    <x v="0"/>
    <x v="2"/>
    <x v="1"/>
    <n v="7120792"/>
    <n v="21010614922.14291"/>
    <n v="56929983"/>
    <n v="0"/>
    <n v="369.06062174905111"/>
  </r>
  <r>
    <x v="28"/>
    <x v="0"/>
    <x v="2"/>
    <x v="0"/>
    <n v="5894660"/>
    <n v="2252031409.9399681"/>
    <n v="56929983"/>
    <n v="0"/>
    <n v="39.557914674591913"/>
  </r>
  <r>
    <x v="28"/>
    <x v="0"/>
    <x v="2"/>
    <x v="2"/>
    <n v="711240"/>
    <n v="445504998.00142682"/>
    <n v="56929983"/>
    <n v="0"/>
    <n v="7.8254897423986023"/>
  </r>
  <r>
    <x v="28"/>
    <x v="0"/>
    <x v="2"/>
    <x v="3"/>
    <n v="230083"/>
    <n v="30185982.180784121"/>
    <n v="56929983"/>
    <n v="0"/>
    <n v="0.53022995248012139"/>
  </r>
  <r>
    <x v="28"/>
    <x v="0"/>
    <x v="2"/>
    <x v="4"/>
    <n v="300323"/>
    <n v="302431358.94735509"/>
    <n v="56929983"/>
    <n v="0"/>
    <n v="5.312338824119359"/>
  </r>
  <r>
    <x v="28"/>
    <x v="0"/>
    <x v="3"/>
    <x v="1"/>
    <n v="10752729"/>
    <n v="33578327037.682457"/>
    <n v="69946118"/>
    <n v="0"/>
    <n v="480.05990893851259"/>
  </r>
  <r>
    <x v="28"/>
    <x v="0"/>
    <x v="3"/>
    <x v="0"/>
    <n v="7557003"/>
    <n v="2743591538.8320713"/>
    <n v="69946118"/>
    <n v="0"/>
    <n v="39.224357509477102"/>
  </r>
  <r>
    <x v="28"/>
    <x v="0"/>
    <x v="3"/>
    <x v="2"/>
    <n v="1985927"/>
    <n v="1172254323.9731452"/>
    <n v="69946118"/>
    <n v="0"/>
    <n v="16.759390763804006"/>
  </r>
  <r>
    <x v="28"/>
    <x v="0"/>
    <x v="3"/>
    <x v="3"/>
    <n v="311632"/>
    <n v="40412563.014562674"/>
    <n v="69946118"/>
    <n v="0"/>
    <n v="0.57776706084764662"/>
  </r>
  <r>
    <x v="28"/>
    <x v="0"/>
    <x v="3"/>
    <x v="4"/>
    <n v="352432"/>
    <n v="374501619.83643621"/>
    <n v="69946118"/>
    <n v="0"/>
    <n v="5.3541444549708421"/>
  </r>
  <r>
    <x v="28"/>
    <x v="1"/>
    <x v="0"/>
    <x v="1"/>
    <n v="27621606"/>
    <n v="55246071722.228561"/>
    <n v="84834244"/>
    <n v="0"/>
    <n v="651.22371718463785"/>
  </r>
  <r>
    <x v="28"/>
    <x v="1"/>
    <x v="0"/>
    <x v="0"/>
    <n v="11650961"/>
    <n v="3821181816.6204696"/>
    <n v="84834244"/>
    <n v="0"/>
    <n v="45.042917063308415"/>
  </r>
  <r>
    <x v="28"/>
    <x v="1"/>
    <x v="0"/>
    <x v="2"/>
    <n v="3921438"/>
    <n v="1664209334.5681162"/>
    <n v="84834244"/>
    <n v="0"/>
    <n v="19.617188249689786"/>
  </r>
  <r>
    <x v="28"/>
    <x v="1"/>
    <x v="0"/>
    <x v="3"/>
    <n v="359993"/>
    <n v="36340412.575384662"/>
    <n v="84834244"/>
    <n v="0"/>
    <n v="0.42836961658295275"/>
  </r>
  <r>
    <x v="28"/>
    <x v="1"/>
    <x v="0"/>
    <x v="4"/>
    <n v="402042"/>
    <n v="373355289.5614773"/>
    <n v="84834244"/>
    <n v="0"/>
    <n v="4.4009974269526975"/>
  </r>
  <r>
    <x v="28"/>
    <x v="1"/>
    <x v="1"/>
    <x v="1"/>
    <n v="25257679"/>
    <n v="79466464089.340591"/>
    <n v="96623285"/>
    <n v="690660696"/>
    <n v="822.43595929636001"/>
  </r>
  <r>
    <x v="28"/>
    <x v="1"/>
    <x v="1"/>
    <x v="0"/>
    <n v="14968290"/>
    <n v="5709279550.8542109"/>
    <n v="96623285"/>
    <n v="690660696"/>
    <n v="59.088029876589381"/>
  </r>
  <r>
    <x v="28"/>
    <x v="1"/>
    <x v="1"/>
    <x v="2"/>
    <n v="9026751"/>
    <n v="3435472167.2010689"/>
    <n v="96623285"/>
    <n v="690660696"/>
    <n v="35.555323617915377"/>
  </r>
  <r>
    <x v="28"/>
    <x v="1"/>
    <x v="1"/>
    <x v="3"/>
    <n v="182685"/>
    <n v="34134486.762421735"/>
    <n v="96623285"/>
    <n v="690660696"/>
    <n v="0.35327392110940686"/>
  </r>
  <r>
    <x v="28"/>
    <x v="1"/>
    <x v="1"/>
    <x v="4"/>
    <n v="573881"/>
    <n v="461962878.50714219"/>
    <n v="96623285"/>
    <n v="690660696"/>
    <n v="4.7810719590742767"/>
  </r>
  <r>
    <x v="28"/>
    <x v="1"/>
    <x v="2"/>
    <x v="1"/>
    <n v="29885618"/>
    <n v="97443950786.575806"/>
    <n v="107770344"/>
    <n v="2621728989"/>
    <n v="904.18149529684911"/>
  </r>
  <r>
    <x v="28"/>
    <x v="1"/>
    <x v="2"/>
    <x v="2"/>
    <n v="19646612"/>
    <n v="6705923742.5639353"/>
    <n v="107770344"/>
    <n v="2621728989"/>
    <n v="62.224202815608862"/>
  </r>
  <r>
    <x v="28"/>
    <x v="1"/>
    <x v="2"/>
    <x v="0"/>
    <n v="16970783"/>
    <n v="7872719571.6020994"/>
    <n v="107770344"/>
    <n v="2621728989"/>
    <n v="73.050890248639263"/>
  </r>
  <r>
    <x v="28"/>
    <x v="1"/>
    <x v="2"/>
    <x v="3"/>
    <n v="217029"/>
    <n v="37899900.333661847"/>
    <n v="107770344"/>
    <n v="2621728989"/>
    <n v="0.3516728157948707"/>
  </r>
  <r>
    <x v="28"/>
    <x v="1"/>
    <x v="2"/>
    <x v="4"/>
    <n v="583575"/>
    <n v="407796030.85477871"/>
    <n v="107770344"/>
    <n v="2621728989"/>
    <n v="3.783935503210222"/>
  </r>
  <r>
    <x v="28"/>
    <x v="1"/>
    <x v="3"/>
    <x v="1"/>
    <n v="43354317"/>
    <n v="140449134717.29099"/>
    <n v="120175341"/>
    <n v="3177951623"/>
    <n v="1168.7017781567267"/>
  </r>
  <r>
    <x v="28"/>
    <x v="1"/>
    <x v="3"/>
    <x v="0"/>
    <n v="20604852"/>
    <n v="9028860435.0549946"/>
    <n v="120175341"/>
    <n v="3177951623"/>
    <n v="75.130724489102917"/>
  </r>
  <r>
    <x v="28"/>
    <x v="1"/>
    <x v="3"/>
    <x v="2"/>
    <n v="20544791"/>
    <n v="9721826538.3549976"/>
    <n v="120175341"/>
    <n v="3177951623"/>
    <n v="80.897016454939774"/>
  </r>
  <r>
    <x v="28"/>
    <x v="1"/>
    <x v="3"/>
    <x v="3"/>
    <n v="101805"/>
    <n v="25014672.38444693"/>
    <n v="120175341"/>
    <n v="3177951623"/>
    <n v="0.20815145749781505"/>
  </r>
  <r>
    <x v="28"/>
    <x v="1"/>
    <x v="3"/>
    <x v="4"/>
    <n v="468477"/>
    <n v="227573686.58499068"/>
    <n v="120175341"/>
    <n v="3177951623"/>
    <n v="1.8936803897647412"/>
  </r>
  <r>
    <x v="28"/>
    <x v="2"/>
    <x v="0"/>
    <x v="1"/>
    <n v="48269912"/>
    <n v="165468574323.88968"/>
    <n v="133562583"/>
    <n v="3759973316"/>
    <n v="1238.8842039981339"/>
  </r>
  <r>
    <x v="28"/>
    <x v="2"/>
    <x v="0"/>
    <x v="2"/>
    <n v="27880848"/>
    <n v="13643061482.355961"/>
    <n v="133562583"/>
    <n v="3759973316"/>
    <n v="102.14733180441682"/>
  </r>
  <r>
    <x v="28"/>
    <x v="2"/>
    <x v="0"/>
    <x v="0"/>
    <n v="25631131"/>
    <n v="10961167179.813339"/>
    <n v="133562583"/>
    <n v="3759973316"/>
    <n v="82.067648989787358"/>
  </r>
  <r>
    <x v="28"/>
    <x v="2"/>
    <x v="0"/>
    <x v="3"/>
    <n v="72604"/>
    <n v="34466606.253279969"/>
    <n v="133562583"/>
    <n v="3759973316"/>
    <n v="0.25805585276289522"/>
  </r>
  <r>
    <x v="28"/>
    <x v="2"/>
    <x v="0"/>
    <x v="4"/>
    <n v="404317"/>
    <n v="200968968.69581181"/>
    <n v="133562583"/>
    <n v="3759973316"/>
    <n v="1.5046801595309953"/>
  </r>
  <r>
    <x v="28"/>
    <x v="2"/>
    <x v="1"/>
    <x v="1"/>
    <n v="49160792"/>
    <n v="166176386876.30048"/>
    <n v="149195211"/>
    <n v="3629352991"/>
    <n v="1113.8185050477289"/>
  </r>
  <r>
    <x v="28"/>
    <x v="2"/>
    <x v="1"/>
    <x v="0"/>
    <n v="31681776"/>
    <n v="13014051935.536909"/>
    <n v="149195211"/>
    <n v="3629352991"/>
    <n v="87.228349008715227"/>
  </r>
  <r>
    <x v="28"/>
    <x v="2"/>
    <x v="1"/>
    <x v="2"/>
    <n v="20756594"/>
    <n v="14354151782.392639"/>
    <n v="149195211"/>
    <n v="3629352991"/>
    <n v="96.210539776592682"/>
  </r>
  <r>
    <x v="28"/>
    <x v="2"/>
    <x v="1"/>
    <x v="3"/>
    <n v="92875"/>
    <n v="76662259.205448478"/>
    <n v="149195211"/>
    <n v="3629352991"/>
    <n v="0.51383860575423213"/>
  </r>
  <r>
    <x v="28"/>
    <x v="2"/>
    <x v="1"/>
    <x v="4"/>
    <n v="262619"/>
    <n v="142020149.82989299"/>
    <n v="149195211"/>
    <n v="3629352991"/>
    <n v="0.95190823403770641"/>
  </r>
  <r>
    <x v="28"/>
    <x v="2"/>
    <x v="2"/>
    <x v="1"/>
    <n v="73247856"/>
    <n v="249006720239.33432"/>
    <n v="164663532"/>
    <n v="4803511570"/>
    <n v="1512.2153473504645"/>
  </r>
  <r>
    <x v="28"/>
    <x v="2"/>
    <x v="2"/>
    <x v="2"/>
    <n v="45149210"/>
    <n v="27714680562.343937"/>
    <n v="164663532"/>
    <n v="4803511570"/>
    <n v="168.31098073581913"/>
  </r>
  <r>
    <x v="28"/>
    <x v="2"/>
    <x v="2"/>
    <x v="0"/>
    <n v="30148875"/>
    <n v="16650017440.553333"/>
    <n v="164663532"/>
    <n v="4803511570"/>
    <n v="101.11539111497579"/>
  </r>
  <r>
    <x v="28"/>
    <x v="2"/>
    <x v="2"/>
    <x v="3"/>
    <n v="146383"/>
    <n v="113675141.51464571"/>
    <n v="164663532"/>
    <n v="4803511570"/>
    <n v="0.69034800926440543"/>
  </r>
  <r>
    <x v="28"/>
    <x v="2"/>
    <x v="2"/>
    <x v="4"/>
    <n v="396352"/>
    <n v="193212778.71178639"/>
    <n v="164663532"/>
    <n v="4803511570"/>
    <n v="1.1733792927008659"/>
  </r>
  <r>
    <x v="28"/>
    <x v="2"/>
    <x v="3"/>
    <x v="1"/>
    <n v="88730951"/>
    <n v="321280847680.95026"/>
    <n v="179624434"/>
    <n v="5621166199"/>
    <n v="1788.6255256395143"/>
  </r>
  <r>
    <x v="28"/>
    <x v="2"/>
    <x v="3"/>
    <x v="2"/>
    <n v="67367264"/>
    <n v="46142484518.082687"/>
    <n v="179624434"/>
    <n v="5621166199"/>
    <n v="256.88311712694212"/>
  </r>
  <r>
    <x v="28"/>
    <x v="2"/>
    <x v="3"/>
    <x v="0"/>
    <n v="33455755"/>
    <n v="18123908525.970139"/>
    <n v="179624434"/>
    <n v="5621166199"/>
    <n v="100.89890402087579"/>
  </r>
  <r>
    <x v="28"/>
    <x v="2"/>
    <x v="3"/>
    <x v="3"/>
    <n v="169294"/>
    <n v="136058685.85299307"/>
    <n v="179624434"/>
    <n v="5621166199"/>
    <n v="0.75746201573552663"/>
  </r>
  <r>
    <x v="28"/>
    <x v="2"/>
    <x v="3"/>
    <x v="4"/>
    <n v="560171"/>
    <n v="351480425.64826149"/>
    <n v="179624434"/>
    <n v="5621166199"/>
    <n v="1.956751750423116"/>
  </r>
  <r>
    <x v="28"/>
    <x v="3"/>
    <x v="0"/>
    <x v="1"/>
    <n v="116733195"/>
    <n v="408190388154.22742"/>
    <n v="194271968"/>
    <n v="6957885649"/>
    <n v="2101.1286000573559"/>
  </r>
  <r>
    <x v="28"/>
    <x v="3"/>
    <x v="0"/>
    <x v="2"/>
    <n v="96394132"/>
    <n v="61936457709.223076"/>
    <n v="194271968"/>
    <n v="6957885649"/>
    <n v="318.813148118328"/>
  </r>
  <r>
    <x v="28"/>
    <x v="3"/>
    <x v="0"/>
    <x v="0"/>
    <n v="38919519"/>
    <n v="20855464604.344055"/>
    <n v="194271968"/>
    <n v="6957885649"/>
    <n v="107.35189857315933"/>
  </r>
  <r>
    <x v="28"/>
    <x v="3"/>
    <x v="0"/>
    <x v="3"/>
    <n v="192936"/>
    <n v="162581466.93308985"/>
    <n v="194271968"/>
    <n v="6957885649"/>
    <n v="0.83687558532937623"/>
  </r>
  <r>
    <x v="28"/>
    <x v="3"/>
    <x v="0"/>
    <x v="4"/>
    <n v="491137"/>
    <n v="347689722.9177618"/>
    <n v="194271968"/>
    <n v="6957885649"/>
    <n v="1.7897060831635874"/>
  </r>
  <r>
    <x v="28"/>
    <x v="3"/>
    <x v="1"/>
    <x v="1"/>
    <n v="139277445"/>
    <n v="467784146764.74719"/>
    <n v="208790835"/>
    <n v="11793003552"/>
    <n v="2240.4438718047522"/>
  </r>
  <r>
    <x v="28"/>
    <x v="3"/>
    <x v="1"/>
    <x v="2"/>
    <n v="97860493"/>
    <n v="69922875807.46701"/>
    <n v="208790835"/>
    <n v="11793003552"/>
    <n v="334.89437315324216"/>
  </r>
  <r>
    <x v="28"/>
    <x v="3"/>
    <x v="1"/>
    <x v="0"/>
    <n v="49501703"/>
    <n v="23387103755.819714"/>
    <n v="208790835"/>
    <n v="11793003552"/>
    <n v="112.0121185195687"/>
  </r>
  <r>
    <x v="28"/>
    <x v="3"/>
    <x v="1"/>
    <x v="3"/>
    <n v="216441"/>
    <n v="186606893.61035594"/>
    <n v="208790835"/>
    <n v="11793003552"/>
    <n v="0.89375040628749791"/>
  </r>
  <r>
    <x v="28"/>
    <x v="3"/>
    <x v="1"/>
    <x v="4"/>
    <n v="620957"/>
    <n v="422031947.60023904"/>
    <n v="208790835"/>
    <n v="11793003552"/>
    <n v="2.0213145256123863"/>
  </r>
  <r>
    <x v="28"/>
    <x v="3"/>
    <x v="2"/>
    <x v="1"/>
    <n v="181742972"/>
    <n v="575912799217.89648"/>
    <n v="225494115"/>
    <n v="15725092075"/>
    <n v="2554.0036786232604"/>
  </r>
  <r>
    <x v="28"/>
    <x v="3"/>
    <x v="2"/>
    <x v="2"/>
    <n v="167819345"/>
    <n v="105548321875.05884"/>
    <n v="225494115"/>
    <n v="15725092075"/>
    <n v="468.07572727589292"/>
  </r>
  <r>
    <x v="28"/>
    <x v="3"/>
    <x v="2"/>
    <x v="0"/>
    <n v="49709657"/>
    <n v="28335516739.417709"/>
    <n v="225494115"/>
    <n v="15725092075"/>
    <n v="125.65967293389323"/>
  </r>
  <r>
    <x v="28"/>
    <x v="3"/>
    <x v="2"/>
    <x v="3"/>
    <n v="197211"/>
    <n v="190362135.86135098"/>
    <n v="225494115"/>
    <n v="15725092075"/>
    <n v="0.84420001764281516"/>
  </r>
  <r>
    <x v="28"/>
    <x v="3"/>
    <x v="2"/>
    <x v="4"/>
    <n v="815568"/>
    <n v="524328574.25040925"/>
    <n v="225494115"/>
    <n v="15725092075"/>
    <n v="2.3252428306184809"/>
  </r>
  <r>
    <x v="28"/>
    <x v="3"/>
    <x v="3"/>
    <x v="2"/>
    <n v="221774624"/>
    <n v="151967969235.0213"/>
    <n v="241749222"/>
    <n v="13036364341"/>
    <n v="628.61823495349779"/>
  </r>
  <r>
    <x v="28"/>
    <x v="3"/>
    <x v="3"/>
    <x v="1"/>
    <n v="212937264"/>
    <n v="718215327365.9165"/>
    <n v="241749222"/>
    <n v="13036364341"/>
    <n v="2970.9106048991403"/>
  </r>
  <r>
    <x v="28"/>
    <x v="3"/>
    <x v="3"/>
    <x v="0"/>
    <n v="51610607"/>
    <n v="32831163302.92643"/>
    <n v="241749222"/>
    <n v="13036364341"/>
    <n v="135.80669683779345"/>
  </r>
  <r>
    <x v="28"/>
    <x v="3"/>
    <x v="3"/>
    <x v="3"/>
    <n v="265091"/>
    <n v="263180819.69321251"/>
    <n v="241749222"/>
    <n v="13036364341"/>
    <n v="1.0886521888918943"/>
  </r>
  <r>
    <x v="28"/>
    <x v="3"/>
    <x v="3"/>
    <x v="4"/>
    <n v="1034011"/>
    <n v="656777820.7586894"/>
    <n v="241749222"/>
    <n v="13036364341"/>
    <n v="2.7167732550497696"/>
  </r>
  <r>
    <x v="29"/>
    <x v="0"/>
    <x v="0"/>
    <x v="0"/>
    <n v="26965"/>
    <n v="4823943.542263939"/>
    <n v="220561"/>
    <n v="0"/>
    <n v="21.871244427908557"/>
  </r>
  <r>
    <x v="29"/>
    <x v="0"/>
    <x v="0"/>
    <x v="1"/>
    <n v="13559"/>
    <n v="56334584.632872"/>
    <n v="220561"/>
    <n v="0"/>
    <n v="255.41498557257177"/>
  </r>
  <r>
    <x v="29"/>
    <x v="0"/>
    <x v="0"/>
    <x v="2"/>
    <n v="1349"/>
    <n v="1677583.1440411464"/>
    <n v="220561"/>
    <n v="0"/>
    <n v="7.6059826716470562"/>
  </r>
  <r>
    <x v="29"/>
    <x v="0"/>
    <x v="0"/>
    <x v="3"/>
    <n v="608"/>
    <n v="86906.819581013828"/>
    <n v="220561"/>
    <n v="0"/>
    <n v="0.39402623120594227"/>
  </r>
  <r>
    <x v="29"/>
    <x v="0"/>
    <x v="0"/>
    <x v="4"/>
    <n v="1597"/>
    <n v="1727920.8016103164"/>
    <n v="220561"/>
    <n v="0"/>
    <n v="7.8342082308763397"/>
  </r>
  <r>
    <x v="29"/>
    <x v="0"/>
    <x v="1"/>
    <x v="0"/>
    <n v="45435"/>
    <n v="9465769.8560515847"/>
    <n v="309067"/>
    <n v="0"/>
    <n v="30.626918616518697"/>
  </r>
  <r>
    <x v="29"/>
    <x v="0"/>
    <x v="1"/>
    <x v="1"/>
    <n v="24237"/>
    <n v="127051984.3879841"/>
    <n v="309067"/>
    <n v="0"/>
    <n v="411.08233615359808"/>
  </r>
  <r>
    <x v="29"/>
    <x v="0"/>
    <x v="1"/>
    <x v="2"/>
    <n v="2556"/>
    <n v="4713227.1481359731"/>
    <n v="309067"/>
    <n v="0"/>
    <n v="15.249855688688774"/>
  </r>
  <r>
    <x v="29"/>
    <x v="0"/>
    <x v="1"/>
    <x v="3"/>
    <n v="562"/>
    <n v="218130.12995975127"/>
    <n v="309067"/>
    <n v="0"/>
    <n v="0.70576971970398417"/>
  </r>
  <r>
    <x v="29"/>
    <x v="0"/>
    <x v="1"/>
    <x v="4"/>
    <n v="1788"/>
    <n v="2243974.0076642134"/>
    <n v="309067"/>
    <n v="0"/>
    <n v="7.2604775264399413"/>
  </r>
  <r>
    <x v="29"/>
    <x v="0"/>
    <x v="2"/>
    <x v="0"/>
    <n v="58421"/>
    <n v="12221506.18938216"/>
    <n v="414007"/>
    <n v="0"/>
    <n v="29.520047219931449"/>
  </r>
  <r>
    <x v="29"/>
    <x v="0"/>
    <x v="2"/>
    <x v="1"/>
    <n v="43195"/>
    <n v="215547415.4557628"/>
    <n v="414007"/>
    <n v="0"/>
    <n v="520.6371280093399"/>
  </r>
  <r>
    <x v="29"/>
    <x v="0"/>
    <x v="2"/>
    <x v="2"/>
    <n v="4521"/>
    <n v="5322296.7479545139"/>
    <n v="414007"/>
    <n v="0"/>
    <n v="12.855571881524984"/>
  </r>
  <r>
    <x v="29"/>
    <x v="0"/>
    <x v="2"/>
    <x v="3"/>
    <n v="562"/>
    <n v="261766.80217056011"/>
    <n v="414007"/>
    <n v="0"/>
    <n v="0.63227627110304929"/>
  </r>
  <r>
    <x v="29"/>
    <x v="0"/>
    <x v="2"/>
    <x v="4"/>
    <n v="1801"/>
    <n v="1727241.758047811"/>
    <n v="414007"/>
    <n v="0"/>
    <n v="4.1720109999294968"/>
  </r>
  <r>
    <x v="29"/>
    <x v="0"/>
    <x v="3"/>
    <x v="0"/>
    <n v="79232"/>
    <n v="16713780.628117373"/>
    <n v="533918"/>
    <n v="0"/>
    <n v="31.304021643992847"/>
  </r>
  <r>
    <x v="29"/>
    <x v="0"/>
    <x v="3"/>
    <x v="1"/>
    <n v="65451"/>
    <n v="351253329.74205655"/>
    <n v="533918"/>
    <n v="0"/>
    <n v="657.87879363882951"/>
  </r>
  <r>
    <x v="29"/>
    <x v="0"/>
    <x v="3"/>
    <x v="2"/>
    <n v="7452"/>
    <n v="12637809.239460425"/>
    <n v="533918"/>
    <n v="0"/>
    <n v="23.669944147716365"/>
  </r>
  <r>
    <x v="29"/>
    <x v="0"/>
    <x v="3"/>
    <x v="3"/>
    <n v="717"/>
    <n v="596472.71457903984"/>
    <n v="533918"/>
    <n v="0"/>
    <n v="1.1171616513753795"/>
  </r>
  <r>
    <x v="29"/>
    <x v="0"/>
    <x v="3"/>
    <x v="4"/>
    <n v="1681"/>
    <n v="1939965.7540404093"/>
    <n v="533918"/>
    <n v="0"/>
    <n v="3.6334526163950445"/>
  </r>
  <r>
    <x v="29"/>
    <x v="1"/>
    <x v="0"/>
    <x v="1"/>
    <n v="121984"/>
    <n v="422987999.89472675"/>
    <n v="648516"/>
    <n v="0"/>
    <n v="652.23988289375552"/>
  </r>
  <r>
    <x v="29"/>
    <x v="1"/>
    <x v="0"/>
    <x v="0"/>
    <n v="96878"/>
    <n v="20711589.874598008"/>
    <n v="648516"/>
    <n v="0"/>
    <n v="31.93689881914711"/>
  </r>
  <r>
    <x v="29"/>
    <x v="1"/>
    <x v="0"/>
    <x v="2"/>
    <n v="18346"/>
    <n v="11837344.846847566"/>
    <n v="648516"/>
    <n v="0"/>
    <n v="18.252972705141531"/>
  </r>
  <r>
    <x v="29"/>
    <x v="1"/>
    <x v="0"/>
    <x v="3"/>
    <n v="1225"/>
    <n v="191594.23340424805"/>
    <n v="648516"/>
    <n v="0"/>
    <n v="0.29543485959366933"/>
  </r>
  <r>
    <x v="29"/>
    <x v="1"/>
    <x v="0"/>
    <x v="4"/>
    <n v="1854"/>
    <n v="2265105.5345173199"/>
    <n v="648516"/>
    <n v="0"/>
    <n v="3.4927519668247506"/>
  </r>
  <r>
    <x v="29"/>
    <x v="1"/>
    <x v="1"/>
    <x v="1"/>
    <n v="172125"/>
    <n v="674044301.8399961"/>
    <n v="780989"/>
    <n v="4383720"/>
    <n v="863.06503912346534"/>
  </r>
  <r>
    <x v="29"/>
    <x v="1"/>
    <x v="1"/>
    <x v="0"/>
    <n v="142582"/>
    <n v="32535297.489453897"/>
    <n v="780989"/>
    <n v="4383720"/>
    <n v="41.659098258047038"/>
  </r>
  <r>
    <x v="29"/>
    <x v="1"/>
    <x v="1"/>
    <x v="2"/>
    <n v="66722"/>
    <n v="28248001.026472859"/>
    <n v="780989"/>
    <n v="4383720"/>
    <n v="36.169524828740045"/>
  </r>
  <r>
    <x v="29"/>
    <x v="1"/>
    <x v="1"/>
    <x v="3"/>
    <n v="2294"/>
    <n v="310197.54774877685"/>
    <n v="780989"/>
    <n v="4383720"/>
    <n v="0.3971855528679365"/>
  </r>
  <r>
    <x v="29"/>
    <x v="1"/>
    <x v="1"/>
    <x v="4"/>
    <n v="4521"/>
    <n v="3756445.5322695798"/>
    <n v="780989"/>
    <n v="4383720"/>
    <n v="4.8098571583845349"/>
  </r>
  <r>
    <x v="29"/>
    <x v="1"/>
    <x v="2"/>
    <x v="1"/>
    <n v="203052"/>
    <n v="794235862.63173568"/>
    <n v="903408"/>
    <n v="14484844"/>
    <n v="879.15522403137413"/>
  </r>
  <r>
    <x v="29"/>
    <x v="1"/>
    <x v="2"/>
    <x v="2"/>
    <n v="188753"/>
    <n v="52337322.526296102"/>
    <n v="903408"/>
    <n v="14484844"/>
    <n v="57.933206841533504"/>
  </r>
  <r>
    <x v="29"/>
    <x v="1"/>
    <x v="2"/>
    <x v="0"/>
    <n v="156125"/>
    <n v="33922224.892257094"/>
    <n v="903408"/>
    <n v="14484844"/>
    <n v="37.549174782885579"/>
  </r>
  <r>
    <x v="29"/>
    <x v="1"/>
    <x v="2"/>
    <x v="3"/>
    <n v="288"/>
    <n v="548142.89998444414"/>
    <n v="903408"/>
    <n v="14484844"/>
    <n v="0.60675010624706016"/>
  </r>
  <r>
    <x v="29"/>
    <x v="1"/>
    <x v="2"/>
    <x v="4"/>
    <n v="4218"/>
    <n v="3672895.4901549704"/>
    <n v="903408"/>
    <n v="14484844"/>
    <n v="4.0655999173739552"/>
  </r>
  <r>
    <x v="29"/>
    <x v="1"/>
    <x v="3"/>
    <x v="1"/>
    <n v="508471"/>
    <n v="1086457147.940953"/>
    <n v="1022692"/>
    <n v="17072044"/>
    <n v="1062.3502950457744"/>
  </r>
  <r>
    <x v="29"/>
    <x v="1"/>
    <x v="3"/>
    <x v="0"/>
    <n v="181287"/>
    <n v="42705664.086257368"/>
    <n v="1022692"/>
    <n v="17072044"/>
    <n v="41.758089518894614"/>
  </r>
  <r>
    <x v="29"/>
    <x v="1"/>
    <x v="3"/>
    <x v="2"/>
    <n v="73992"/>
    <n v="43954548.804204434"/>
    <n v="1022692"/>
    <n v="17072044"/>
    <n v="42.979263360038445"/>
  </r>
  <r>
    <x v="29"/>
    <x v="1"/>
    <x v="3"/>
    <x v="3"/>
    <n v="373"/>
    <n v="494076.34508290561"/>
    <n v="1022692"/>
    <n v="17072044"/>
    <n v="0.48311353279668329"/>
  </r>
  <r>
    <x v="29"/>
    <x v="1"/>
    <x v="3"/>
    <x v="4"/>
    <n v="2947"/>
    <n v="2898164.4797200123"/>
    <n v="1022692"/>
    <n v="17072044"/>
    <n v="2.833858561248169"/>
  </r>
  <r>
    <x v="29"/>
    <x v="2"/>
    <x v="0"/>
    <x v="1"/>
    <n v="230413"/>
    <n v="954765350.18567824"/>
    <n v="1150941"/>
    <n v="18668793"/>
    <n v="829.55194939243472"/>
  </r>
  <r>
    <x v="29"/>
    <x v="2"/>
    <x v="0"/>
    <x v="0"/>
    <n v="215586"/>
    <n v="53588505.838823974"/>
    <n v="1150941"/>
    <n v="18668793"/>
    <n v="46.560602010723379"/>
  </r>
  <r>
    <x v="29"/>
    <x v="2"/>
    <x v="0"/>
    <x v="2"/>
    <n v="79881"/>
    <n v="43201695.389372639"/>
    <n v="1150941"/>
    <n v="18668793"/>
    <n v="37.535977421407907"/>
  </r>
  <r>
    <x v="29"/>
    <x v="2"/>
    <x v="0"/>
    <x v="3"/>
    <n v="345"/>
    <n v="175569.53933206247"/>
    <n v="1150941"/>
    <n v="18668793"/>
    <n v="0.15254434356935975"/>
  </r>
  <r>
    <x v="29"/>
    <x v="2"/>
    <x v="0"/>
    <x v="4"/>
    <n v="1893"/>
    <n v="1745150.9911952191"/>
    <n v="1150941"/>
    <n v="18668793"/>
    <n v="1.5162818869040369"/>
  </r>
  <r>
    <x v="29"/>
    <x v="2"/>
    <x v="1"/>
    <x v="0"/>
    <n v="297620"/>
    <n v="78397187.109359935"/>
    <n v="1319131"/>
    <n v="21035685"/>
    <n v="59.430933780920874"/>
  </r>
  <r>
    <x v="29"/>
    <x v="2"/>
    <x v="1"/>
    <x v="1"/>
    <n v="186495"/>
    <n v="939900165.94224119"/>
    <n v="1319131"/>
    <n v="21035685"/>
    <n v="712.51465240544053"/>
  </r>
  <r>
    <x v="29"/>
    <x v="2"/>
    <x v="1"/>
    <x v="2"/>
    <n v="31442"/>
    <n v="34385184.657177508"/>
    <n v="1319131"/>
    <n v="21035685"/>
    <n v="26.066542790047013"/>
  </r>
  <r>
    <x v="29"/>
    <x v="2"/>
    <x v="1"/>
    <x v="3"/>
    <n v="883"/>
    <n v="999656.07220476726"/>
    <n v="1319131"/>
    <n v="21035685"/>
    <n v="0.75781410049856102"/>
  </r>
  <r>
    <x v="29"/>
    <x v="2"/>
    <x v="1"/>
    <x v="4"/>
    <n v="1291"/>
    <n v="936594.48028303799"/>
    <n v="1319131"/>
    <n v="21035685"/>
    <n v="0.71000869533278954"/>
  </r>
  <r>
    <x v="29"/>
    <x v="2"/>
    <x v="2"/>
    <x v="0"/>
    <n v="298885"/>
    <n v="83894642.670911193"/>
    <n v="1482503"/>
    <n v="23721170"/>
    <n v="56.589863677113094"/>
  </r>
  <r>
    <x v="29"/>
    <x v="2"/>
    <x v="2"/>
    <x v="1"/>
    <n v="245087"/>
    <n v="1255521152.9665141"/>
    <n v="1482503"/>
    <n v="23721170"/>
    <n v="846.89282447759911"/>
  </r>
  <r>
    <x v="29"/>
    <x v="2"/>
    <x v="2"/>
    <x v="2"/>
    <n v="49299"/>
    <n v="58337178.67223759"/>
    <n v="1482503"/>
    <n v="23721170"/>
    <n v="39.350462476121528"/>
  </r>
  <r>
    <x v="29"/>
    <x v="2"/>
    <x v="2"/>
    <x v="3"/>
    <n v="1252"/>
    <n v="1795366.733436462"/>
    <n v="1482503"/>
    <n v="23721170"/>
    <n v="1.2110375044343666"/>
  </r>
  <r>
    <x v="29"/>
    <x v="2"/>
    <x v="2"/>
    <x v="4"/>
    <n v="1912"/>
    <n v="1378387.6172995246"/>
    <n v="1482503"/>
    <n v="23721170"/>
    <n v="0.92977054164445172"/>
  </r>
  <r>
    <x v="29"/>
    <x v="2"/>
    <x v="3"/>
    <x v="1"/>
    <n v="334069"/>
    <n v="1711730126.5845411"/>
    <n v="1633973"/>
    <n v="27265370"/>
    <n v="1047.5877671078661"/>
  </r>
  <r>
    <x v="29"/>
    <x v="2"/>
    <x v="3"/>
    <x v="0"/>
    <n v="301382"/>
    <n v="90168624.054155409"/>
    <n v="1633973"/>
    <n v="27265370"/>
    <n v="55.183668306731754"/>
  </r>
  <r>
    <x v="29"/>
    <x v="2"/>
    <x v="3"/>
    <x v="2"/>
    <n v="95503"/>
    <n v="112478003.86391157"/>
    <n v="1633973"/>
    <n v="27265370"/>
    <n v="68.837125132368513"/>
  </r>
  <r>
    <x v="29"/>
    <x v="2"/>
    <x v="3"/>
    <x v="3"/>
    <n v="1427"/>
    <n v="2361187.5923923948"/>
    <n v="1633973"/>
    <n v="27265370"/>
    <n v="1.4450591242281206"/>
  </r>
  <r>
    <x v="29"/>
    <x v="2"/>
    <x v="3"/>
    <x v="4"/>
    <n v="2654"/>
    <n v="2537863.0279230541"/>
    <n v="1633973"/>
    <n v="27265370"/>
    <n v="1.5531854124413647"/>
  </r>
  <r>
    <x v="29"/>
    <x v="3"/>
    <x v="0"/>
    <x v="1"/>
    <n v="403703"/>
    <n v="1965492629.578867"/>
    <n v="1762343"/>
    <n v="30748641"/>
    <n v="1115.2724694221652"/>
  </r>
  <r>
    <x v="29"/>
    <x v="3"/>
    <x v="0"/>
    <x v="0"/>
    <n v="279679"/>
    <n v="93174110.112333998"/>
    <n v="1762343"/>
    <n v="30748641"/>
    <n v="52.869452832016243"/>
  </r>
  <r>
    <x v="29"/>
    <x v="3"/>
    <x v="0"/>
    <x v="2"/>
    <n v="112925"/>
    <n v="154183320.1372872"/>
    <n v="1762343"/>
    <n v="30748641"/>
    <n v="87.487691180029771"/>
  </r>
  <r>
    <x v="29"/>
    <x v="3"/>
    <x v="0"/>
    <x v="3"/>
    <n v="1844"/>
    <n v="3027799.2784099854"/>
    <n v="1762343"/>
    <n v="30748641"/>
    <n v="1.7180533405869263"/>
  </r>
  <r>
    <x v="29"/>
    <x v="3"/>
    <x v="0"/>
    <x v="4"/>
    <n v="2038"/>
    <n v="1789867.7338266163"/>
    <n v="1762343"/>
    <n v="30748641"/>
    <n v="1.0156182614999556"/>
  </r>
  <r>
    <x v="29"/>
    <x v="3"/>
    <x v="1"/>
    <x v="1"/>
    <n v="473141"/>
    <n v="2125758496.616091"/>
    <n v="1889140"/>
    <n v="49952331"/>
    <n v="1125.2519647120334"/>
  </r>
  <r>
    <x v="29"/>
    <x v="3"/>
    <x v="1"/>
    <x v="0"/>
    <n v="345495"/>
    <n v="103846501.52404109"/>
    <n v="1889140"/>
    <n v="49952331"/>
    <n v="54.970251820426803"/>
  </r>
  <r>
    <x v="29"/>
    <x v="3"/>
    <x v="1"/>
    <x v="2"/>
    <n v="153671"/>
    <n v="190473176.21848944"/>
    <n v="1889140"/>
    <n v="49952331"/>
    <n v="100.82533651211104"/>
  </r>
  <r>
    <x v="29"/>
    <x v="3"/>
    <x v="1"/>
    <x v="3"/>
    <n v="1865"/>
    <n v="2851874.2874650131"/>
    <n v="1889140"/>
    <n v="49952331"/>
    <n v="1.5096151092375436"/>
  </r>
  <r>
    <x v="29"/>
    <x v="3"/>
    <x v="1"/>
    <x v="4"/>
    <n v="2542"/>
    <n v="1969531.0292125773"/>
    <n v="1889140"/>
    <n v="49952331"/>
    <n v="1.0425542994233234"/>
  </r>
  <r>
    <x v="29"/>
    <x v="3"/>
    <x v="2"/>
    <x v="1"/>
    <n v="595826"/>
    <n v="2582075089.383399"/>
    <n v="2031623"/>
    <n v="62860215"/>
    <n v="1270.9420445542303"/>
  </r>
  <r>
    <x v="29"/>
    <x v="3"/>
    <x v="2"/>
    <x v="0"/>
    <n v="346173"/>
    <n v="111613776.75942023"/>
    <n v="2031623"/>
    <n v="62860215"/>
    <n v="54.938232516278973"/>
  </r>
  <r>
    <x v="29"/>
    <x v="3"/>
    <x v="2"/>
    <x v="2"/>
    <n v="213808"/>
    <n v="290732930.46291006"/>
    <n v="2031623"/>
    <n v="62860215"/>
    <n v="143.10377981688043"/>
  </r>
  <r>
    <x v="29"/>
    <x v="3"/>
    <x v="2"/>
    <x v="3"/>
    <n v="1689"/>
    <n v="2624558.3857180667"/>
    <n v="2031623"/>
    <n v="62860215"/>
    <n v="1.2918530582288479"/>
  </r>
  <r>
    <x v="29"/>
    <x v="3"/>
    <x v="2"/>
    <x v="4"/>
    <n v="3098"/>
    <n v="2290508.8169457563"/>
    <n v="2031623"/>
    <n v="62860215"/>
    <n v="1.127428079395516"/>
  </r>
  <r>
    <x v="29"/>
    <x v="3"/>
    <x v="3"/>
    <x v="1"/>
    <n v="831597"/>
    <n v="3548508409.6561251"/>
    <n v="2171477"/>
    <n v="60781072"/>
    <n v="1634.1450587117088"/>
  </r>
  <r>
    <x v="29"/>
    <x v="3"/>
    <x v="3"/>
    <x v="0"/>
    <n v="376078"/>
    <n v="136473754.40071422"/>
    <n v="2171477"/>
    <n v="60781072"/>
    <n v="62.848353632441984"/>
  </r>
  <r>
    <x v="29"/>
    <x v="3"/>
    <x v="3"/>
    <x v="2"/>
    <n v="369343"/>
    <n v="504586163.55697852"/>
    <n v="2171477"/>
    <n v="60781072"/>
    <n v="232.37002443819506"/>
  </r>
  <r>
    <x v="29"/>
    <x v="3"/>
    <x v="3"/>
    <x v="3"/>
    <n v="2269"/>
    <n v="3162023.7210206646"/>
    <n v="2171477"/>
    <n v="60781072"/>
    <n v="1.4561626584212795"/>
  </r>
  <r>
    <x v="29"/>
    <x v="3"/>
    <x v="3"/>
    <x v="4"/>
    <n v="5058"/>
    <n v="4052910.300969372"/>
    <n v="2171477"/>
    <n v="60781072"/>
    <n v="1.8664302228250045"/>
  </r>
  <r>
    <x v="30"/>
    <x v="0"/>
    <x v="0"/>
    <x v="0"/>
    <n v="3308548"/>
    <n v="646028338.39515328"/>
    <n v="23152294"/>
    <n v="0"/>
    <n v="27.903426692627232"/>
  </r>
  <r>
    <x v="30"/>
    <x v="0"/>
    <x v="0"/>
    <x v="1"/>
    <n v="2670613"/>
    <n v="10031518934.085688"/>
    <n v="23152294"/>
    <n v="0"/>
    <n v="433.28401643853033"/>
  </r>
  <r>
    <x v="30"/>
    <x v="0"/>
    <x v="0"/>
    <x v="2"/>
    <n v="326510"/>
    <n v="272002057.1736871"/>
    <n v="23152294"/>
    <n v="0"/>
    <n v="11.748384724800363"/>
  </r>
  <r>
    <x v="30"/>
    <x v="0"/>
    <x v="0"/>
    <x v="3"/>
    <n v="115363"/>
    <n v="31876073.747922331"/>
    <n v="23152294"/>
    <n v="0"/>
    <n v="1.3767997999646311"/>
  </r>
  <r>
    <x v="30"/>
    <x v="0"/>
    <x v="0"/>
    <x v="4"/>
    <n v="305588"/>
    <n v="280132294.11422664"/>
    <n v="23152294"/>
    <n v="0"/>
    <n v="12.099548066996153"/>
  </r>
  <r>
    <x v="30"/>
    <x v="0"/>
    <x v="1"/>
    <x v="0"/>
    <n v="4464677"/>
    <n v="1189892955.8051775"/>
    <n v="32956396"/>
    <n v="0"/>
    <n v="36.105069128468337"/>
  </r>
  <r>
    <x v="30"/>
    <x v="0"/>
    <x v="1"/>
    <x v="1"/>
    <n v="4433762"/>
    <n v="18067624388.095619"/>
    <n v="32956396"/>
    <n v="0"/>
    <n v="548.22816148026686"/>
  </r>
  <r>
    <x v="30"/>
    <x v="0"/>
    <x v="1"/>
    <x v="2"/>
    <n v="627918"/>
    <n v="517130320.46603078"/>
    <n v="32956396"/>
    <n v="0"/>
    <n v="15.691349274539327"/>
  </r>
  <r>
    <x v="30"/>
    <x v="0"/>
    <x v="1"/>
    <x v="3"/>
    <n v="167035"/>
    <n v="65402385.256406657"/>
    <n v="32956396"/>
    <n v="0"/>
    <n v="1.9845126650501062"/>
  </r>
  <r>
    <x v="30"/>
    <x v="0"/>
    <x v="1"/>
    <x v="4"/>
    <n v="298736"/>
    <n v="285794226.64323723"/>
    <n v="32956396"/>
    <n v="0"/>
    <n v="8.6718895671491882"/>
  </r>
  <r>
    <x v="30"/>
    <x v="0"/>
    <x v="2"/>
    <x v="1"/>
    <n v="8810836"/>
    <n v="26792462660.044968"/>
    <n v="42901947"/>
    <n v="0"/>
    <n v="624.50458623812494"/>
  </r>
  <r>
    <x v="30"/>
    <x v="0"/>
    <x v="2"/>
    <x v="0"/>
    <n v="5148411"/>
    <n v="1521551955.2050381"/>
    <n v="42901947"/>
    <n v="0"/>
    <n v="35.465801941460562"/>
  </r>
  <r>
    <x v="30"/>
    <x v="0"/>
    <x v="2"/>
    <x v="2"/>
    <n v="1290978"/>
    <n v="733189649.57298338"/>
    <n v="42901947"/>
    <n v="0"/>
    <n v="17.089892204029422"/>
  </r>
  <r>
    <x v="30"/>
    <x v="0"/>
    <x v="2"/>
    <x v="3"/>
    <n v="191732"/>
    <n v="37049222.365906969"/>
    <n v="42901947"/>
    <n v="0"/>
    <n v="0.8635790437647729"/>
  </r>
  <r>
    <x v="30"/>
    <x v="0"/>
    <x v="2"/>
    <x v="4"/>
    <n v="332121"/>
    <n v="245838753.99527201"/>
    <n v="42901947"/>
    <n v="0"/>
    <n v="5.7302470210797658"/>
  </r>
  <r>
    <x v="30"/>
    <x v="0"/>
    <x v="3"/>
    <x v="1"/>
    <n v="11538547"/>
    <n v="39180083690.572762"/>
    <n v="57198658"/>
    <n v="0"/>
    <n v="684.98256883182057"/>
  </r>
  <r>
    <x v="30"/>
    <x v="0"/>
    <x v="3"/>
    <x v="0"/>
    <n v="7093764"/>
    <n v="2020329567.8245385"/>
    <n v="57198658"/>
    <n v="0"/>
    <n v="35.321275681407393"/>
  </r>
  <r>
    <x v="30"/>
    <x v="0"/>
    <x v="3"/>
    <x v="2"/>
    <n v="3145621"/>
    <n v="1742903221.432857"/>
    <n v="57198658"/>
    <n v="0"/>
    <n v="30.47105093676948"/>
  </r>
  <r>
    <x v="30"/>
    <x v="0"/>
    <x v="3"/>
    <x v="3"/>
    <n v="228398"/>
    <n v="46571758.682429329"/>
    <n v="57198658"/>
    <n v="0"/>
    <n v="0.81421068799252827"/>
  </r>
  <r>
    <x v="30"/>
    <x v="0"/>
    <x v="3"/>
    <x v="4"/>
    <n v="451114"/>
    <n v="312185737.38152075"/>
    <n v="57198658"/>
    <n v="0"/>
    <n v="5.4579206627805981"/>
  </r>
  <r>
    <x v="30"/>
    <x v="1"/>
    <x v="0"/>
    <x v="1"/>
    <n v="18645926"/>
    <n v="51296299081.444359"/>
    <n v="69259333"/>
    <n v="0"/>
    <n v="740.64096287852442"/>
  </r>
  <r>
    <x v="30"/>
    <x v="1"/>
    <x v="0"/>
    <x v="0"/>
    <n v="8863289"/>
    <n v="2695317014.8660007"/>
    <n v="69259333"/>
    <n v="0"/>
    <n v="38.916300491458685"/>
  </r>
  <r>
    <x v="30"/>
    <x v="1"/>
    <x v="0"/>
    <x v="2"/>
    <n v="4195222"/>
    <n v="1924461188.9900146"/>
    <n v="69259333"/>
    <n v="0"/>
    <n v="27.786308438604433"/>
  </r>
  <r>
    <x v="30"/>
    <x v="1"/>
    <x v="0"/>
    <x v="3"/>
    <n v="193261"/>
    <n v="31217137.545322973"/>
    <n v="69259333"/>
    <n v="0"/>
    <n v="0.45072824402341521"/>
  </r>
  <r>
    <x v="30"/>
    <x v="1"/>
    <x v="0"/>
    <x v="4"/>
    <n v="377347"/>
    <n v="256742393.28426796"/>
    <n v="69259333"/>
    <n v="0"/>
    <n v="3.7069717850772252"/>
  </r>
  <r>
    <x v="30"/>
    <x v="1"/>
    <x v="1"/>
    <x v="1"/>
    <n v="16952961"/>
    <n v="57924128549.069809"/>
    <n v="81725699"/>
    <n v="370248571"/>
    <n v="708.76271794346849"/>
  </r>
  <r>
    <x v="30"/>
    <x v="1"/>
    <x v="1"/>
    <x v="0"/>
    <n v="8414514"/>
    <n v="3280033639.8500404"/>
    <n v="81725699"/>
    <n v="370248571"/>
    <n v="40.13466608404341"/>
  </r>
  <r>
    <x v="30"/>
    <x v="1"/>
    <x v="1"/>
    <x v="2"/>
    <n v="6296995"/>
    <n v="2690331792.5060787"/>
    <n v="81725699"/>
    <n v="370248571"/>
    <n v="32.919042913369012"/>
  </r>
  <r>
    <x v="30"/>
    <x v="1"/>
    <x v="1"/>
    <x v="3"/>
    <n v="70142"/>
    <n v="18334602.389631532"/>
    <n v="81725699"/>
    <n v="370248571"/>
    <n v="0.22434317006736806"/>
  </r>
  <r>
    <x v="30"/>
    <x v="1"/>
    <x v="1"/>
    <x v="4"/>
    <n v="437125"/>
    <n v="294847441.94211417"/>
    <n v="81725699"/>
    <n v="370248571"/>
    <n v="3.6077689827053567"/>
  </r>
  <r>
    <x v="30"/>
    <x v="1"/>
    <x v="2"/>
    <x v="1"/>
    <n v="21277636"/>
    <n v="70615331408.539658"/>
    <n v="92717185"/>
    <n v="1371593762"/>
    <n v="761.62074386252834"/>
  </r>
  <r>
    <x v="30"/>
    <x v="1"/>
    <x v="2"/>
    <x v="2"/>
    <n v="10344027"/>
    <n v="4079315732.6616831"/>
    <n v="92717185"/>
    <n v="1371593762"/>
    <n v="43.997407089761012"/>
  </r>
  <r>
    <x v="30"/>
    <x v="1"/>
    <x v="2"/>
    <x v="0"/>
    <n v="9246678"/>
    <n v="3964144354.4161515"/>
    <n v="92717185"/>
    <n v="1371593762"/>
    <n v="42.755227678840242"/>
  </r>
  <r>
    <x v="30"/>
    <x v="1"/>
    <x v="2"/>
    <x v="3"/>
    <n v="88261"/>
    <n v="27213741.831077334"/>
    <n v="92717185"/>
    <n v="1371593762"/>
    <n v="0.29351346065001149"/>
  </r>
  <r>
    <x v="30"/>
    <x v="1"/>
    <x v="2"/>
    <x v="4"/>
    <n v="453581"/>
    <n v="273599406.1898495"/>
    <n v="92717185"/>
    <n v="1371593762"/>
    <n v="2.9509028578666348"/>
  </r>
  <r>
    <x v="30"/>
    <x v="1"/>
    <x v="3"/>
    <x v="1"/>
    <n v="28814008"/>
    <n v="91858026341.275635"/>
    <n v="105825423"/>
    <n v="1705128887"/>
    <n v="868.01473348493619"/>
  </r>
  <r>
    <x v="30"/>
    <x v="1"/>
    <x v="3"/>
    <x v="2"/>
    <n v="16153034"/>
    <n v="6420193204.7806158"/>
    <n v="105825423"/>
    <n v="1705128887"/>
    <n v="60.667777390132578"/>
  </r>
  <r>
    <x v="30"/>
    <x v="1"/>
    <x v="3"/>
    <x v="0"/>
    <n v="11157765"/>
    <n v="4681454397.5629263"/>
    <n v="105825423"/>
    <n v="1705128887"/>
    <n v="44.237521238756834"/>
  </r>
  <r>
    <x v="30"/>
    <x v="1"/>
    <x v="3"/>
    <x v="3"/>
    <n v="60624"/>
    <n v="24332240.655566711"/>
    <n v="105825423"/>
    <n v="1705128887"/>
    <n v="0.22992812091633888"/>
  </r>
  <r>
    <x v="30"/>
    <x v="1"/>
    <x v="3"/>
    <x v="4"/>
    <n v="410980"/>
    <n v="206859328.26859051"/>
    <n v="105825423"/>
    <n v="1705128887"/>
    <n v="1.9547224325159609"/>
  </r>
  <r>
    <x v="30"/>
    <x v="2"/>
    <x v="0"/>
    <x v="1"/>
    <n v="30880360"/>
    <n v="101907683045.28436"/>
    <n v="119596048"/>
    <n v="1978996283"/>
    <n v="852.09908478986165"/>
  </r>
  <r>
    <x v="30"/>
    <x v="2"/>
    <x v="0"/>
    <x v="2"/>
    <n v="21541556"/>
    <n v="8950736938.2234783"/>
    <n v="119596048"/>
    <n v="1978996283"/>
    <n v="74.841410631089403"/>
  </r>
  <r>
    <x v="30"/>
    <x v="2"/>
    <x v="0"/>
    <x v="0"/>
    <n v="14134259"/>
    <n v="5493239429.7322235"/>
    <n v="119596048"/>
    <n v="1978996283"/>
    <n v="45.931613306588723"/>
  </r>
  <r>
    <x v="30"/>
    <x v="2"/>
    <x v="0"/>
    <x v="3"/>
    <n v="61427"/>
    <n v="41422107.813630365"/>
    <n v="119596048"/>
    <n v="1978996283"/>
    <n v="0.3463501387071784"/>
  </r>
  <r>
    <x v="30"/>
    <x v="2"/>
    <x v="0"/>
    <x v="4"/>
    <n v="335871"/>
    <n v="176604658.38668299"/>
    <n v="119596048"/>
    <n v="1978996283"/>
    <n v="1.4766763730076014"/>
  </r>
  <r>
    <x v="30"/>
    <x v="2"/>
    <x v="1"/>
    <x v="1"/>
    <n v="21700844"/>
    <n v="82347647064.123322"/>
    <n v="133658646"/>
    <n v="1593981917"/>
    <n v="616.10415434047809"/>
  </r>
  <r>
    <x v="30"/>
    <x v="2"/>
    <x v="1"/>
    <x v="0"/>
    <n v="18474731"/>
    <n v="6414781159.484189"/>
    <n v="133658646"/>
    <n v="1593981917"/>
    <n v="47.993761357452243"/>
  </r>
  <r>
    <x v="30"/>
    <x v="2"/>
    <x v="1"/>
    <x v="2"/>
    <n v="11477546"/>
    <n v="6909361871.6282063"/>
    <n v="133658646"/>
    <n v="1593981917"/>
    <n v="51.694088473918896"/>
  </r>
  <r>
    <x v="30"/>
    <x v="2"/>
    <x v="1"/>
    <x v="3"/>
    <n v="78584"/>
    <n v="89189349.849163532"/>
    <n v="133658646"/>
    <n v="1593981917"/>
    <n v="0.66729203473424037"/>
  </r>
  <r>
    <x v="30"/>
    <x v="2"/>
    <x v="1"/>
    <x v="4"/>
    <n v="138405"/>
    <n v="65529451.743669368"/>
    <n v="133658646"/>
    <n v="1593981917"/>
    <n v="0.49027469381718386"/>
  </r>
  <r>
    <x v="30"/>
    <x v="2"/>
    <x v="2"/>
    <x v="1"/>
    <n v="31754077"/>
    <n v="123561080533.04672"/>
    <n v="150077961"/>
    <n v="2141516124"/>
    <n v="823.31262838150315"/>
  </r>
  <r>
    <x v="30"/>
    <x v="2"/>
    <x v="2"/>
    <x v="2"/>
    <n v="20664887"/>
    <n v="12554589575.504852"/>
    <n v="150077961"/>
    <n v="2141516124"/>
    <n v="83.653785618161834"/>
  </r>
  <r>
    <x v="30"/>
    <x v="2"/>
    <x v="2"/>
    <x v="0"/>
    <n v="17521756"/>
    <n v="7476952307.4066677"/>
    <n v="150077961"/>
    <n v="2141516124"/>
    <n v="49.820455032745734"/>
  </r>
  <r>
    <x v="30"/>
    <x v="2"/>
    <x v="2"/>
    <x v="3"/>
    <n v="129671"/>
    <n v="158512062.54590106"/>
    <n v="150077961"/>
    <n v="2141516124"/>
    <n v="1.056198135220541"/>
  </r>
  <r>
    <x v="30"/>
    <x v="2"/>
    <x v="2"/>
    <x v="4"/>
    <n v="207434"/>
    <n v="90281020.159951538"/>
    <n v="150077961"/>
    <n v="2141516124"/>
    <n v="0.60156081251631299"/>
  </r>
  <r>
    <x v="30"/>
    <x v="2"/>
    <x v="3"/>
    <x v="1"/>
    <n v="47800741"/>
    <n v="172196381789.491"/>
    <n v="168933446"/>
    <n v="3170569072"/>
    <n v="1019.3149187845904"/>
  </r>
  <r>
    <x v="30"/>
    <x v="2"/>
    <x v="3"/>
    <x v="2"/>
    <n v="41297305"/>
    <n v="24417758781.652229"/>
    <n v="168933446"/>
    <n v="3170569072"/>
    <n v="144.54070144080427"/>
  </r>
  <r>
    <x v="30"/>
    <x v="2"/>
    <x v="3"/>
    <x v="0"/>
    <n v="21563946"/>
    <n v="9462546013.1633911"/>
    <n v="168933446"/>
    <n v="3170569072"/>
    <n v="56.013455222853807"/>
  </r>
  <r>
    <x v="30"/>
    <x v="2"/>
    <x v="3"/>
    <x v="3"/>
    <n v="153044"/>
    <n v="186775413.14290395"/>
    <n v="168933446"/>
    <n v="3170569072"/>
    <n v="1.1056153625310168"/>
  </r>
  <r>
    <x v="30"/>
    <x v="2"/>
    <x v="3"/>
    <x v="4"/>
    <n v="364665"/>
    <n v="209735503.54521424"/>
    <n v="168933446"/>
    <n v="3170569072"/>
    <n v="1.2415274092331854"/>
  </r>
  <r>
    <x v="30"/>
    <x v="3"/>
    <x v="0"/>
    <x v="1"/>
    <n v="57446279"/>
    <n v="206405230307.96109"/>
    <n v="182958688"/>
    <n v="3836818854"/>
    <n v="1128.1521121749686"/>
  </r>
  <r>
    <x v="30"/>
    <x v="3"/>
    <x v="0"/>
    <x v="2"/>
    <n v="53811885"/>
    <n v="30722779534.582508"/>
    <n v="182958688"/>
    <n v="3836818854"/>
    <n v="167.92194932324017"/>
  </r>
  <r>
    <x v="30"/>
    <x v="3"/>
    <x v="0"/>
    <x v="0"/>
    <n v="24826273"/>
    <n v="11115915388.739548"/>
    <n v="182958688"/>
    <n v="3836818854"/>
    <n v="60.756422721721464"/>
  </r>
  <r>
    <x v="30"/>
    <x v="3"/>
    <x v="0"/>
    <x v="3"/>
    <n v="170620"/>
    <n v="215319360.48403209"/>
    <n v="182958688"/>
    <n v="3836818854"/>
    <n v="1.1768742049791705"/>
  </r>
  <r>
    <x v="30"/>
    <x v="3"/>
    <x v="0"/>
    <x v="4"/>
    <n v="301617"/>
    <n v="208899281.88347316"/>
    <n v="182958688"/>
    <n v="3836818854"/>
    <n v="1.1417838866633825"/>
  </r>
  <r>
    <x v="30"/>
    <x v="3"/>
    <x v="1"/>
    <x v="1"/>
    <n v="60812902"/>
    <n v="216379027686.30246"/>
    <n v="195849962"/>
    <n v="3783653214"/>
    <n v="1104.8203710465998"/>
  </r>
  <r>
    <x v="30"/>
    <x v="3"/>
    <x v="1"/>
    <x v="2"/>
    <n v="52048347"/>
    <n v="33504798112.88382"/>
    <n v="195849962"/>
    <n v="3783653214"/>
    <n v="171.07380451206734"/>
  </r>
  <r>
    <x v="30"/>
    <x v="3"/>
    <x v="1"/>
    <x v="0"/>
    <n v="32753032"/>
    <n v="13155346942.255478"/>
    <n v="195849962"/>
    <n v="3783653214"/>
    <n v="67.170536097706659"/>
  </r>
  <r>
    <x v="30"/>
    <x v="3"/>
    <x v="1"/>
    <x v="3"/>
    <n v="192614"/>
    <n v="225113402.6634022"/>
    <n v="195849962"/>
    <n v="3783653214"/>
    <n v="1.1494176479002953"/>
  </r>
  <r>
    <x v="30"/>
    <x v="3"/>
    <x v="1"/>
    <x v="4"/>
    <n v="351547"/>
    <n v="223054882.44675264"/>
    <n v="195849962"/>
    <n v="3783653214"/>
    <n v="1.1389069477927836"/>
  </r>
  <r>
    <x v="30"/>
    <x v="3"/>
    <x v="2"/>
    <x v="2"/>
    <n v="85074941"/>
    <n v="52932187058.575195"/>
    <n v="210401840"/>
    <n v="5058094074"/>
    <n v="251.57663572987383"/>
  </r>
  <r>
    <x v="30"/>
    <x v="3"/>
    <x v="2"/>
    <x v="1"/>
    <n v="83833356"/>
    <n v="296121079294.83459"/>
    <n v="210401840"/>
    <n v="5058094074"/>
    <n v="1407.4072702730859"/>
  </r>
  <r>
    <x v="30"/>
    <x v="3"/>
    <x v="2"/>
    <x v="0"/>
    <n v="34751691"/>
    <n v="15613287081.611631"/>
    <n v="210401840"/>
    <n v="5058094074"/>
    <n v="74.20698926212637"/>
  </r>
  <r>
    <x v="30"/>
    <x v="3"/>
    <x v="2"/>
    <x v="3"/>
    <n v="182097"/>
    <n v="246146707.27908111"/>
    <n v="210401840"/>
    <n v="5058094074"/>
    <n v="1.1698885678902862"/>
  </r>
  <r>
    <x v="30"/>
    <x v="3"/>
    <x v="2"/>
    <x v="4"/>
    <n v="515319"/>
    <n v="294622911.63286841"/>
    <n v="210401840"/>
    <n v="5058094074"/>
    <n v="1.400286763808094"/>
  </r>
  <r>
    <x v="30"/>
    <x v="3"/>
    <x v="3"/>
    <x v="2"/>
    <n v="117578360"/>
    <n v="70539086832.138153"/>
    <n v="224764562"/>
    <n v="7544475840"/>
    <n v="313.83544720959236"/>
  </r>
  <r>
    <x v="30"/>
    <x v="3"/>
    <x v="3"/>
    <x v="1"/>
    <n v="104493071"/>
    <n v="353529424598.23047"/>
    <n v="224764562"/>
    <n v="7544475840"/>
    <n v="1572.8877428561468"/>
  </r>
  <r>
    <x v="30"/>
    <x v="3"/>
    <x v="3"/>
    <x v="0"/>
    <n v="36163870"/>
    <n v="18979178477.53405"/>
    <n v="224764562"/>
    <n v="7544475840"/>
    <n v="84.440261884051139"/>
  </r>
  <r>
    <x v="30"/>
    <x v="3"/>
    <x v="3"/>
    <x v="3"/>
    <n v="228761"/>
    <n v="275850497.09493399"/>
    <n v="224764562"/>
    <n v="7544475840"/>
    <n v="1.2272864309229228"/>
  </r>
  <r>
    <x v="30"/>
    <x v="3"/>
    <x v="3"/>
    <x v="4"/>
    <n v="691914"/>
    <n v="400412189.80491126"/>
    <n v="224764562"/>
    <n v="7544475840"/>
    <n v="1.781473850868498"/>
  </r>
  <r>
    <x v="31"/>
    <x v="0"/>
    <x v="0"/>
    <x v="0"/>
    <n v="4209319"/>
    <n v="831912767.59371889"/>
    <n v="36471160"/>
    <n v="0"/>
    <n v="22.810153765159072"/>
  </r>
  <r>
    <x v="31"/>
    <x v="0"/>
    <x v="0"/>
    <x v="1"/>
    <n v="3307245"/>
    <n v="11748268950.760422"/>
    <n v="36471160"/>
    <n v="0"/>
    <n v="322.12490501427487"/>
  </r>
  <r>
    <x v="31"/>
    <x v="0"/>
    <x v="0"/>
    <x v="2"/>
    <n v="351474"/>
    <n v="282899066.61373723"/>
    <n v="36471160"/>
    <n v="0"/>
    <n v="7.7567882845990423"/>
  </r>
  <r>
    <x v="31"/>
    <x v="0"/>
    <x v="0"/>
    <x v="3"/>
    <n v="262876"/>
    <n v="57011875.362337038"/>
    <n v="36471160"/>
    <n v="0"/>
    <n v="1.5632043335703345"/>
  </r>
  <r>
    <x v="31"/>
    <x v="0"/>
    <x v="0"/>
    <x v="4"/>
    <n v="391852"/>
    <n v="388111458.2121352"/>
    <n v="36471160"/>
    <n v="0"/>
    <n v="10.641598956878125"/>
  </r>
  <r>
    <x v="31"/>
    <x v="0"/>
    <x v="1"/>
    <x v="1"/>
    <n v="4784079"/>
    <n v="20748520742.575531"/>
    <n v="46861265"/>
    <n v="0"/>
    <n v="442.76484517811309"/>
  </r>
  <r>
    <x v="31"/>
    <x v="0"/>
    <x v="1"/>
    <x v="0"/>
    <n v="4686542"/>
    <n v="1274130053.834579"/>
    <n v="46861265"/>
    <n v="0"/>
    <n v="27.189408007542667"/>
  </r>
  <r>
    <x v="31"/>
    <x v="0"/>
    <x v="1"/>
    <x v="2"/>
    <n v="701082"/>
    <n v="551696487.31854284"/>
    <n v="46861265"/>
    <n v="0"/>
    <n v="11.772974701356073"/>
  </r>
  <r>
    <x v="31"/>
    <x v="0"/>
    <x v="1"/>
    <x v="3"/>
    <n v="277805"/>
    <n v="85498213.25384143"/>
    <n v="46861265"/>
    <n v="0"/>
    <n v="1.8244964845452087"/>
  </r>
  <r>
    <x v="31"/>
    <x v="0"/>
    <x v="1"/>
    <x v="4"/>
    <n v="315162"/>
    <n v="357356020.66981602"/>
    <n v="46861265"/>
    <n v="0"/>
    <n v="7.6258295773666376"/>
  </r>
  <r>
    <x v="31"/>
    <x v="0"/>
    <x v="2"/>
    <x v="1"/>
    <n v="11560952"/>
    <n v="29253505738.828743"/>
    <n v="56523511"/>
    <n v="0"/>
    <n v="517.54580034543051"/>
  </r>
  <r>
    <x v="31"/>
    <x v="0"/>
    <x v="2"/>
    <x v="0"/>
    <n v="5328881"/>
    <n v="1568136060.6278369"/>
    <n v="56523511"/>
    <n v="0"/>
    <n v="27.743075985280477"/>
  </r>
  <r>
    <x v="31"/>
    <x v="0"/>
    <x v="2"/>
    <x v="2"/>
    <n v="1770075"/>
    <n v="855534175.47941864"/>
    <n v="56523511"/>
    <n v="0"/>
    <n v="15.135899386706864"/>
  </r>
  <r>
    <x v="31"/>
    <x v="0"/>
    <x v="2"/>
    <x v="3"/>
    <n v="307312"/>
    <n v="52554123.973762177"/>
    <n v="56523511"/>
    <n v="0"/>
    <n v="0.92977458484067232"/>
  </r>
  <r>
    <x v="31"/>
    <x v="0"/>
    <x v="2"/>
    <x v="4"/>
    <n v="365483"/>
    <n v="300363110.81379545"/>
    <n v="56523511"/>
    <n v="0"/>
    <n v="5.3139499917794462"/>
  </r>
  <r>
    <x v="31"/>
    <x v="0"/>
    <x v="3"/>
    <x v="1"/>
    <n v="15571288"/>
    <n v="44541667501.741119"/>
    <n v="71826469"/>
    <n v="0"/>
    <n v="620.12887619104765"/>
  </r>
  <r>
    <x v="31"/>
    <x v="0"/>
    <x v="3"/>
    <x v="0"/>
    <n v="7121135"/>
    <n v="2165870863.1686502"/>
    <n v="71826469"/>
    <n v="0"/>
    <n v="30.154216033766748"/>
  </r>
  <r>
    <x v="31"/>
    <x v="0"/>
    <x v="3"/>
    <x v="2"/>
    <n v="5315161"/>
    <n v="2356841304.9649296"/>
    <n v="71826469"/>
    <n v="0"/>
    <n v="32.812991335616537"/>
  </r>
  <r>
    <x v="31"/>
    <x v="0"/>
    <x v="3"/>
    <x v="3"/>
    <n v="392423"/>
    <n v="64569231.235592492"/>
    <n v="71826469"/>
    <n v="0"/>
    <n v="0.89896151285945147"/>
  </r>
  <r>
    <x v="31"/>
    <x v="0"/>
    <x v="3"/>
    <x v="4"/>
    <n v="521147"/>
    <n v="380139546.93821603"/>
    <n v="71826469"/>
    <n v="0"/>
    <n v="5.2924715948129935"/>
  </r>
  <r>
    <x v="31"/>
    <x v="1"/>
    <x v="0"/>
    <x v="1"/>
    <n v="40488967"/>
    <n v="87361237975.493011"/>
    <n v="87597675"/>
    <n v="0"/>
    <n v="997.30087557110403"/>
  </r>
  <r>
    <x v="31"/>
    <x v="1"/>
    <x v="0"/>
    <x v="2"/>
    <n v="12341901"/>
    <n v="4144368545.5359688"/>
    <n v="87597675"/>
    <n v="0"/>
    <n v="47.311398910256109"/>
  </r>
  <r>
    <x v="31"/>
    <x v="1"/>
    <x v="0"/>
    <x v="0"/>
    <n v="11525394"/>
    <n v="3619117615.4851718"/>
    <n v="87597675"/>
    <n v="0"/>
    <n v="41.315224581990009"/>
  </r>
  <r>
    <x v="31"/>
    <x v="1"/>
    <x v="0"/>
    <x v="3"/>
    <n v="463688"/>
    <n v="54547989.275453925"/>
    <n v="87597675"/>
    <n v="0"/>
    <n v="0.62271046891888315"/>
  </r>
  <r>
    <x v="31"/>
    <x v="1"/>
    <x v="0"/>
    <x v="4"/>
    <n v="470752"/>
    <n v="343989909.87508941"/>
    <n v="87597675"/>
    <n v="0"/>
    <n v="3.9269296802122819"/>
  </r>
  <r>
    <x v="31"/>
    <x v="1"/>
    <x v="1"/>
    <x v="1"/>
    <n v="46741594"/>
    <n v="141095702899.16147"/>
    <n v="99506077"/>
    <n v="889265322"/>
    <n v="1417.9606628363158"/>
  </r>
  <r>
    <x v="31"/>
    <x v="1"/>
    <x v="1"/>
    <x v="2"/>
    <n v="25682382"/>
    <n v="8442740781.4698439"/>
    <n v="99506077"/>
    <n v="889265322"/>
    <n v="84.846484114430964"/>
  </r>
  <r>
    <x v="31"/>
    <x v="1"/>
    <x v="1"/>
    <x v="0"/>
    <n v="16225017"/>
    <n v="5603477828.5489645"/>
    <n v="99506077"/>
    <n v="889265322"/>
    <n v="56.312920753060787"/>
  </r>
  <r>
    <x v="31"/>
    <x v="1"/>
    <x v="1"/>
    <x v="3"/>
    <n v="252173"/>
    <n v="43627344.86329399"/>
    <n v="99506077"/>
    <n v="889265322"/>
    <n v="0.4384389996933955"/>
  </r>
  <r>
    <x v="31"/>
    <x v="1"/>
    <x v="1"/>
    <x v="4"/>
    <n v="709213"/>
    <n v="490894328.39153659"/>
    <n v="99506077"/>
    <n v="889265322"/>
    <n v="4.9333100368486704"/>
  </r>
  <r>
    <x v="31"/>
    <x v="1"/>
    <x v="2"/>
    <x v="1"/>
    <n v="59981113"/>
    <n v="180342868388.36203"/>
    <n v="110996127"/>
    <n v="3499369621"/>
    <n v="1624.7672172233724"/>
  </r>
  <r>
    <x v="31"/>
    <x v="1"/>
    <x v="2"/>
    <x v="2"/>
    <n v="44035953"/>
    <n v="14308557740.554239"/>
    <n v="110996127"/>
    <n v="3499369621"/>
    <n v="128.9104235191399"/>
  </r>
  <r>
    <x v="31"/>
    <x v="1"/>
    <x v="2"/>
    <x v="0"/>
    <n v="16437222"/>
    <n v="6793699069.3873644"/>
    <n v="110996127"/>
    <n v="3499369621"/>
    <n v="61.206631735784477"/>
  </r>
  <r>
    <x v="31"/>
    <x v="1"/>
    <x v="2"/>
    <x v="3"/>
    <n v="183163"/>
    <n v="39617186.740484983"/>
    <n v="110996127"/>
    <n v="3499369621"/>
    <n v="0.35692404601184852"/>
  </r>
  <r>
    <x v="31"/>
    <x v="1"/>
    <x v="2"/>
    <x v="4"/>
    <n v="857925"/>
    <n v="445278745.38184118"/>
    <n v="110996127"/>
    <n v="3499369621"/>
    <n v="4.0116602030793489"/>
  </r>
  <r>
    <x v="31"/>
    <x v="1"/>
    <x v="3"/>
    <x v="1"/>
    <n v="82587060"/>
    <n v="249346680995.99316"/>
    <n v="123427601"/>
    <n v="4391629484"/>
    <n v="2020.185752423343"/>
  </r>
  <r>
    <x v="31"/>
    <x v="1"/>
    <x v="3"/>
    <x v="2"/>
    <n v="59347809"/>
    <n v="21510626607.08445"/>
    <n v="123427601"/>
    <n v="4391629484"/>
    <n v="174.27728022587468"/>
  </r>
  <r>
    <x v="31"/>
    <x v="1"/>
    <x v="3"/>
    <x v="0"/>
    <n v="20797056"/>
    <n v="9561315124.6026554"/>
    <n v="123427601"/>
    <n v="4391629484"/>
    <n v="77.464967698777969"/>
  </r>
  <r>
    <x v="31"/>
    <x v="1"/>
    <x v="3"/>
    <x v="3"/>
    <n v="137291"/>
    <n v="33453857.404595934"/>
    <n v="123427601"/>
    <n v="4391629484"/>
    <n v="0.27104032755684793"/>
  </r>
  <r>
    <x v="31"/>
    <x v="1"/>
    <x v="3"/>
    <x v="4"/>
    <n v="703042"/>
    <n v="294688962.65904599"/>
    <n v="123427601"/>
    <n v="4391629484"/>
    <n v="2.3875450893600858"/>
  </r>
  <r>
    <x v="31"/>
    <x v="2"/>
    <x v="0"/>
    <x v="1"/>
    <n v="95668911"/>
    <n v="327641798044.80554"/>
    <n v="135375460"/>
    <n v="5001961976"/>
    <n v="2420.2451319079955"/>
  </r>
  <r>
    <x v="31"/>
    <x v="2"/>
    <x v="0"/>
    <x v="2"/>
    <n v="76818285"/>
    <n v="31076431477.912689"/>
    <n v="135375460"/>
    <n v="5001961976"/>
    <n v="229.55734723200712"/>
  </r>
  <r>
    <x v="31"/>
    <x v="2"/>
    <x v="0"/>
    <x v="0"/>
    <n v="26324268"/>
    <n v="12324266104.564993"/>
    <n v="135375460"/>
    <n v="5001961976"/>
    <n v="91.037667421887193"/>
  </r>
  <r>
    <x v="31"/>
    <x v="2"/>
    <x v="0"/>
    <x v="3"/>
    <n v="88184"/>
    <n v="59500639.386845887"/>
    <n v="135375460"/>
    <n v="5001961976"/>
    <n v="0.43952308185579486"/>
  </r>
  <r>
    <x v="31"/>
    <x v="2"/>
    <x v="0"/>
    <x v="4"/>
    <n v="509877"/>
    <n v="241784101.54604858"/>
    <n v="135375460"/>
    <n v="5001961976"/>
    <n v="1.7860260755239434"/>
  </r>
  <r>
    <x v="31"/>
    <x v="2"/>
    <x v="1"/>
    <x v="1"/>
    <n v="76683293"/>
    <n v="279478553909.74377"/>
    <n v="147160101"/>
    <n v="4038435555"/>
    <n v="1899.1462496328661"/>
  </r>
  <r>
    <x v="31"/>
    <x v="2"/>
    <x v="1"/>
    <x v="2"/>
    <n v="44181999"/>
    <n v="26712043204.891262"/>
    <n v="147160101"/>
    <n v="4038435555"/>
    <n v="181.51688551023258"/>
  </r>
  <r>
    <x v="31"/>
    <x v="2"/>
    <x v="1"/>
    <x v="0"/>
    <n v="30885875"/>
    <n v="15106945863.857046"/>
    <n v="147160101"/>
    <n v="4038435555"/>
    <n v="102.65653367455249"/>
  </r>
  <r>
    <x v="31"/>
    <x v="2"/>
    <x v="1"/>
    <x v="3"/>
    <n v="116776"/>
    <n v="134169906.74750492"/>
    <n v="147160101"/>
    <n v="4038435555"/>
    <n v="0.9117274712084148"/>
  </r>
  <r>
    <x v="31"/>
    <x v="2"/>
    <x v="1"/>
    <x v="4"/>
    <n v="187200"/>
    <n v="100126467.191328"/>
    <n v="147160101"/>
    <n v="4038435555"/>
    <n v="0.68039140032479317"/>
  </r>
  <r>
    <x v="31"/>
    <x v="2"/>
    <x v="2"/>
    <x v="1"/>
    <n v="116668399"/>
    <n v="437459188905.05341"/>
    <n v="160499702"/>
    <n v="5805601175"/>
    <n v="2725.6074837139163"/>
  </r>
  <r>
    <x v="31"/>
    <x v="2"/>
    <x v="2"/>
    <x v="2"/>
    <n v="86836471"/>
    <n v="49743225885.179474"/>
    <n v="160499702"/>
    <n v="5805601175"/>
    <n v="309.92721647034256"/>
  </r>
  <r>
    <x v="31"/>
    <x v="2"/>
    <x v="2"/>
    <x v="0"/>
    <n v="32352860"/>
    <n v="18378477087.576897"/>
    <n v="160499702"/>
    <n v="5805601175"/>
    <n v="114.5078580119538"/>
  </r>
  <r>
    <x v="31"/>
    <x v="2"/>
    <x v="2"/>
    <x v="3"/>
    <n v="195857"/>
    <n v="223377023.50525153"/>
    <n v="160499702"/>
    <n v="5805601175"/>
    <n v="1.3917597398732338"/>
  </r>
  <r>
    <x v="31"/>
    <x v="2"/>
    <x v="2"/>
    <x v="4"/>
    <n v="318539"/>
    <n v="156875854.55487928"/>
    <n v="160499702"/>
    <n v="5805601175"/>
    <n v="0.9774214693238451"/>
  </r>
  <r>
    <x v="31"/>
    <x v="2"/>
    <x v="3"/>
    <x v="1"/>
    <n v="160607487"/>
    <n v="591976601278.51538"/>
    <n v="175205767"/>
    <n v="8410756585"/>
    <n v="3378.7506622342826"/>
  </r>
  <r>
    <x v="31"/>
    <x v="2"/>
    <x v="3"/>
    <x v="2"/>
    <n v="143897953"/>
    <n v="81725950703.212723"/>
    <n v="175205767"/>
    <n v="8410756585"/>
    <n v="466.45696715686717"/>
  </r>
  <r>
    <x v="31"/>
    <x v="2"/>
    <x v="3"/>
    <x v="0"/>
    <n v="38174710"/>
    <n v="22006183348.803982"/>
    <n v="175205767"/>
    <n v="8410756585"/>
    <n v="125.6019349454632"/>
  </r>
  <r>
    <x v="31"/>
    <x v="2"/>
    <x v="3"/>
    <x v="3"/>
    <n v="230134"/>
    <n v="275357720.01805824"/>
    <n v="175205767"/>
    <n v="8410756585"/>
    <n v="1.5716247514732677"/>
  </r>
  <r>
    <x v="31"/>
    <x v="2"/>
    <x v="3"/>
    <x v="4"/>
    <n v="733503"/>
    <n v="366346176.40682477"/>
    <n v="175205767"/>
    <n v="8410756585"/>
    <n v="2.0909481615797771"/>
  </r>
  <r>
    <x v="31"/>
    <x v="3"/>
    <x v="0"/>
    <x v="2"/>
    <n v="185230619"/>
    <n v="95927278280.53006"/>
    <n v="188639759"/>
    <n v="10120440462"/>
    <n v="508.52099678801039"/>
  </r>
  <r>
    <x v="31"/>
    <x v="3"/>
    <x v="0"/>
    <x v="1"/>
    <n v="179738195"/>
    <n v="676276353116.84192"/>
    <n v="188639759"/>
    <n v="10120440462"/>
    <n v="3585.0149337650601"/>
  </r>
  <r>
    <x v="31"/>
    <x v="3"/>
    <x v="0"/>
    <x v="0"/>
    <n v="46371555"/>
    <n v="26447601338.533459"/>
    <n v="188639759"/>
    <n v="10120440462"/>
    <n v="140.20162811241431"/>
  </r>
  <r>
    <x v="31"/>
    <x v="3"/>
    <x v="0"/>
    <x v="3"/>
    <n v="262473"/>
    <n v="320153410.17969453"/>
    <n v="188639759"/>
    <n v="10120440462"/>
    <n v="1.6971682527419605"/>
  </r>
  <r>
    <x v="31"/>
    <x v="3"/>
    <x v="0"/>
    <x v="4"/>
    <n v="969268"/>
    <n v="387877900.50448668"/>
    <n v="188639759"/>
    <n v="10120440462"/>
    <n v="2.0561831851390706"/>
  </r>
  <r>
    <x v="31"/>
    <x v="3"/>
    <x v="1"/>
    <x v="1"/>
    <n v="230861833"/>
    <n v="872151973637.88501"/>
    <n v="201375680"/>
    <n v="9958494612"/>
    <n v="4330.9697260259281"/>
  </r>
  <r>
    <x v="31"/>
    <x v="3"/>
    <x v="1"/>
    <x v="2"/>
    <n v="205232899"/>
    <n v="123207789311.2962"/>
    <n v="201375680"/>
    <n v="9958494612"/>
    <n v="611.8305314290991"/>
  </r>
  <r>
    <x v="31"/>
    <x v="3"/>
    <x v="1"/>
    <x v="0"/>
    <n v="58637866"/>
    <n v="31877277168.343227"/>
    <n v="201375680"/>
    <n v="9958494612"/>
    <n v="158.29755196031232"/>
  </r>
  <r>
    <x v="31"/>
    <x v="3"/>
    <x v="1"/>
    <x v="3"/>
    <n v="278546"/>
    <n v="300569264.14438879"/>
    <n v="201375680"/>
    <n v="9958494612"/>
    <n v="1.4925797601000717"/>
  </r>
  <r>
    <x v="31"/>
    <x v="3"/>
    <x v="1"/>
    <x v="4"/>
    <n v="856400"/>
    <n v="420723415.91505665"/>
    <n v="201375680"/>
    <n v="9958494612"/>
    <n v="2.0892464070887637"/>
  </r>
  <r>
    <x v="31"/>
    <x v="3"/>
    <x v="2"/>
    <x v="2"/>
    <n v="286735350"/>
    <n v="159227310549.39368"/>
    <n v="215768058"/>
    <n v="12182821167"/>
    <n v="737.95589590649081"/>
  </r>
  <r>
    <x v="31"/>
    <x v="3"/>
    <x v="2"/>
    <x v="1"/>
    <n v="271436926"/>
    <n v="981754679241.04053"/>
    <n v="215768058"/>
    <n v="12182821167"/>
    <n v="4550.046417162639"/>
  </r>
  <r>
    <x v="31"/>
    <x v="3"/>
    <x v="2"/>
    <x v="0"/>
    <n v="62744121"/>
    <n v="36434881136.016243"/>
    <n v="215768058"/>
    <n v="12182821167"/>
    <n v="168.86132949306261"/>
  </r>
  <r>
    <x v="31"/>
    <x v="3"/>
    <x v="2"/>
    <x v="3"/>
    <n v="235519"/>
    <n v="329138539.46121418"/>
    <n v="215768058"/>
    <n v="12182821167"/>
    <n v="1.5254275471173504"/>
  </r>
  <r>
    <x v="31"/>
    <x v="3"/>
    <x v="2"/>
    <x v="4"/>
    <n v="1734852"/>
    <n v="543116826.34221911"/>
    <n v="215768058"/>
    <n v="12182821167"/>
    <n v="2.5171326626215409"/>
  </r>
  <r>
    <x v="31"/>
    <x v="3"/>
    <x v="3"/>
    <x v="2"/>
    <n v="376584215"/>
    <n v="212974766412.01556"/>
    <n v="230094139"/>
    <n v="15483593312"/>
    <n v="925.59839784539474"/>
  </r>
  <r>
    <x v="31"/>
    <x v="3"/>
    <x v="3"/>
    <x v="1"/>
    <n v="331774591"/>
    <n v="1204991223519.0161"/>
    <n v="230094139"/>
    <n v="15483593312"/>
    <n v="5236.9487930286487"/>
  </r>
  <r>
    <x v="31"/>
    <x v="3"/>
    <x v="3"/>
    <x v="0"/>
    <n v="66477036"/>
    <n v="44760398983.307892"/>
    <n v="230094139"/>
    <n v="15483593312"/>
    <n v="194.53080890212459"/>
  </r>
  <r>
    <x v="31"/>
    <x v="3"/>
    <x v="3"/>
    <x v="3"/>
    <n v="298871"/>
    <n v="392141743.67056632"/>
    <n v="230094139"/>
    <n v="15483593312"/>
    <n v="1.7042665466179749"/>
  </r>
  <r>
    <x v="31"/>
    <x v="3"/>
    <x v="3"/>
    <x v="4"/>
    <n v="855060"/>
    <n v="639658842.8998816"/>
    <n v="230094139"/>
    <n v="15483593312"/>
    <n v="2.7799875550062647"/>
  </r>
  <r>
    <x v="32"/>
    <x v="0"/>
    <x v="0"/>
    <x v="0"/>
    <n v="86819"/>
    <n v="14079439.569905948"/>
    <n v="606727"/>
    <n v="0"/>
    <n v="23.205559617267646"/>
  </r>
  <r>
    <x v="32"/>
    <x v="0"/>
    <x v="0"/>
    <x v="1"/>
    <n v="44844"/>
    <n v="112229994.97675678"/>
    <n v="606727"/>
    <n v="0"/>
    <n v="184.97610123953078"/>
  </r>
  <r>
    <x v="32"/>
    <x v="0"/>
    <x v="0"/>
    <x v="3"/>
    <n v="4842"/>
    <n v="672247.58817101549"/>
    <n v="606727"/>
    <n v="0"/>
    <n v="1.1079902298249715"/>
  </r>
  <r>
    <x v="32"/>
    <x v="0"/>
    <x v="0"/>
    <x v="2"/>
    <n v="4833"/>
    <n v="6080959.8828360857"/>
    <n v="606727"/>
    <n v="0"/>
    <n v="10.022563496986431"/>
  </r>
  <r>
    <x v="32"/>
    <x v="0"/>
    <x v="0"/>
    <x v="4"/>
    <n v="6819"/>
    <n v="4916272.512952799"/>
    <n v="606727"/>
    <n v="0"/>
    <n v="8.1029400586306508"/>
  </r>
  <r>
    <x v="32"/>
    <x v="0"/>
    <x v="1"/>
    <x v="0"/>
    <n v="118171"/>
    <n v="22554398.152730349"/>
    <n v="917059"/>
    <n v="0"/>
    <n v="24.594271636536309"/>
  </r>
  <r>
    <x v="32"/>
    <x v="0"/>
    <x v="1"/>
    <x v="1"/>
    <n v="73821"/>
    <n v="197666881.87296879"/>
    <n v="917059"/>
    <n v="0"/>
    <n v="215.54434542703228"/>
  </r>
  <r>
    <x v="32"/>
    <x v="0"/>
    <x v="1"/>
    <x v="2"/>
    <n v="9621"/>
    <n v="10570951.151568789"/>
    <n v="917059"/>
    <n v="0"/>
    <n v="11.527013149174469"/>
  </r>
  <r>
    <x v="32"/>
    <x v="0"/>
    <x v="1"/>
    <x v="3"/>
    <n v="6925"/>
    <n v="1264101.9048103681"/>
    <n v="917059"/>
    <n v="0"/>
    <n v="1.378430291628312"/>
  </r>
  <r>
    <x v="32"/>
    <x v="0"/>
    <x v="1"/>
    <x v="4"/>
    <n v="6021"/>
    <n v="4835385.6340576364"/>
    <n v="917059"/>
    <n v="0"/>
    <n v="5.2727094266101053"/>
  </r>
  <r>
    <x v="32"/>
    <x v="0"/>
    <x v="2"/>
    <x v="1"/>
    <n v="186065"/>
    <n v="398867427.32463384"/>
    <n v="1285614"/>
    <n v="0"/>
    <n v="310.25442109733859"/>
  </r>
  <r>
    <x v="32"/>
    <x v="0"/>
    <x v="2"/>
    <x v="0"/>
    <n v="156308"/>
    <n v="33484811.212822821"/>
    <n v="1285614"/>
    <n v="0"/>
    <n v="26.045773624760482"/>
  </r>
  <r>
    <x v="32"/>
    <x v="0"/>
    <x v="2"/>
    <x v="2"/>
    <n v="21476"/>
    <n v="16092396.411133939"/>
    <n v="1285614"/>
    <n v="0"/>
    <n v="12.517284667974943"/>
  </r>
  <r>
    <x v="32"/>
    <x v="0"/>
    <x v="2"/>
    <x v="3"/>
    <n v="8106"/>
    <n v="1080000.0112896338"/>
    <n v="1285614"/>
    <n v="0"/>
    <n v="0.84006553389246996"/>
  </r>
  <r>
    <x v="32"/>
    <x v="0"/>
    <x v="2"/>
    <x v="4"/>
    <n v="5748"/>
    <n v="4338753.080712541"/>
    <n v="1285614"/>
    <n v="0"/>
    <n v="3.3748489676625653"/>
  </r>
  <r>
    <x v="32"/>
    <x v="0"/>
    <x v="3"/>
    <x v="0"/>
    <n v="204720"/>
    <n v="38334816.663799264"/>
    <n v="1685915"/>
    <n v="0"/>
    <n v="22.738285538594333"/>
  </r>
  <r>
    <x v="32"/>
    <x v="0"/>
    <x v="3"/>
    <x v="1"/>
    <n v="179739"/>
    <n v="549068822.37296832"/>
    <n v="1685915"/>
    <n v="0"/>
    <n v="325.68001493133897"/>
  </r>
  <r>
    <x v="32"/>
    <x v="0"/>
    <x v="3"/>
    <x v="2"/>
    <n v="50888"/>
    <n v="31066467.633390322"/>
    <n v="1685915"/>
    <n v="0"/>
    <n v="18.427066390292701"/>
  </r>
  <r>
    <x v="32"/>
    <x v="0"/>
    <x v="3"/>
    <x v="3"/>
    <n v="6441"/>
    <n v="1023126.8205747404"/>
    <n v="1685915"/>
    <n v="0"/>
    <n v="0.60686738096211279"/>
  </r>
  <r>
    <x v="32"/>
    <x v="0"/>
    <x v="3"/>
    <x v="4"/>
    <n v="6271"/>
    <n v="5392365.9737139884"/>
    <n v="1685915"/>
    <n v="0"/>
    <n v="3.1984803348413107"/>
  </r>
  <r>
    <x v="32"/>
    <x v="1"/>
    <x v="0"/>
    <x v="1"/>
    <n v="296993"/>
    <n v="679165332.81238985"/>
    <n v="2015794"/>
    <n v="0"/>
    <n v="336.92199342412459"/>
  </r>
  <r>
    <x v="32"/>
    <x v="1"/>
    <x v="0"/>
    <x v="0"/>
    <n v="227997"/>
    <n v="44429378.422779262"/>
    <n v="2015794"/>
    <n v="0"/>
    <n v="22.040634322147632"/>
  </r>
  <r>
    <x v="32"/>
    <x v="1"/>
    <x v="0"/>
    <x v="2"/>
    <n v="46642"/>
    <n v="28109966.31994779"/>
    <n v="2015794"/>
    <n v="0"/>
    <n v="13.94486059584848"/>
  </r>
  <r>
    <x v="32"/>
    <x v="1"/>
    <x v="0"/>
    <x v="3"/>
    <n v="4189"/>
    <n v="461473.58856435167"/>
    <n v="2015794"/>
    <n v="0"/>
    <n v="0.22892894242385464"/>
  </r>
  <r>
    <x v="32"/>
    <x v="1"/>
    <x v="0"/>
    <x v="4"/>
    <n v="5105"/>
    <n v="4728790.4721388388"/>
    <n v="2015794"/>
    <n v="0"/>
    <n v="2.3458699014576085"/>
  </r>
  <r>
    <x v="32"/>
    <x v="1"/>
    <x v="1"/>
    <x v="1"/>
    <n v="240776"/>
    <n v="751113516.22567546"/>
    <n v="2394084"/>
    <n v="10489897"/>
    <n v="313.73732760658169"/>
  </r>
  <r>
    <x v="32"/>
    <x v="1"/>
    <x v="1"/>
    <x v="0"/>
    <n v="218649"/>
    <n v="48989430.60730426"/>
    <n v="2394084"/>
    <n v="10489897"/>
    <n v="20.462703316719153"/>
  </r>
  <r>
    <x v="32"/>
    <x v="1"/>
    <x v="1"/>
    <x v="2"/>
    <n v="64829"/>
    <n v="35275706.828775018"/>
    <n v="2394084"/>
    <n v="10489897"/>
    <n v="14.734531799542129"/>
  </r>
  <r>
    <x v="32"/>
    <x v="1"/>
    <x v="1"/>
    <x v="3"/>
    <n v="1899"/>
    <n v="339184.33447052969"/>
    <n v="2394084"/>
    <n v="10489897"/>
    <n v="0.14167603746173055"/>
  </r>
  <r>
    <x v="32"/>
    <x v="1"/>
    <x v="1"/>
    <x v="4"/>
    <n v="6405"/>
    <n v="6103644.8511518892"/>
    <n v="2394084"/>
    <n v="10489897"/>
    <n v="2.5494697976979461"/>
  </r>
  <r>
    <x v="32"/>
    <x v="1"/>
    <x v="2"/>
    <x v="0"/>
    <n v="339539"/>
    <n v="81845425.354251415"/>
    <n v="2700016"/>
    <n v="36860901"/>
    <n v="30.312940869332408"/>
  </r>
  <r>
    <x v="32"/>
    <x v="1"/>
    <x v="2"/>
    <x v="1"/>
    <n v="270163"/>
    <n v="884623553.90113842"/>
    <n v="2700016"/>
    <n v="36860901"/>
    <n v="327.63641174761131"/>
  </r>
  <r>
    <x v="32"/>
    <x v="1"/>
    <x v="2"/>
    <x v="2"/>
    <n v="68399"/>
    <n v="44802063.644304268"/>
    <n v="2700016"/>
    <n v="36860901"/>
    <n v="16.593258574876693"/>
  </r>
  <r>
    <x v="32"/>
    <x v="1"/>
    <x v="2"/>
    <x v="3"/>
    <n v="27970"/>
    <n v="582020.99032085936"/>
    <n v="2700016"/>
    <n v="36860901"/>
    <n v="0.21556205234371181"/>
  </r>
  <r>
    <x v="32"/>
    <x v="1"/>
    <x v="2"/>
    <x v="4"/>
    <n v="5646"/>
    <n v="5524358.9272096958"/>
    <n v="2700016"/>
    <n v="36860901"/>
    <n v="2.0460467372081115"/>
  </r>
  <r>
    <x v="32"/>
    <x v="1"/>
    <x v="3"/>
    <x v="0"/>
    <n v="373779"/>
    <n v="88001651.28693296"/>
    <n v="2995278"/>
    <n v="39718877"/>
    <n v="29.380128083915068"/>
  </r>
  <r>
    <x v="32"/>
    <x v="1"/>
    <x v="3"/>
    <x v="1"/>
    <n v="359076"/>
    <n v="1071507585.9983547"/>
    <n v="2995278"/>
    <n v="39718877"/>
    <n v="357.73226591934196"/>
  </r>
  <r>
    <x v="32"/>
    <x v="1"/>
    <x v="3"/>
    <x v="2"/>
    <n v="62458"/>
    <n v="51274033.720727704"/>
    <n v="2995278"/>
    <n v="39718877"/>
    <n v="17.118288760084273"/>
  </r>
  <r>
    <x v="32"/>
    <x v="1"/>
    <x v="3"/>
    <x v="3"/>
    <n v="2239"/>
    <n v="377097.66713108413"/>
    <n v="2995278"/>
    <n v="39718877"/>
    <n v="0.12589738486079893"/>
  </r>
  <r>
    <x v="32"/>
    <x v="1"/>
    <x v="3"/>
    <x v="4"/>
    <n v="4272"/>
    <n v="4239791.585043055"/>
    <n v="2995278"/>
    <n v="39718877"/>
    <n v="1.4154918458463805"/>
  </r>
  <r>
    <x v="32"/>
    <x v="2"/>
    <x v="0"/>
    <x v="0"/>
    <n v="449584"/>
    <n v="114355218.03514045"/>
    <n v="3299582"/>
    <n v="44695453"/>
    <n v="34.657486322552508"/>
  </r>
  <r>
    <x v="32"/>
    <x v="2"/>
    <x v="0"/>
    <x v="1"/>
    <n v="366218"/>
    <n v="1400694933.5701571"/>
    <n v="3299582"/>
    <n v="44695453"/>
    <n v="424.50678103170554"/>
  </r>
  <r>
    <x v="32"/>
    <x v="2"/>
    <x v="0"/>
    <x v="2"/>
    <n v="102861"/>
    <n v="68590603.637709796"/>
    <n v="3299582"/>
    <n v="44695453"/>
    <n v="20.787664509537812"/>
  </r>
  <r>
    <x v="32"/>
    <x v="2"/>
    <x v="0"/>
    <x v="3"/>
    <n v="1722"/>
    <n v="1066651.5217219109"/>
    <n v="3299582"/>
    <n v="44695453"/>
    <n v="0.32326868122141256"/>
  </r>
  <r>
    <x v="32"/>
    <x v="2"/>
    <x v="0"/>
    <x v="4"/>
    <n v="4117"/>
    <n v="4071399.6237732675"/>
    <n v="3299582"/>
    <n v="44695453"/>
    <n v="1.2339137574920906"/>
  </r>
  <r>
    <x v="32"/>
    <x v="2"/>
    <x v="1"/>
    <x v="0"/>
    <n v="600206"/>
    <n v="163220166.76643574"/>
    <n v="3703326"/>
    <n v="48875431"/>
    <n v="44.073939687306961"/>
  </r>
  <r>
    <x v="32"/>
    <x v="2"/>
    <x v="1"/>
    <x v="1"/>
    <n v="346863"/>
    <n v="1501452755.6890237"/>
    <n v="3703326"/>
    <n v="48875431"/>
    <n v="405.43359015356026"/>
  </r>
  <r>
    <x v="32"/>
    <x v="2"/>
    <x v="1"/>
    <x v="2"/>
    <n v="97816"/>
    <n v="99795973.607940376"/>
    <n v="3703326"/>
    <n v="48875431"/>
    <n v="26.947660996612335"/>
  </r>
  <r>
    <x v="32"/>
    <x v="2"/>
    <x v="1"/>
    <x v="3"/>
    <n v="2904"/>
    <n v="2247782.5219734698"/>
    <n v="3703326"/>
    <n v="48875431"/>
    <n v="0.60696317903783514"/>
  </r>
  <r>
    <x v="32"/>
    <x v="2"/>
    <x v="1"/>
    <x v="4"/>
    <n v="4731"/>
    <n v="2459205.0005889931"/>
    <n v="3703326"/>
    <n v="48875431"/>
    <n v="0.66405307029113647"/>
  </r>
  <r>
    <x v="32"/>
    <x v="2"/>
    <x v="2"/>
    <x v="0"/>
    <n v="627363"/>
    <n v="185201997.27960989"/>
    <n v="4144041"/>
    <n v="63556988"/>
    <n v="44.691159493742916"/>
  </r>
  <r>
    <x v="32"/>
    <x v="2"/>
    <x v="2"/>
    <x v="1"/>
    <n v="477769"/>
    <n v="1959371082.9173033"/>
    <n v="4144041"/>
    <n v="63556988"/>
    <n v="472.81652930492322"/>
  </r>
  <r>
    <x v="32"/>
    <x v="2"/>
    <x v="2"/>
    <x v="2"/>
    <n v="202106"/>
    <n v="190218136.28088409"/>
    <n v="4144041"/>
    <n v="63556988"/>
    <n v="45.901605771005663"/>
  </r>
  <r>
    <x v="32"/>
    <x v="2"/>
    <x v="2"/>
    <x v="3"/>
    <n v="3828"/>
    <n v="3141391.5755430083"/>
    <n v="4144041"/>
    <n v="63556988"/>
    <n v="0.75805031261587619"/>
  </r>
  <r>
    <x v="32"/>
    <x v="2"/>
    <x v="2"/>
    <x v="4"/>
    <n v="6819"/>
    <n v="3886908.1625436572"/>
    <n v="4144041"/>
    <n v="63556988"/>
    <n v="0.93795118401185151"/>
  </r>
  <r>
    <x v="32"/>
    <x v="2"/>
    <x v="3"/>
    <x v="1"/>
    <n v="650386"/>
    <n v="2683789889.8319201"/>
    <n v="4500210"/>
    <n v="66189739"/>
    <n v="596.36992269958955"/>
  </r>
  <r>
    <x v="32"/>
    <x v="2"/>
    <x v="3"/>
    <x v="0"/>
    <n v="631611"/>
    <n v="192385823.43220186"/>
    <n v="4500210"/>
    <n v="66189739"/>
    <n v="42.750410188013859"/>
  </r>
  <r>
    <x v="32"/>
    <x v="2"/>
    <x v="3"/>
    <x v="2"/>
    <n v="357567"/>
    <n v="296872485.41565031"/>
    <n v="4500210"/>
    <n v="66189739"/>
    <n v="65.968584891738459"/>
  </r>
  <r>
    <x v="32"/>
    <x v="2"/>
    <x v="3"/>
    <x v="3"/>
    <n v="4084"/>
    <n v="3666639.308697606"/>
    <n v="4500210"/>
    <n v="66189739"/>
    <n v="0.81477071263287848"/>
  </r>
  <r>
    <x v="32"/>
    <x v="2"/>
    <x v="3"/>
    <x v="4"/>
    <n v="8242"/>
    <n v="5416158.2328389548"/>
    <n v="4500210"/>
    <n v="66189739"/>
    <n v="1.2035345534628283"/>
  </r>
  <r>
    <x v="32"/>
    <x v="3"/>
    <x v="0"/>
    <x v="1"/>
    <n v="643366"/>
    <n v="2821226150.5919185"/>
    <n v="4835996"/>
    <n v="66106260"/>
    <n v="583.3805798416538"/>
  </r>
  <r>
    <x v="32"/>
    <x v="3"/>
    <x v="0"/>
    <x v="0"/>
    <n v="508718"/>
    <n v="173211140.89346513"/>
    <n v="4835996"/>
    <n v="66106260"/>
    <n v="35.817056278265149"/>
  </r>
  <r>
    <x v="32"/>
    <x v="3"/>
    <x v="0"/>
    <x v="2"/>
    <n v="350366"/>
    <n v="333743281.32103896"/>
    <n v="4835996"/>
    <n v="66106260"/>
    <n v="69.012315419830571"/>
  </r>
  <r>
    <x v="32"/>
    <x v="3"/>
    <x v="0"/>
    <x v="3"/>
    <n v="3146"/>
    <n v="2879929.222833151"/>
    <n v="4835996"/>
    <n v="66106260"/>
    <n v="0.59551935585413041"/>
  </r>
  <r>
    <x v="32"/>
    <x v="3"/>
    <x v="0"/>
    <x v="4"/>
    <n v="5827"/>
    <n v="4281067.7641659509"/>
    <n v="4835996"/>
    <n v="66106260"/>
    <n v="0.88525047666829149"/>
  </r>
  <r>
    <x v="32"/>
    <x v="3"/>
    <x v="1"/>
    <x v="1"/>
    <n v="703728"/>
    <n v="2865655130.4313264"/>
    <n v="5193683"/>
    <n v="104509691"/>
    <n v="551.757804708398"/>
  </r>
  <r>
    <x v="32"/>
    <x v="3"/>
    <x v="1"/>
    <x v="0"/>
    <n v="589839"/>
    <n v="189808502.9050523"/>
    <n v="5193683"/>
    <n v="104509691"/>
    <n v="36.546031574328332"/>
  </r>
  <r>
    <x v="32"/>
    <x v="3"/>
    <x v="1"/>
    <x v="2"/>
    <n v="440060"/>
    <n v="404915546.51771069"/>
    <n v="5193683"/>
    <n v="104509691"/>
    <n v="77.963084485077488"/>
  </r>
  <r>
    <x v="32"/>
    <x v="3"/>
    <x v="1"/>
    <x v="3"/>
    <n v="3656"/>
    <n v="3503925.3381061675"/>
    <n v="5193683"/>
    <n v="104509691"/>
    <n v="0.6746513674604645"/>
  </r>
  <r>
    <x v="32"/>
    <x v="3"/>
    <x v="1"/>
    <x v="4"/>
    <n v="7146"/>
    <n v="4271255.8440778516"/>
    <n v="5193683"/>
    <n v="104509691"/>
    <n v="0.82239440568048761"/>
  </r>
  <r>
    <x v="32"/>
    <x v="3"/>
    <x v="2"/>
    <x v="1"/>
    <n v="864329"/>
    <n v="3491901741.1594186"/>
    <n v="5609219"/>
    <n v="135070606"/>
    <n v="622.52904391135712"/>
  </r>
  <r>
    <x v="32"/>
    <x v="3"/>
    <x v="2"/>
    <x v="0"/>
    <n v="620991"/>
    <n v="215226019.57596284"/>
    <n v="5609219"/>
    <n v="135070606"/>
    <n v="38.370051084823544"/>
  </r>
  <r>
    <x v="32"/>
    <x v="3"/>
    <x v="2"/>
    <x v="2"/>
    <n v="584079"/>
    <n v="648504775.62362897"/>
    <n v="5609219"/>
    <n v="135070606"/>
    <n v="115.61409451540918"/>
  </r>
  <r>
    <x v="32"/>
    <x v="3"/>
    <x v="2"/>
    <x v="3"/>
    <n v="2886"/>
    <n v="3473153.087671739"/>
    <n v="5609219"/>
    <n v="135070606"/>
    <n v="0.61918657261763876"/>
  </r>
  <r>
    <x v="32"/>
    <x v="3"/>
    <x v="2"/>
    <x v="4"/>
    <n v="8915"/>
    <n v="5028078.7347928518"/>
    <n v="5609219"/>
    <n v="135070606"/>
    <n v="0.89639551153072328"/>
  </r>
  <r>
    <x v="32"/>
    <x v="3"/>
    <x v="3"/>
    <x v="1"/>
    <n v="1060915"/>
    <n v="4368786747.1030159"/>
    <n v="6009212"/>
    <n v="118015722"/>
    <n v="727.01491428543636"/>
  </r>
  <r>
    <x v="32"/>
    <x v="3"/>
    <x v="3"/>
    <x v="2"/>
    <n v="793636"/>
    <n v="874005407.71402133"/>
    <n v="6009212"/>
    <n v="118015722"/>
    <n v="145.44426252793568"/>
  </r>
  <r>
    <x v="32"/>
    <x v="3"/>
    <x v="3"/>
    <x v="0"/>
    <n v="650251"/>
    <n v="241225282.07451886"/>
    <n v="6009212"/>
    <n v="118015722"/>
    <n v="40.142581435722164"/>
  </r>
  <r>
    <x v="32"/>
    <x v="3"/>
    <x v="3"/>
    <x v="3"/>
    <n v="3635"/>
    <n v="5073898.6076811645"/>
    <n v="6009212"/>
    <n v="118015722"/>
    <n v="0.84435340402055448"/>
  </r>
  <r>
    <x v="32"/>
    <x v="3"/>
    <x v="3"/>
    <x v="4"/>
    <n v="12256"/>
    <n v="7838128.8002102282"/>
    <n v="6009212"/>
    <n v="118015722"/>
    <n v="1.3043521846475425"/>
  </r>
  <r>
    <x v="33"/>
    <x v="0"/>
    <x v="0"/>
    <x v="0"/>
    <n v="7003704"/>
    <n v="1201827543.8816488"/>
    <n v="51636750"/>
    <n v="0"/>
    <n v="23.274655044743305"/>
  </r>
  <r>
    <x v="33"/>
    <x v="0"/>
    <x v="0"/>
    <x v="1"/>
    <n v="4123625"/>
    <n v="11786969148.760597"/>
    <n v="51636750"/>
    <n v="0"/>
    <n v="228.2670607418282"/>
  </r>
  <r>
    <x v="33"/>
    <x v="0"/>
    <x v="0"/>
    <x v="2"/>
    <n v="442436"/>
    <n v="428301434.27548659"/>
    <n v="51636750"/>
    <n v="0"/>
    <n v="8.2945079672033302"/>
  </r>
  <r>
    <x v="33"/>
    <x v="0"/>
    <x v="0"/>
    <x v="3"/>
    <n v="397328"/>
    <n v="75150444.991081148"/>
    <n v="51636750"/>
    <n v="0"/>
    <n v="1.4553674464616992"/>
  </r>
  <r>
    <x v="33"/>
    <x v="0"/>
    <x v="0"/>
    <x v="4"/>
    <n v="570712"/>
    <n v="447722351.31385243"/>
    <n v="51636750"/>
    <n v="0"/>
    <n v="8.6706144618678067"/>
  </r>
  <r>
    <x v="33"/>
    <x v="0"/>
    <x v="1"/>
    <x v="0"/>
    <n v="9232131"/>
    <n v="2044535461.4826081"/>
    <n v="70868094"/>
    <n v="0"/>
    <n v="28.849872292072764"/>
  </r>
  <r>
    <x v="33"/>
    <x v="0"/>
    <x v="1"/>
    <x v="1"/>
    <n v="6484369"/>
    <n v="22197440015.945545"/>
    <n v="70868094"/>
    <n v="0"/>
    <n v="313.22191360114107"/>
  </r>
  <r>
    <x v="33"/>
    <x v="0"/>
    <x v="1"/>
    <x v="2"/>
    <n v="909545"/>
    <n v="799920463.26740801"/>
    <n v="70868094"/>
    <n v="0"/>
    <n v="11.287455582866501"/>
  </r>
  <r>
    <x v="33"/>
    <x v="0"/>
    <x v="1"/>
    <x v="3"/>
    <n v="563213"/>
    <n v="105536911.84026654"/>
    <n v="70868094"/>
    <n v="0"/>
    <n v="1.4892020637702847"/>
  </r>
  <r>
    <x v="33"/>
    <x v="0"/>
    <x v="1"/>
    <x v="4"/>
    <n v="521685"/>
    <n v="572768843.16416359"/>
    <n v="70868094"/>
    <n v="0"/>
    <n v="8.0821821335305497"/>
  </r>
  <r>
    <x v="33"/>
    <x v="0"/>
    <x v="2"/>
    <x v="1"/>
    <n v="13828768"/>
    <n v="32944051606.982761"/>
    <n v="89061313"/>
    <n v="0"/>
    <n v="369.90305327053466"/>
  </r>
  <r>
    <x v="33"/>
    <x v="0"/>
    <x v="2"/>
    <x v="0"/>
    <n v="9140873"/>
    <n v="2485029062.8899517"/>
    <n v="89061313"/>
    <n v="0"/>
    <n v="27.902452582188538"/>
  </r>
  <r>
    <x v="33"/>
    <x v="0"/>
    <x v="2"/>
    <x v="2"/>
    <n v="2397448"/>
    <n v="1012726185.1169598"/>
    <n v="89061313"/>
    <n v="0"/>
    <n v="11.3711122259893"/>
  </r>
  <r>
    <x v="33"/>
    <x v="0"/>
    <x v="2"/>
    <x v="3"/>
    <n v="603303"/>
    <n v="76605144.657766581"/>
    <n v="89061313"/>
    <n v="0"/>
    <n v="0.86013940371355835"/>
  </r>
  <r>
    <x v="33"/>
    <x v="0"/>
    <x v="2"/>
    <x v="4"/>
    <n v="544964"/>
    <n v="493702369.59362882"/>
    <n v="89061313"/>
    <n v="0"/>
    <n v="5.5433987324398508"/>
  </r>
  <r>
    <x v="33"/>
    <x v="0"/>
    <x v="3"/>
    <x v="1"/>
    <n v="15804910"/>
    <n v="48836291123.914734"/>
    <n v="113761604"/>
    <n v="0"/>
    <n v="429.28623900129548"/>
  </r>
  <r>
    <x v="33"/>
    <x v="0"/>
    <x v="3"/>
    <x v="0"/>
    <n v="11976808"/>
    <n v="3040717446.7287879"/>
    <n v="113761604"/>
    <n v="0"/>
    <n v="26.728855253559786"/>
  </r>
  <r>
    <x v="33"/>
    <x v="0"/>
    <x v="3"/>
    <x v="2"/>
    <n v="6953857"/>
    <n v="2480267671.2597928"/>
    <n v="113761604"/>
    <n v="0"/>
    <n v="21.802326831290046"/>
  </r>
  <r>
    <x v="33"/>
    <x v="0"/>
    <x v="3"/>
    <x v="3"/>
    <n v="517619"/>
    <n v="76250539.858519018"/>
    <n v="113761604"/>
    <n v="0"/>
    <n v="0.67026604036383852"/>
  </r>
  <r>
    <x v="33"/>
    <x v="0"/>
    <x v="3"/>
    <x v="4"/>
    <n v="847573"/>
    <n v="663216794.15546632"/>
    <n v="113761604"/>
    <n v="0"/>
    <n v="5.829882586355466"/>
  </r>
  <r>
    <x v="33"/>
    <x v="1"/>
    <x v="0"/>
    <x v="1"/>
    <n v="32062452"/>
    <n v="68506766330.451492"/>
    <n v="137045271"/>
    <n v="0"/>
    <n v="499.88420490956958"/>
  </r>
  <r>
    <x v="33"/>
    <x v="1"/>
    <x v="0"/>
    <x v="0"/>
    <n v="15400713"/>
    <n v="4231102032.9564486"/>
    <n v="137045271"/>
    <n v="0"/>
    <n v="30.873754359290871"/>
  </r>
  <r>
    <x v="33"/>
    <x v="1"/>
    <x v="0"/>
    <x v="2"/>
    <n v="8558766"/>
    <n v="3105904146.2085333"/>
    <n v="137045271"/>
    <n v="0"/>
    <n v="22.663344189443308"/>
  </r>
  <r>
    <x v="33"/>
    <x v="1"/>
    <x v="0"/>
    <x v="3"/>
    <n v="389733"/>
    <n v="43341558.485355489"/>
    <n v="137045271"/>
    <n v="0"/>
    <n v="0.31625723506618109"/>
  </r>
  <r>
    <x v="33"/>
    <x v="1"/>
    <x v="0"/>
    <x v="4"/>
    <n v="912840"/>
    <n v="637066065.90783691"/>
    <n v="137045271"/>
    <n v="0"/>
    <n v="4.648581167808679"/>
  </r>
  <r>
    <x v="33"/>
    <x v="1"/>
    <x v="1"/>
    <x v="1"/>
    <n v="27105049"/>
    <n v="87581482658.948608"/>
    <n v="157479839"/>
    <n v="862334440"/>
    <n v="556.14409574643139"/>
  </r>
  <r>
    <x v="33"/>
    <x v="1"/>
    <x v="1"/>
    <x v="0"/>
    <n v="17551537"/>
    <n v="5627886175.9093685"/>
    <n v="157479839"/>
    <n v="862334440"/>
    <n v="35.737185227306263"/>
  </r>
  <r>
    <x v="33"/>
    <x v="1"/>
    <x v="1"/>
    <x v="2"/>
    <n v="12733089"/>
    <n v="4894223107.4523211"/>
    <n v="157479839"/>
    <n v="862334440"/>
    <n v="31.078410662156703"/>
  </r>
  <r>
    <x v="33"/>
    <x v="1"/>
    <x v="1"/>
    <x v="3"/>
    <n v="264091"/>
    <n v="38169259.945291094"/>
    <n v="157479839"/>
    <n v="862334440"/>
    <n v="0.24237553319629121"/>
  </r>
  <r>
    <x v="33"/>
    <x v="1"/>
    <x v="1"/>
    <x v="4"/>
    <n v="1229734"/>
    <n v="775758168.42010379"/>
    <n v="157479839"/>
    <n v="862334440"/>
    <n v="4.9260792578033037"/>
  </r>
  <r>
    <x v="33"/>
    <x v="1"/>
    <x v="2"/>
    <x v="1"/>
    <n v="26990786"/>
    <n v="95134023863.979645"/>
    <n v="176490677"/>
    <n v="2949568666"/>
    <n v="539.03144053314293"/>
  </r>
  <r>
    <x v="33"/>
    <x v="1"/>
    <x v="2"/>
    <x v="0"/>
    <n v="20359672"/>
    <n v="8000160942.595396"/>
    <n v="176490677"/>
    <n v="2949568666"/>
    <n v="45.329085244516321"/>
  </r>
  <r>
    <x v="33"/>
    <x v="1"/>
    <x v="2"/>
    <x v="2"/>
    <n v="19625935"/>
    <n v="7399443975.2421799"/>
    <n v="176490677"/>
    <n v="2949568666"/>
    <n v="41.925409891436814"/>
  </r>
  <r>
    <x v="33"/>
    <x v="1"/>
    <x v="2"/>
    <x v="3"/>
    <n v="258548"/>
    <n v="51363215.145978652"/>
    <n v="176490677"/>
    <n v="2949568666"/>
    <n v="0.29102508993139992"/>
  </r>
  <r>
    <x v="33"/>
    <x v="1"/>
    <x v="2"/>
    <x v="4"/>
    <n v="1389018"/>
    <n v="683145478.08653164"/>
    <n v="176490677"/>
    <n v="2949568666"/>
    <n v="3.8707170809171503"/>
  </r>
  <r>
    <x v="33"/>
    <x v="1"/>
    <x v="3"/>
    <x v="1"/>
    <n v="40540310"/>
    <n v="126564888408.1326"/>
    <n v="197444962"/>
    <n v="3564754875"/>
    <n v="641.01351144190039"/>
  </r>
  <r>
    <x v="33"/>
    <x v="1"/>
    <x v="3"/>
    <x v="0"/>
    <n v="24299776"/>
    <n v="9082140369.7749767"/>
    <n v="197444962"/>
    <n v="3564754875"/>
    <n v="45.998339374063022"/>
  </r>
  <r>
    <x v="33"/>
    <x v="1"/>
    <x v="3"/>
    <x v="2"/>
    <n v="20582052"/>
    <n v="9412924984.9687004"/>
    <n v="197444962"/>
    <n v="3564754875"/>
    <n v="47.673665053903477"/>
  </r>
  <r>
    <x v="33"/>
    <x v="1"/>
    <x v="3"/>
    <x v="3"/>
    <n v="242936"/>
    <n v="45686806.830938108"/>
    <n v="197444962"/>
    <n v="3564754875"/>
    <n v="0.23139008647350601"/>
  </r>
  <r>
    <x v="33"/>
    <x v="1"/>
    <x v="3"/>
    <x v="4"/>
    <n v="1239931"/>
    <n v="433285937.58885401"/>
    <n v="197444962"/>
    <n v="3564754875"/>
    <n v="2.1944643874420762"/>
  </r>
  <r>
    <x v="33"/>
    <x v="2"/>
    <x v="0"/>
    <x v="1"/>
    <n v="39581157"/>
    <n v="147734706846.56177"/>
    <n v="221498816"/>
    <n v="4117102913"/>
    <n v="666.97741105109003"/>
  </r>
  <r>
    <x v="33"/>
    <x v="2"/>
    <x v="0"/>
    <x v="0"/>
    <n v="29777603"/>
    <n v="11168417430.652225"/>
    <n v="221498816"/>
    <n v="4117102913"/>
    <n v="50.422018647053292"/>
  </r>
  <r>
    <x v="33"/>
    <x v="2"/>
    <x v="0"/>
    <x v="2"/>
    <n v="26741638"/>
    <n v="13072371616.871723"/>
    <n v="221498816"/>
    <n v="4117102913"/>
    <n v="59.017794555036012"/>
  </r>
  <r>
    <x v="33"/>
    <x v="2"/>
    <x v="0"/>
    <x v="3"/>
    <n v="139990"/>
    <n v="64365117.409359045"/>
    <n v="221498816"/>
    <n v="4117102913"/>
    <n v="0.29058899082042516"/>
  </r>
  <r>
    <x v="33"/>
    <x v="2"/>
    <x v="0"/>
    <x v="4"/>
    <n v="998744"/>
    <n v="376573949.20358998"/>
    <n v="221498816"/>
    <n v="4117102913"/>
    <n v="1.7001172105750217"/>
  </r>
  <r>
    <x v="33"/>
    <x v="2"/>
    <x v="1"/>
    <x v="0"/>
    <n v="42229417"/>
    <n v="14668026056.368128"/>
    <n v="247483709"/>
    <n v="4220738874"/>
    <n v="59.268652937345983"/>
  </r>
  <r>
    <x v="33"/>
    <x v="2"/>
    <x v="1"/>
    <x v="1"/>
    <n v="39434202"/>
    <n v="150079524408.86929"/>
    <n v="247483709"/>
    <n v="4220738874"/>
    <n v="606.42183283615361"/>
  </r>
  <r>
    <x v="33"/>
    <x v="2"/>
    <x v="1"/>
    <x v="2"/>
    <n v="18625913"/>
    <n v="13655151082.574724"/>
    <n v="247483709"/>
    <n v="4220738874"/>
    <n v="55.175959410624174"/>
  </r>
  <r>
    <x v="33"/>
    <x v="2"/>
    <x v="1"/>
    <x v="3"/>
    <n v="150360"/>
    <n v="131930242.90371712"/>
    <n v="247483709"/>
    <n v="4220738874"/>
    <n v="0.53308657542269622"/>
  </r>
  <r>
    <x v="33"/>
    <x v="2"/>
    <x v="1"/>
    <x v="4"/>
    <n v="412073"/>
    <n v="209384339.5723213"/>
    <n v="247483709"/>
    <n v="4220738874"/>
    <n v="0.84605302069527855"/>
  </r>
  <r>
    <x v="33"/>
    <x v="2"/>
    <x v="2"/>
    <x v="1"/>
    <n v="54449911"/>
    <n v="207530912756.73047"/>
    <n v="273219276"/>
    <n v="4958629588"/>
    <n v="759.57639517619714"/>
  </r>
  <r>
    <x v="33"/>
    <x v="2"/>
    <x v="2"/>
    <x v="0"/>
    <n v="37465163"/>
    <n v="16437365640.853413"/>
    <n v="273219276"/>
    <n v="4958629588"/>
    <n v="60.161808059448241"/>
  </r>
  <r>
    <x v="33"/>
    <x v="2"/>
    <x v="2"/>
    <x v="2"/>
    <n v="34697942"/>
    <n v="24224433240.836243"/>
    <n v="273219276"/>
    <n v="4958629588"/>
    <n v="88.662972816150216"/>
  </r>
  <r>
    <x v="33"/>
    <x v="2"/>
    <x v="2"/>
    <x v="3"/>
    <n v="206210"/>
    <n v="194129227.54374278"/>
    <n v="273219276"/>
    <n v="4958629588"/>
    <n v="0.71052537136414484"/>
  </r>
  <r>
    <x v="33"/>
    <x v="2"/>
    <x v="2"/>
    <x v="4"/>
    <n v="586033"/>
    <n v="303114557.0989778"/>
    <n v="273219276"/>
    <n v="4958629588"/>
    <n v="1.1094186381599878"/>
  </r>
  <r>
    <x v="33"/>
    <x v="2"/>
    <x v="3"/>
    <x v="1"/>
    <n v="75433782"/>
    <n v="294401153346.76337"/>
    <n v="299740474"/>
    <n v="6074428778"/>
    <n v="982.18685457461231"/>
  </r>
  <r>
    <x v="33"/>
    <x v="2"/>
    <x v="3"/>
    <x v="2"/>
    <n v="61922138"/>
    <n v="44438824680.670944"/>
    <n v="299740474"/>
    <n v="6074428778"/>
    <n v="148.25767133694112"/>
  </r>
  <r>
    <x v="33"/>
    <x v="2"/>
    <x v="3"/>
    <x v="0"/>
    <n v="39570153"/>
    <n v="17793973968.761925"/>
    <n v="299740474"/>
    <n v="6074428778"/>
    <n v="59.364602088278289"/>
  </r>
  <r>
    <x v="33"/>
    <x v="2"/>
    <x v="3"/>
    <x v="3"/>
    <n v="246868"/>
    <n v="255803306.13741985"/>
    <n v="299740474"/>
    <n v="6074428778"/>
    <n v="0.85341596589795166"/>
  </r>
  <r>
    <x v="33"/>
    <x v="2"/>
    <x v="3"/>
    <x v="4"/>
    <n v="994576"/>
    <n v="539071475.93423271"/>
    <n v="299740474"/>
    <n v="6074428778"/>
    <n v="1.7984607441910989"/>
  </r>
  <r>
    <x v="33"/>
    <x v="3"/>
    <x v="0"/>
    <x v="1"/>
    <n v="85539321"/>
    <n v="321609613378.67889"/>
    <n v="324302825"/>
    <n v="7036901564"/>
    <n v="991.6953803244819"/>
  </r>
  <r>
    <x v="33"/>
    <x v="3"/>
    <x v="0"/>
    <x v="2"/>
    <n v="78873969"/>
    <n v="55362244381.436859"/>
    <n v="324302825"/>
    <n v="7036901564"/>
    <n v="170.71156990826972"/>
  </r>
  <r>
    <x v="33"/>
    <x v="3"/>
    <x v="0"/>
    <x v="0"/>
    <n v="38981894"/>
    <n v="18563189222.328217"/>
    <n v="324302825"/>
    <n v="7036901564"/>
    <n v="57.24029453745343"/>
  </r>
  <r>
    <x v="33"/>
    <x v="3"/>
    <x v="0"/>
    <x v="3"/>
    <n v="250656"/>
    <n v="266104783.7449573"/>
    <n v="324302825"/>
    <n v="7036901564"/>
    <n v="0.8205441434096582"/>
  </r>
  <r>
    <x v="33"/>
    <x v="3"/>
    <x v="0"/>
    <x v="4"/>
    <n v="853707"/>
    <n v="486435811.37712038"/>
    <n v="324302825"/>
    <n v="7036901564"/>
    <n v="1.4999431823547031"/>
  </r>
  <r>
    <x v="33"/>
    <x v="3"/>
    <x v="1"/>
    <x v="1"/>
    <n v="102927942"/>
    <n v="388761820128.4563"/>
    <n v="348170834"/>
    <n v="7409587504"/>
    <n v="1116.583533612285"/>
  </r>
  <r>
    <x v="33"/>
    <x v="3"/>
    <x v="1"/>
    <x v="2"/>
    <n v="84860582"/>
    <n v="70351401159.787872"/>
    <n v="348170834"/>
    <n v="7409587504"/>
    <n v="202.06000701307414"/>
  </r>
  <r>
    <x v="33"/>
    <x v="3"/>
    <x v="1"/>
    <x v="0"/>
    <n v="53030710"/>
    <n v="22266927128.754082"/>
    <n v="348170834"/>
    <n v="7409587504"/>
    <n v="63.954027604604242"/>
  </r>
  <r>
    <x v="33"/>
    <x v="3"/>
    <x v="1"/>
    <x v="3"/>
    <n v="270944"/>
    <n v="266853066.82962543"/>
    <n v="348170834"/>
    <n v="7409587504"/>
    <n v="0.76644290897044365"/>
  </r>
  <r>
    <x v="33"/>
    <x v="3"/>
    <x v="1"/>
    <x v="4"/>
    <n v="858953"/>
    <n v="525487682.55840123"/>
    <n v="348170834"/>
    <n v="7409587504"/>
    <n v="1.5092811667228887"/>
  </r>
  <r>
    <x v="33"/>
    <x v="3"/>
    <x v="2"/>
    <x v="1"/>
    <n v="127945827"/>
    <n v="440726915882.17084"/>
    <n v="375670702"/>
    <n v="8842791276"/>
    <n v="1173.1735095013366"/>
  </r>
  <r>
    <x v="33"/>
    <x v="3"/>
    <x v="2"/>
    <x v="2"/>
    <n v="126699830"/>
    <n v="91089049637.023773"/>
    <n v="375670702"/>
    <n v="8842791276"/>
    <n v="242.4704645639994"/>
  </r>
  <r>
    <x v="33"/>
    <x v="3"/>
    <x v="2"/>
    <x v="0"/>
    <n v="50414232"/>
    <n v="24348150109.635994"/>
    <n v="375670702"/>
    <n v="8842791276"/>
    <n v="64.812480664611414"/>
  </r>
  <r>
    <x v="33"/>
    <x v="3"/>
    <x v="2"/>
    <x v="3"/>
    <n v="253418"/>
    <n v="292009129.02967483"/>
    <n v="375670702"/>
    <n v="8842791276"/>
    <n v="0.77730077824827237"/>
  </r>
  <r>
    <x v="33"/>
    <x v="3"/>
    <x v="2"/>
    <x v="4"/>
    <n v="1230077"/>
    <n v="624716522.07454085"/>
    <n v="375670702"/>
    <n v="8842791276"/>
    <n v="1.6629364993028943"/>
  </r>
  <r>
    <x v="33"/>
    <x v="3"/>
    <x v="3"/>
    <x v="2"/>
    <n v="183966052"/>
    <n v="142889329646.05463"/>
    <n v="402794205"/>
    <n v="12935161734"/>
    <n v="354.7452467595819"/>
  </r>
  <r>
    <x v="33"/>
    <x v="3"/>
    <x v="3"/>
    <x v="1"/>
    <n v="167503176"/>
    <n v="600973581946.67725"/>
    <n v="402794205"/>
    <n v="12935161734"/>
    <n v="1492.0114899534794"/>
  </r>
  <r>
    <x v="33"/>
    <x v="3"/>
    <x v="3"/>
    <x v="0"/>
    <n v="52863531"/>
    <n v="28812549097.656891"/>
    <n v="402794205"/>
    <n v="12935161734"/>
    <n v="71.531687248720203"/>
  </r>
  <r>
    <x v="33"/>
    <x v="3"/>
    <x v="3"/>
    <x v="3"/>
    <n v="353219"/>
    <n v="386356976.48969895"/>
    <n v="402794205"/>
    <n v="12935161734"/>
    <n v="0.95919199356331097"/>
  </r>
  <r>
    <x v="33"/>
    <x v="3"/>
    <x v="3"/>
    <x v="4"/>
    <n v="1471954"/>
    <n v="829152405.34489954"/>
    <n v="402794205"/>
    <n v="12935161734"/>
    <n v="2.0585013266139205"/>
  </r>
  <r>
    <x v="34"/>
    <x v="0"/>
    <x v="0"/>
    <x v="0"/>
    <n v="730428"/>
    <n v="124377517.33491451"/>
    <n v="5313473"/>
    <n v="0"/>
    <n v="23.407951322028833"/>
  </r>
  <r>
    <x v="34"/>
    <x v="0"/>
    <x v="0"/>
    <x v="1"/>
    <n v="399545"/>
    <n v="1296603346.3345981"/>
    <n v="5313473"/>
    <n v="0"/>
    <n v="244.02181893736883"/>
  </r>
  <r>
    <x v="34"/>
    <x v="0"/>
    <x v="0"/>
    <x v="2"/>
    <n v="35382"/>
    <n v="39372913.104244113"/>
    <n v="5313473"/>
    <n v="0"/>
    <n v="7.4100147124572029"/>
  </r>
  <r>
    <x v="34"/>
    <x v="0"/>
    <x v="0"/>
    <x v="3"/>
    <n v="27761"/>
    <n v="5637758.5563494945"/>
    <n v="5313473"/>
    <n v="0"/>
    <n v="1.061030809105362"/>
  </r>
  <r>
    <x v="34"/>
    <x v="0"/>
    <x v="0"/>
    <x v="4"/>
    <n v="53569"/>
    <n v="42553823.193780273"/>
    <n v="5313473"/>
    <n v="0"/>
    <n v="8.0086646142325879"/>
  </r>
  <r>
    <x v="34"/>
    <x v="0"/>
    <x v="1"/>
    <x v="0"/>
    <n v="946332"/>
    <n v="193802092.8234874"/>
    <n v="7140562"/>
    <n v="0"/>
    <n v="27.14101394588933"/>
  </r>
  <r>
    <x v="34"/>
    <x v="0"/>
    <x v="1"/>
    <x v="1"/>
    <n v="620490"/>
    <n v="2358941864.7682114"/>
    <n v="7140562"/>
    <n v="0"/>
    <n v="330.35801170387026"/>
  </r>
  <r>
    <x v="34"/>
    <x v="0"/>
    <x v="1"/>
    <x v="2"/>
    <n v="60494"/>
    <n v="66946005.758901328"/>
    <n v="7140562"/>
    <n v="0"/>
    <n v="9.375453326909188"/>
  </r>
  <r>
    <x v="34"/>
    <x v="0"/>
    <x v="1"/>
    <x v="3"/>
    <n v="29919"/>
    <n v="7913276.7785011362"/>
    <n v="7140562"/>
    <n v="0"/>
    <n v="1.108214840582735"/>
  </r>
  <r>
    <x v="34"/>
    <x v="0"/>
    <x v="1"/>
    <x v="4"/>
    <n v="46887"/>
    <n v="52152138.421940193"/>
    <n v="7140562"/>
    <n v="0"/>
    <n v="7.3036461866643263"/>
  </r>
  <r>
    <x v="34"/>
    <x v="0"/>
    <x v="2"/>
    <x v="1"/>
    <n v="1049725"/>
    <n v="3356030294.9306479"/>
    <n v="8916732"/>
    <n v="0"/>
    <n v="376.37447160357044"/>
  </r>
  <r>
    <x v="34"/>
    <x v="0"/>
    <x v="2"/>
    <x v="0"/>
    <n v="1004356"/>
    <n v="239244556.76646537"/>
    <n v="8916732"/>
    <n v="0"/>
    <n v="26.830968651571602"/>
  </r>
  <r>
    <x v="34"/>
    <x v="0"/>
    <x v="2"/>
    <x v="2"/>
    <n v="112342"/>
    <n v="84447374.865835235"/>
    <n v="8916732"/>
    <n v="0"/>
    <n v="9.4706642372828114"/>
  </r>
  <r>
    <x v="34"/>
    <x v="0"/>
    <x v="2"/>
    <x v="3"/>
    <n v="22792"/>
    <n v="4334709.9096458489"/>
    <n v="8916732"/>
    <n v="0"/>
    <n v="0.48613212886131923"/>
  </r>
  <r>
    <x v="34"/>
    <x v="0"/>
    <x v="2"/>
    <x v="4"/>
    <n v="39917"/>
    <n v="42516103.385902733"/>
    <n v="8916732"/>
    <n v="0"/>
    <n v="4.7681261908401789"/>
  </r>
  <r>
    <x v="34"/>
    <x v="0"/>
    <x v="3"/>
    <x v="1"/>
    <n v="1556731"/>
    <n v="5072621132.3435488"/>
    <n v="11133133"/>
    <n v="0"/>
    <n v="455.63285126869039"/>
  </r>
  <r>
    <x v="34"/>
    <x v="0"/>
    <x v="3"/>
    <x v="0"/>
    <n v="1252124"/>
    <n v="292877734.33795583"/>
    <n v="11133133"/>
    <n v="0"/>
    <n v="26.306856689662816"/>
  </r>
  <r>
    <x v="34"/>
    <x v="0"/>
    <x v="3"/>
    <x v="2"/>
    <n v="289733"/>
    <n v="228453045.85460952"/>
    <n v="11133133"/>
    <n v="0"/>
    <n v="20.520103896594922"/>
  </r>
  <r>
    <x v="34"/>
    <x v="0"/>
    <x v="3"/>
    <x v="3"/>
    <n v="29916"/>
    <n v="6035161.0988926934"/>
    <n v="11133133"/>
    <n v="0"/>
    <n v="0.54209009259951291"/>
  </r>
  <r>
    <x v="34"/>
    <x v="0"/>
    <x v="3"/>
    <x v="4"/>
    <n v="50257"/>
    <n v="54285064.328889735"/>
    <n v="11133133"/>
    <n v="0"/>
    <n v="4.8759917202902123"/>
  </r>
  <r>
    <x v="34"/>
    <x v="1"/>
    <x v="0"/>
    <x v="1"/>
    <n v="3499130"/>
    <n v="6512361464.4960709"/>
    <n v="13474505"/>
    <n v="0"/>
    <n v="483.3098851865854"/>
  </r>
  <r>
    <x v="34"/>
    <x v="1"/>
    <x v="0"/>
    <x v="0"/>
    <n v="1590269"/>
    <n v="394631055.69318432"/>
    <n v="13474505"/>
    <n v="0"/>
    <n v="29.287239545585113"/>
  </r>
  <r>
    <x v="34"/>
    <x v="1"/>
    <x v="0"/>
    <x v="2"/>
    <n v="372290"/>
    <n v="226281078.76994139"/>
    <n v="13474505"/>
    <n v="0"/>
    <n v="16.793275802706027"/>
  </r>
  <r>
    <x v="34"/>
    <x v="1"/>
    <x v="0"/>
    <x v="3"/>
    <n v="28784"/>
    <n v="3951610.3049537898"/>
    <n v="13474505"/>
    <n v="0"/>
    <n v="0.2932657121692997"/>
  </r>
  <r>
    <x v="34"/>
    <x v="1"/>
    <x v="0"/>
    <x v="4"/>
    <n v="55528"/>
    <n v="46303966.009797812"/>
    <n v="13474505"/>
    <n v="0"/>
    <n v="3.4364131379815297"/>
  </r>
  <r>
    <x v="34"/>
    <x v="1"/>
    <x v="1"/>
    <x v="1"/>
    <n v="2383662"/>
    <n v="7752954670.5802088"/>
    <n v="15557729"/>
    <n v="81997069"/>
    <n v="498.33460080068295"/>
  </r>
  <r>
    <x v="34"/>
    <x v="1"/>
    <x v="1"/>
    <x v="0"/>
    <n v="1616176"/>
    <n v="454962951.91365969"/>
    <n v="15557729"/>
    <n v="81997069"/>
    <n v="29.243532389184804"/>
  </r>
  <r>
    <x v="34"/>
    <x v="1"/>
    <x v="1"/>
    <x v="2"/>
    <n v="721858"/>
    <n v="323876953.41043639"/>
    <n v="15557729"/>
    <n v="81997069"/>
    <n v="20.817752604537358"/>
  </r>
  <r>
    <x v="34"/>
    <x v="1"/>
    <x v="1"/>
    <x v="3"/>
    <n v="21852"/>
    <n v="2550386.4774141517"/>
    <n v="15557729"/>
    <n v="81997069"/>
    <n v="0.16393051179990034"/>
  </r>
  <r>
    <x v="34"/>
    <x v="1"/>
    <x v="1"/>
    <x v="4"/>
    <n v="69727"/>
    <n v="54187888.536771461"/>
    <n v="15557729"/>
    <n v="81997069"/>
    <n v="3.4830204676255425"/>
  </r>
  <r>
    <x v="34"/>
    <x v="1"/>
    <x v="2"/>
    <x v="1"/>
    <n v="2313544"/>
    <n v="8512622076.4363308"/>
    <n v="17444449"/>
    <n v="271270868"/>
    <n v="487.98457758318023"/>
  </r>
  <r>
    <x v="34"/>
    <x v="1"/>
    <x v="2"/>
    <x v="0"/>
    <n v="2201606"/>
    <n v="683772296.97484934"/>
    <n v="17444449"/>
    <n v="271270868"/>
    <n v="39.19712780695162"/>
  </r>
  <r>
    <x v="34"/>
    <x v="1"/>
    <x v="2"/>
    <x v="2"/>
    <n v="1121052"/>
    <n v="480794827.11930072"/>
    <n v="17444449"/>
    <n v="271270868"/>
    <n v="27.561479707344194"/>
  </r>
  <r>
    <x v="34"/>
    <x v="1"/>
    <x v="2"/>
    <x v="3"/>
    <n v="12119"/>
    <n v="4570326.1920042569"/>
    <n v="17444449"/>
    <n v="271270868"/>
    <n v="0.26199315277910223"/>
  </r>
  <r>
    <x v="34"/>
    <x v="1"/>
    <x v="2"/>
    <x v="4"/>
    <n v="62155"/>
    <n v="47272543.294839665"/>
    <n v="17444449"/>
    <n v="271270868"/>
    <n v="2.709890309223276"/>
  </r>
  <r>
    <x v="34"/>
    <x v="1"/>
    <x v="3"/>
    <x v="1"/>
    <n v="3210116"/>
    <n v="11020339546.604958"/>
    <n v="19279447"/>
    <n v="317392537"/>
    <n v="571.61077009132873"/>
  </r>
  <r>
    <x v="34"/>
    <x v="1"/>
    <x v="3"/>
    <x v="0"/>
    <n v="2547173"/>
    <n v="817728111.45763159"/>
    <n v="19279447"/>
    <n v="317392537"/>
    <n v="42.414500346282317"/>
  </r>
  <r>
    <x v="34"/>
    <x v="1"/>
    <x v="3"/>
    <x v="2"/>
    <n v="1542944"/>
    <n v="701746516.87313676"/>
    <n v="19279447"/>
    <n v="317392537"/>
    <n v="36.398684924579875"/>
  </r>
  <r>
    <x v="34"/>
    <x v="1"/>
    <x v="3"/>
    <x v="3"/>
    <n v="11585"/>
    <n v="3555524.3767221333"/>
    <n v="19279447"/>
    <n v="317392537"/>
    <n v="0.18442045442082095"/>
  </r>
  <r>
    <x v="34"/>
    <x v="1"/>
    <x v="3"/>
    <x v="4"/>
    <n v="50298"/>
    <n v="30336605.838333592"/>
    <n v="19279447"/>
    <n v="317392537"/>
    <n v="1.5735205391696967"/>
  </r>
  <r>
    <x v="34"/>
    <x v="2"/>
    <x v="0"/>
    <x v="1"/>
    <n v="3792776"/>
    <n v="13999676596.865887"/>
    <n v="21379666"/>
    <n v="358943915"/>
    <n v="654.81268963069328"/>
  </r>
  <r>
    <x v="34"/>
    <x v="2"/>
    <x v="0"/>
    <x v="0"/>
    <n v="2990764"/>
    <n v="1028598924.445406"/>
    <n v="21379666"/>
    <n v="358943915"/>
    <n v="48.111084824496601"/>
  </r>
  <r>
    <x v="34"/>
    <x v="2"/>
    <x v="0"/>
    <x v="2"/>
    <n v="2289657"/>
    <n v="1094245197.2356641"/>
    <n v="21379666"/>
    <n v="358943915"/>
    <n v="51.181585214458643"/>
  </r>
  <r>
    <x v="34"/>
    <x v="2"/>
    <x v="0"/>
    <x v="3"/>
    <n v="10246"/>
    <n v="8180881.8086930467"/>
    <n v="21379666"/>
    <n v="358943915"/>
    <n v="0.38264778358525559"/>
  </r>
  <r>
    <x v="34"/>
    <x v="2"/>
    <x v="0"/>
    <x v="4"/>
    <n v="48341"/>
    <n v="27378658.631921414"/>
    <n v="21379666"/>
    <n v="358943915"/>
    <n v="1.2805933746542819"/>
  </r>
  <r>
    <x v="34"/>
    <x v="2"/>
    <x v="1"/>
    <x v="0"/>
    <n v="3755695"/>
    <n v="1303523584.942265"/>
    <n v="23634237"/>
    <n v="341822723"/>
    <n v="55.15403712598232"/>
  </r>
  <r>
    <x v="34"/>
    <x v="2"/>
    <x v="1"/>
    <x v="1"/>
    <n v="3656029"/>
    <n v="13572964169.690296"/>
    <n v="23634237"/>
    <n v="341822723"/>
    <n v="574.2924626545082"/>
  </r>
  <r>
    <x v="34"/>
    <x v="2"/>
    <x v="1"/>
    <x v="2"/>
    <n v="1587042"/>
    <n v="1181497493.0283294"/>
    <n v="23634237"/>
    <n v="341822723"/>
    <n v="49.990930235163901"/>
  </r>
  <r>
    <x v="34"/>
    <x v="2"/>
    <x v="1"/>
    <x v="3"/>
    <n v="15023"/>
    <n v="17612288.057719551"/>
    <n v="23634237"/>
    <n v="341822723"/>
    <n v="0.74520231212539467"/>
  </r>
  <r>
    <x v="34"/>
    <x v="2"/>
    <x v="1"/>
    <x v="4"/>
    <n v="33981"/>
    <n v="18590166.382408556"/>
    <n v="23634237"/>
    <n v="341822723"/>
    <n v="0.78657781008155903"/>
  </r>
  <r>
    <x v="34"/>
    <x v="2"/>
    <x v="2"/>
    <x v="1"/>
    <n v="4836512"/>
    <n v="18377468807.449928"/>
    <n v="26019818"/>
    <n v="444150828"/>
    <n v="706.28736939858413"/>
  </r>
  <r>
    <x v="34"/>
    <x v="2"/>
    <x v="2"/>
    <x v="0"/>
    <n v="3751993"/>
    <n v="1509373287.6970551"/>
    <n v="26019818"/>
    <n v="444150828"/>
    <n v="58.008602815632884"/>
  </r>
  <r>
    <x v="34"/>
    <x v="2"/>
    <x v="2"/>
    <x v="2"/>
    <n v="3164623"/>
    <n v="2166776519.8536706"/>
    <n v="26019818"/>
    <n v="444150828"/>
    <n v="83.27408438651149"/>
  </r>
  <r>
    <x v="34"/>
    <x v="2"/>
    <x v="2"/>
    <x v="3"/>
    <n v="20455"/>
    <n v="26449980.584111303"/>
    <n v="26019818"/>
    <n v="444150828"/>
    <n v="1.0165321134879308"/>
  </r>
  <r>
    <x v="34"/>
    <x v="2"/>
    <x v="2"/>
    <x v="4"/>
    <n v="45352"/>
    <n v="23442372.421768252"/>
    <n v="26019818"/>
    <n v="444150828"/>
    <n v="0.90094298206729395"/>
  </r>
  <r>
    <x v="34"/>
    <x v="2"/>
    <x v="3"/>
    <x v="1"/>
    <n v="6748183"/>
    <n v="25748737002.1362"/>
    <n v="28558684"/>
    <n v="578213768"/>
    <n v="901.60796632422557"/>
  </r>
  <r>
    <x v="34"/>
    <x v="2"/>
    <x v="3"/>
    <x v="2"/>
    <n v="6629201"/>
    <n v="4274032856.6465273"/>
    <n v="28558684"/>
    <n v="578213768"/>
    <n v="149.65790638835205"/>
  </r>
  <r>
    <x v="34"/>
    <x v="2"/>
    <x v="3"/>
    <x v="0"/>
    <n v="4140391"/>
    <n v="1697819950.5564795"/>
    <n v="28558684"/>
    <n v="578213768"/>
    <n v="59.450216633108148"/>
  </r>
  <r>
    <x v="34"/>
    <x v="2"/>
    <x v="3"/>
    <x v="3"/>
    <n v="27120"/>
    <n v="29791064.761797357"/>
    <n v="28558684"/>
    <n v="578213768"/>
    <n v="1.0431525753006461"/>
  </r>
  <r>
    <x v="34"/>
    <x v="2"/>
    <x v="3"/>
    <x v="4"/>
    <n v="68376"/>
    <n v="42358455.009380013"/>
    <n v="28558684"/>
    <n v="578213768"/>
    <n v="1.483207524876847"/>
  </r>
  <r>
    <x v="34"/>
    <x v="3"/>
    <x v="0"/>
    <x v="2"/>
    <n v="8393767"/>
    <n v="5283142247.0657768"/>
    <n v="30823342"/>
    <n v="652104860"/>
    <n v="171.40069519605552"/>
  </r>
  <r>
    <x v="34"/>
    <x v="3"/>
    <x v="0"/>
    <x v="1"/>
    <n v="7981710"/>
    <n v="29202365442.634418"/>
    <n v="30823342"/>
    <n v="652104860"/>
    <n v="947.41074613630212"/>
  </r>
  <r>
    <x v="34"/>
    <x v="3"/>
    <x v="0"/>
    <x v="0"/>
    <n v="4146569"/>
    <n v="1727960484.030287"/>
    <n v="30823342"/>
    <n v="652104860"/>
    <n v="56.060127549773384"/>
  </r>
  <r>
    <x v="34"/>
    <x v="3"/>
    <x v="0"/>
    <x v="3"/>
    <n v="30208"/>
    <n v="38400863.995605037"/>
    <n v="30823342"/>
    <n v="652104860"/>
    <n v="1.2458371319892902"/>
  </r>
  <r>
    <x v="34"/>
    <x v="3"/>
    <x v="0"/>
    <x v="4"/>
    <n v="56148"/>
    <n v="36320362.172333807"/>
    <n v="30823342"/>
    <n v="652104860"/>
    <n v="1.1783395250370257"/>
  </r>
  <r>
    <x v="34"/>
    <x v="3"/>
    <x v="1"/>
    <x v="1"/>
    <n v="9374939"/>
    <n v="32674145244.390625"/>
    <n v="33044440"/>
    <n v="862180396"/>
    <n v="988.79403749588812"/>
  </r>
  <r>
    <x v="34"/>
    <x v="3"/>
    <x v="1"/>
    <x v="2"/>
    <n v="9134389"/>
    <n v="6257528832.0571957"/>
    <n v="33044440"/>
    <n v="862180396"/>
    <n v="189.36707149696576"/>
  </r>
  <r>
    <x v="34"/>
    <x v="3"/>
    <x v="1"/>
    <x v="0"/>
    <n v="5388285"/>
    <n v="1979824048.8157122"/>
    <n v="33044440"/>
    <n v="862180396"/>
    <n v="59.913983980836477"/>
  </r>
  <r>
    <x v="34"/>
    <x v="3"/>
    <x v="1"/>
    <x v="3"/>
    <n v="31497"/>
    <n v="35404991.874676295"/>
    <n v="33044440"/>
    <n v="862180396"/>
    <n v="1.0714356749479275"/>
  </r>
  <r>
    <x v="34"/>
    <x v="3"/>
    <x v="1"/>
    <x v="4"/>
    <n v="71322"/>
    <n v="43914757.70001851"/>
    <n v="33044440"/>
    <n v="862180396"/>
    <n v="1.3289605664377582"/>
  </r>
  <r>
    <x v="34"/>
    <x v="3"/>
    <x v="2"/>
    <x v="2"/>
    <n v="13673085"/>
    <n v="9001414756.0706863"/>
    <n v="35568599"/>
    <n v="999751830"/>
    <n v="253.07195135998148"/>
  </r>
  <r>
    <x v="34"/>
    <x v="3"/>
    <x v="2"/>
    <x v="1"/>
    <n v="11867174"/>
    <n v="39256650720.018723"/>
    <n v="35568599"/>
    <n v="999751830"/>
    <n v="1103.6884168538299"/>
  </r>
  <r>
    <x v="34"/>
    <x v="3"/>
    <x v="2"/>
    <x v="0"/>
    <n v="5388011"/>
    <n v="2182554095.2633209"/>
    <n v="35568599"/>
    <n v="999751830"/>
    <n v="61.361823536072393"/>
  </r>
  <r>
    <x v="34"/>
    <x v="3"/>
    <x v="2"/>
    <x v="3"/>
    <n v="27839"/>
    <n v="38013969.983418569"/>
    <n v="35568599"/>
    <n v="999751830"/>
    <n v="1.0687508378786179"/>
  </r>
  <r>
    <x v="34"/>
    <x v="3"/>
    <x v="2"/>
    <x v="4"/>
    <n v="86175"/>
    <n v="48863242.228284299"/>
    <n v="35568599"/>
    <n v="999751830"/>
    <n v="1.3737747227065171"/>
  </r>
  <r>
    <x v="34"/>
    <x v="3"/>
    <x v="3"/>
    <x v="2"/>
    <n v="19850878"/>
    <n v="13515464697.761791"/>
    <n v="38060165"/>
    <n v="1220211894"/>
    <n v="355.10788504889013"/>
  </r>
  <r>
    <x v="34"/>
    <x v="3"/>
    <x v="3"/>
    <x v="1"/>
    <n v="14819203"/>
    <n v="49969580473.077858"/>
    <n v="38060165"/>
    <n v="1220211894"/>
    <n v="1312.9102428504411"/>
  </r>
  <r>
    <x v="34"/>
    <x v="3"/>
    <x v="3"/>
    <x v="0"/>
    <n v="5536262"/>
    <n v="2540546090.0230789"/>
    <n v="38060165"/>
    <n v="1220211894"/>
    <n v="66.750790229708116"/>
  </r>
  <r>
    <x v="34"/>
    <x v="3"/>
    <x v="3"/>
    <x v="3"/>
    <n v="38764"/>
    <n v="51212042.381750934"/>
    <n v="38060165"/>
    <n v="1220211894"/>
    <n v="1.3455549228898753"/>
  </r>
  <r>
    <x v="34"/>
    <x v="3"/>
    <x v="3"/>
    <x v="4"/>
    <n v="116173"/>
    <n v="71304856.176641911"/>
    <n v="38060165"/>
    <n v="1220211894"/>
    <n v="1.8734773266653444"/>
  </r>
  <r>
    <x v="35"/>
    <x v="0"/>
    <x v="0"/>
    <x v="0"/>
    <n v="5773831"/>
    <n v="964309485.95923853"/>
    <n v="28652679"/>
    <n v="0"/>
    <n v="33.655124742759256"/>
  </r>
  <r>
    <x v="35"/>
    <x v="0"/>
    <x v="0"/>
    <x v="1"/>
    <n v="4383075"/>
    <n v="8874266825.9857712"/>
    <n v="28652679"/>
    <n v="0"/>
    <n v="309.71857207438688"/>
  </r>
  <r>
    <x v="35"/>
    <x v="0"/>
    <x v="0"/>
    <x v="3"/>
    <n v="665171"/>
    <n v="119502271.66944443"/>
    <n v="28652679"/>
    <n v="0"/>
    <n v="4.1707189638164177"/>
  </r>
  <r>
    <x v="35"/>
    <x v="0"/>
    <x v="0"/>
    <x v="2"/>
    <n v="443378"/>
    <n v="366788699.65713125"/>
    <n v="28652679"/>
    <n v="0"/>
    <n v="12.801200880976305"/>
  </r>
  <r>
    <x v="35"/>
    <x v="0"/>
    <x v="0"/>
    <x v="4"/>
    <n v="444770"/>
    <n v="301111268.86863834"/>
    <n v="28652679"/>
    <n v="0"/>
    <n v="10.509009257690645"/>
  </r>
  <r>
    <x v="35"/>
    <x v="0"/>
    <x v="1"/>
    <x v="1"/>
    <n v="8284944"/>
    <n v="15889890046.862814"/>
    <n v="42171745"/>
    <n v="0"/>
    <n v="376.78995846301387"/>
  </r>
  <r>
    <x v="35"/>
    <x v="0"/>
    <x v="1"/>
    <x v="0"/>
    <n v="7360522"/>
    <n v="1563841173.8396621"/>
    <n v="42171745"/>
    <n v="0"/>
    <n v="37.082676418527669"/>
  </r>
  <r>
    <x v="35"/>
    <x v="0"/>
    <x v="1"/>
    <x v="3"/>
    <n v="1121570"/>
    <n v="160809685.93886387"/>
    <n v="42171745"/>
    <n v="0"/>
    <n v="3.8132091982170495"/>
  </r>
  <r>
    <x v="35"/>
    <x v="0"/>
    <x v="1"/>
    <x v="2"/>
    <n v="937608"/>
    <n v="715914360.81923699"/>
    <n v="42171745"/>
    <n v="0"/>
    <n v="16.976161665096786"/>
  </r>
  <r>
    <x v="35"/>
    <x v="0"/>
    <x v="1"/>
    <x v="4"/>
    <n v="377802"/>
    <n v="298728202.74332541"/>
    <n v="42171745"/>
    <n v="0"/>
    <n v="7.0836101931121283"/>
  </r>
  <r>
    <x v="35"/>
    <x v="0"/>
    <x v="2"/>
    <x v="1"/>
    <n v="41882429"/>
    <n v="38439798815.237892"/>
    <n v="53369140"/>
    <n v="0"/>
    <n v="720.26266144138526"/>
  </r>
  <r>
    <x v="35"/>
    <x v="0"/>
    <x v="2"/>
    <x v="0"/>
    <n v="7596315"/>
    <n v="1992473341.2750623"/>
    <n v="53369140"/>
    <n v="0"/>
    <n v="37.333810162109835"/>
  </r>
  <r>
    <x v="35"/>
    <x v="0"/>
    <x v="2"/>
    <x v="2"/>
    <n v="2252265"/>
    <n v="979603555.13971066"/>
    <n v="53369140"/>
    <n v="0"/>
    <n v="18.355243407326981"/>
  </r>
  <r>
    <x v="35"/>
    <x v="0"/>
    <x v="2"/>
    <x v="3"/>
    <n v="1619524"/>
    <n v="185187032.89650059"/>
    <n v="53369140"/>
    <n v="0"/>
    <n v="3.4699272444056732"/>
  </r>
  <r>
    <x v="35"/>
    <x v="0"/>
    <x v="2"/>
    <x v="4"/>
    <n v="354883"/>
    <n v="246871438.6293067"/>
    <n v="53369140"/>
    <n v="0"/>
    <n v="4.6257338722210379"/>
  </r>
  <r>
    <x v="35"/>
    <x v="0"/>
    <x v="3"/>
    <x v="1"/>
    <n v="17154995"/>
    <n v="35303180047.061478"/>
    <n v="69072058"/>
    <n v="0"/>
    <n v="511.10653235584027"/>
  </r>
  <r>
    <x v="35"/>
    <x v="0"/>
    <x v="3"/>
    <x v="0"/>
    <n v="9425082"/>
    <n v="2467741143.2258015"/>
    <n v="69072058"/>
    <n v="0"/>
    <n v="35.727053959009034"/>
  </r>
  <r>
    <x v="35"/>
    <x v="0"/>
    <x v="3"/>
    <x v="2"/>
    <n v="8633569"/>
    <n v="2294203496.6575317"/>
    <n v="69072058"/>
    <n v="0"/>
    <n v="33.214639364843187"/>
  </r>
  <r>
    <x v="35"/>
    <x v="0"/>
    <x v="3"/>
    <x v="3"/>
    <n v="734796"/>
    <n v="93755616.522836253"/>
    <n v="69072058"/>
    <n v="0"/>
    <n v="1.3573595349198406"/>
  </r>
  <r>
    <x v="35"/>
    <x v="0"/>
    <x v="3"/>
    <x v="4"/>
    <n v="565106"/>
    <n v="330738908.23670936"/>
    <n v="69072058"/>
    <n v="0"/>
    <n v="4.7883169810389807"/>
  </r>
  <r>
    <x v="35"/>
    <x v="1"/>
    <x v="0"/>
    <x v="1"/>
    <n v="27374206"/>
    <n v="44170923881.744286"/>
    <n v="81943675"/>
    <n v="0"/>
    <n v="539.04006479748784"/>
  </r>
  <r>
    <x v="35"/>
    <x v="1"/>
    <x v="0"/>
    <x v="0"/>
    <n v="11659948"/>
    <n v="3021107711.9021683"/>
    <n v="81943675"/>
    <n v="0"/>
    <n v="36.86810131352015"/>
  </r>
  <r>
    <x v="35"/>
    <x v="1"/>
    <x v="0"/>
    <x v="2"/>
    <n v="7636726"/>
    <n v="2645438308.3384781"/>
    <n v="81943675"/>
    <n v="0"/>
    <n v="32.283618086917365"/>
  </r>
  <r>
    <x v="35"/>
    <x v="1"/>
    <x v="0"/>
    <x v="3"/>
    <n v="525650"/>
    <n v="47986448.469366968"/>
    <n v="81943675"/>
    <n v="0"/>
    <n v="0.58560283596466678"/>
  </r>
  <r>
    <x v="35"/>
    <x v="1"/>
    <x v="0"/>
    <x v="4"/>
    <n v="429858"/>
    <n v="279216273.42549002"/>
    <n v="81943675"/>
    <n v="0"/>
    <n v="3.407417026701451"/>
  </r>
  <r>
    <x v="35"/>
    <x v="1"/>
    <x v="1"/>
    <x v="1"/>
    <n v="20285958"/>
    <n v="48394974398.378311"/>
    <n v="94740745"/>
    <n v="544656211"/>
    <n v="510.81479672107616"/>
  </r>
  <r>
    <x v="35"/>
    <x v="1"/>
    <x v="1"/>
    <x v="2"/>
    <n v="13646142"/>
    <n v="4657258459.145545"/>
    <n v="94740745"/>
    <n v="544656211"/>
    <n v="49.157925232122096"/>
  </r>
  <r>
    <x v="35"/>
    <x v="1"/>
    <x v="1"/>
    <x v="0"/>
    <n v="12129638"/>
    <n v="3676123279.3800926"/>
    <n v="94740745"/>
    <n v="544656211"/>
    <n v="38.801924973041878"/>
  </r>
  <r>
    <x v="35"/>
    <x v="1"/>
    <x v="1"/>
    <x v="3"/>
    <n v="421037"/>
    <n v="45646046.988463171"/>
    <n v="94740745"/>
    <n v="544656211"/>
    <n v="0.48179953607566811"/>
  </r>
  <r>
    <x v="35"/>
    <x v="1"/>
    <x v="1"/>
    <x v="4"/>
    <n v="540760"/>
    <n v="331688935.22631323"/>
    <n v="94740745"/>
    <n v="544656211"/>
    <n v="3.5010167507793319"/>
  </r>
  <r>
    <x v="35"/>
    <x v="1"/>
    <x v="2"/>
    <x v="2"/>
    <n v="30804036"/>
    <n v="8273187167.0788555"/>
    <n v="106075442"/>
    <n v="1942149121"/>
    <n v="77.993426292570675"/>
  </r>
  <r>
    <x v="35"/>
    <x v="1"/>
    <x v="2"/>
    <x v="1"/>
    <n v="21522913"/>
    <n v="57058405341.480957"/>
    <n v="106075442"/>
    <n v="1942149121"/>
    <n v="537.90400742785459"/>
  </r>
  <r>
    <x v="35"/>
    <x v="1"/>
    <x v="2"/>
    <x v="0"/>
    <n v="13011501"/>
    <n v="4832486821.8885756"/>
    <n v="106075442"/>
    <n v="1942149121"/>
    <n v="45.557074576117017"/>
  </r>
  <r>
    <x v="35"/>
    <x v="1"/>
    <x v="2"/>
    <x v="3"/>
    <n v="558653"/>
    <n v="57054414.835974008"/>
    <n v="106075442"/>
    <n v="1942149121"/>
    <n v="0.53786638792392694"/>
  </r>
  <r>
    <x v="35"/>
    <x v="1"/>
    <x v="2"/>
    <x v="4"/>
    <n v="547726"/>
    <n v="319398871.54610711"/>
    <n v="106075442"/>
    <n v="1942149121"/>
    <n v="3.0110538831985929"/>
  </r>
  <r>
    <x v="35"/>
    <x v="1"/>
    <x v="3"/>
    <x v="1"/>
    <n v="67037576"/>
    <n v="76593333397.866501"/>
    <n v="119735638"/>
    <n v="2687592743"/>
    <n v="639.68701948092098"/>
  </r>
  <r>
    <x v="35"/>
    <x v="1"/>
    <x v="3"/>
    <x v="0"/>
    <n v="14511711"/>
    <n v="4859794689.902503"/>
    <n v="119735638"/>
    <n v="2687592743"/>
    <n v="40.587704471934273"/>
  </r>
  <r>
    <x v="35"/>
    <x v="1"/>
    <x v="3"/>
    <x v="2"/>
    <n v="14187744"/>
    <n v="6477138700.8121147"/>
    <n v="119735638"/>
    <n v="2687592743"/>
    <n v="54.095328750928061"/>
  </r>
  <r>
    <x v="35"/>
    <x v="1"/>
    <x v="3"/>
    <x v="3"/>
    <n v="653648"/>
    <n v="77047243.729740053"/>
    <n v="119735638"/>
    <n v="2687592743"/>
    <n v="0.64347795707857713"/>
  </r>
  <r>
    <x v="35"/>
    <x v="1"/>
    <x v="3"/>
    <x v="4"/>
    <n v="415159"/>
    <n v="196296222.33587587"/>
    <n v="119735638"/>
    <n v="2687592743"/>
    <n v="1.6394135080808261"/>
  </r>
  <r>
    <x v="35"/>
    <x v="2"/>
    <x v="0"/>
    <x v="1"/>
    <n v="28457404"/>
    <n v="82770282623.809143"/>
    <n v="131569042"/>
    <n v="2277750398"/>
    <n v="629.10150720569311"/>
  </r>
  <r>
    <x v="35"/>
    <x v="2"/>
    <x v="0"/>
    <x v="2"/>
    <n v="19779392"/>
    <n v="8097859088.5199757"/>
    <n v="131569042"/>
    <n v="2277750398"/>
    <n v="61.548362482718204"/>
  </r>
  <r>
    <x v="35"/>
    <x v="2"/>
    <x v="0"/>
    <x v="0"/>
    <n v="17448908"/>
    <n v="5550815439.7347879"/>
    <n v="131569042"/>
    <n v="2277750398"/>
    <n v="42.189373391764818"/>
  </r>
  <r>
    <x v="35"/>
    <x v="2"/>
    <x v="0"/>
    <x v="3"/>
    <n v="210068"/>
    <n v="58280893.551501192"/>
    <n v="131569042"/>
    <n v="2277750398"/>
    <n v="0.44296813798721124"/>
  </r>
  <r>
    <x v="35"/>
    <x v="2"/>
    <x v="0"/>
    <x v="4"/>
    <n v="354609"/>
    <n v="176067145.32277051"/>
    <n v="131569042"/>
    <n v="2277750398"/>
    <n v="1.3382110460511714"/>
  </r>
  <r>
    <x v="35"/>
    <x v="2"/>
    <x v="1"/>
    <x v="1"/>
    <n v="24855687"/>
    <n v="84984004330.771805"/>
    <n v="145442242"/>
    <n v="2184482652"/>
    <n v="584.31445474260363"/>
  </r>
  <r>
    <x v="35"/>
    <x v="2"/>
    <x v="1"/>
    <x v="0"/>
    <n v="22220012"/>
    <n v="7496845561.8685951"/>
    <n v="145442242"/>
    <n v="2184482652"/>
    <n v="51.545173250757472"/>
  </r>
  <r>
    <x v="35"/>
    <x v="2"/>
    <x v="1"/>
    <x v="2"/>
    <n v="10225729"/>
    <n v="7404190137.6690865"/>
    <n v="145442242"/>
    <n v="2184482652"/>
    <n v="50.908113322875529"/>
  </r>
  <r>
    <x v="35"/>
    <x v="2"/>
    <x v="1"/>
    <x v="3"/>
    <n v="130595"/>
    <n v="89987205.230904028"/>
    <n v="145442242"/>
    <n v="2184482652"/>
    <n v="0.61871437069090307"/>
  </r>
  <r>
    <x v="35"/>
    <x v="2"/>
    <x v="1"/>
    <x v="4"/>
    <n v="244774"/>
    <n v="124404641.81495729"/>
    <n v="145442242"/>
    <n v="2184482652"/>
    <n v="0.85535426368741818"/>
  </r>
  <r>
    <x v="35"/>
    <x v="2"/>
    <x v="2"/>
    <x v="1"/>
    <n v="37556349"/>
    <n v="133120676151.84232"/>
    <n v="158932026"/>
    <n v="2712103141"/>
    <n v="837.5950367098593"/>
  </r>
  <r>
    <x v="35"/>
    <x v="2"/>
    <x v="2"/>
    <x v="0"/>
    <n v="22284079"/>
    <n v="8768630922.9701614"/>
    <n v="158932026"/>
    <n v="2712103141"/>
    <n v="55.172208796798209"/>
  </r>
  <r>
    <x v="35"/>
    <x v="2"/>
    <x v="2"/>
    <x v="2"/>
    <n v="19599024"/>
    <n v="14614394375.389553"/>
    <n v="158932026"/>
    <n v="2712103141"/>
    <n v="91.953741125715922"/>
  </r>
  <r>
    <x v="35"/>
    <x v="2"/>
    <x v="2"/>
    <x v="3"/>
    <n v="151996"/>
    <n v="125973420.85650632"/>
    <n v="158932026"/>
    <n v="2712103141"/>
    <n v="0.79262452022417629"/>
  </r>
  <r>
    <x v="35"/>
    <x v="2"/>
    <x v="2"/>
    <x v="4"/>
    <n v="363056"/>
    <n v="183680984.08253318"/>
    <n v="158932026"/>
    <n v="2712103141"/>
    <n v="1.1557203963569507"/>
  </r>
  <r>
    <x v="35"/>
    <x v="2"/>
    <x v="3"/>
    <x v="1"/>
    <n v="46437233"/>
    <n v="166391874596.30487"/>
    <n v="172283023"/>
    <n v="3208941109"/>
    <n v="965.80540379944966"/>
  </r>
  <r>
    <x v="35"/>
    <x v="2"/>
    <x v="3"/>
    <x v="2"/>
    <n v="30077510"/>
    <n v="22241302940.832962"/>
    <n v="172283023"/>
    <n v="3208941109"/>
    <n v="129.09747317838136"/>
  </r>
  <r>
    <x v="35"/>
    <x v="2"/>
    <x v="3"/>
    <x v="0"/>
    <n v="23158305"/>
    <n v="10074605883.201237"/>
    <n v="172283023"/>
    <n v="3208941109"/>
    <n v="58.477067024771422"/>
  </r>
  <r>
    <x v="35"/>
    <x v="2"/>
    <x v="3"/>
    <x v="3"/>
    <n v="178455"/>
    <n v="164241191.74013621"/>
    <n v="172283023"/>
    <n v="3208941109"/>
    <n v="0.95332197496985072"/>
  </r>
  <r>
    <x v="35"/>
    <x v="2"/>
    <x v="3"/>
    <x v="4"/>
    <n v="489142"/>
    <n v="293466753.56894124"/>
    <n v="172283023"/>
    <n v="3208941109"/>
    <n v="1.703399142055577"/>
  </r>
  <r>
    <x v="35"/>
    <x v="3"/>
    <x v="0"/>
    <x v="1"/>
    <n v="53869075"/>
    <n v="202240249482.85385"/>
    <n v="184896789"/>
    <n v="3485159414"/>
    <n v="1093.8007662364209"/>
  </r>
  <r>
    <x v="35"/>
    <x v="3"/>
    <x v="0"/>
    <x v="2"/>
    <n v="37143701"/>
    <n v="28918343691.018497"/>
    <n v="184896789"/>
    <n v="3485159414"/>
    <n v="156.40262790620176"/>
  </r>
  <r>
    <x v="35"/>
    <x v="3"/>
    <x v="0"/>
    <x v="0"/>
    <n v="26673733"/>
    <n v="11339665944.69124"/>
    <n v="184896789"/>
    <n v="3485159414"/>
    <n v="61.329707270856069"/>
  </r>
  <r>
    <x v="35"/>
    <x v="3"/>
    <x v="0"/>
    <x v="3"/>
    <n v="166727"/>
    <n v="175445811.88444334"/>
    <n v="184896789"/>
    <n v="3485159414"/>
    <n v="0.94888512036000439"/>
  </r>
  <r>
    <x v="35"/>
    <x v="3"/>
    <x v="0"/>
    <x v="4"/>
    <n v="400816"/>
    <n v="263502545.07389978"/>
    <n v="184896789"/>
    <n v="3485159414"/>
    <n v="1.4251331594184677"/>
  </r>
  <r>
    <x v="35"/>
    <x v="3"/>
    <x v="1"/>
    <x v="1"/>
    <n v="64661051"/>
    <n v="230812278789.29965"/>
    <n v="197779769"/>
    <n v="3028756126"/>
    <n v="1167.0166264037837"/>
  </r>
  <r>
    <x v="35"/>
    <x v="3"/>
    <x v="1"/>
    <x v="2"/>
    <n v="41696787"/>
    <n v="34787867208.319321"/>
    <n v="197779769"/>
    <n v="3028756126"/>
    <n v="175.89193972776519"/>
  </r>
  <r>
    <x v="35"/>
    <x v="3"/>
    <x v="1"/>
    <x v="0"/>
    <n v="34799709"/>
    <n v="13331453857.609217"/>
    <n v="197779769"/>
    <n v="3028756126"/>
    <n v="67.405548732384332"/>
  </r>
  <r>
    <x v="35"/>
    <x v="3"/>
    <x v="1"/>
    <x v="3"/>
    <n v="190537"/>
    <n v="186466487.63076341"/>
    <n v="197779769"/>
    <n v="3028756126"/>
    <n v="0.94279859145129963"/>
  </r>
  <r>
    <x v="35"/>
    <x v="3"/>
    <x v="1"/>
    <x v="4"/>
    <n v="549353"/>
    <n v="316744715.70498472"/>
    <n v="197779769"/>
    <n v="3028756126"/>
    <n v="1.601502101587472"/>
  </r>
  <r>
    <x v="35"/>
    <x v="3"/>
    <x v="2"/>
    <x v="1"/>
    <n v="84353949"/>
    <n v="294799731350.55359"/>
    <n v="212556058"/>
    <n v="3834475326"/>
    <n v="1386.9269788140011"/>
  </r>
  <r>
    <x v="35"/>
    <x v="3"/>
    <x v="2"/>
    <x v="2"/>
    <n v="58800005"/>
    <n v="50971169851.156677"/>
    <n v="212556058"/>
    <n v="3834475326"/>
    <n v="239.8010686251844"/>
  </r>
  <r>
    <x v="35"/>
    <x v="3"/>
    <x v="2"/>
    <x v="0"/>
    <n v="37556310"/>
    <n v="16045754099.005053"/>
    <n v="212556058"/>
    <n v="3834475326"/>
    <n v="75.489516742002493"/>
  </r>
  <r>
    <x v="35"/>
    <x v="3"/>
    <x v="2"/>
    <x v="3"/>
    <n v="189087"/>
    <n v="213411736.37376124"/>
    <n v="212556058"/>
    <n v="3834475326"/>
    <n v="1.0040256597803543"/>
  </r>
  <r>
    <x v="35"/>
    <x v="3"/>
    <x v="2"/>
    <x v="4"/>
    <n v="813637"/>
    <n v="426999219.42323273"/>
    <n v="212556058"/>
    <n v="3834475326"/>
    <n v="2.0088781446221247"/>
  </r>
  <r>
    <x v="35"/>
    <x v="3"/>
    <x v="3"/>
    <x v="1"/>
    <n v="105728377"/>
    <n v="372240891205.5542"/>
    <n v="227089797"/>
    <n v="5635694229"/>
    <n v="1639.1792855649705"/>
  </r>
  <r>
    <x v="35"/>
    <x v="3"/>
    <x v="3"/>
    <x v="2"/>
    <n v="80248673"/>
    <n v="71231577538.711395"/>
    <n v="227089797"/>
    <n v="5635694229"/>
    <n v="313.67141315781527"/>
  </r>
  <r>
    <x v="35"/>
    <x v="3"/>
    <x v="3"/>
    <x v="0"/>
    <n v="37801439"/>
    <n v="17813903244.663807"/>
    <n v="227089797"/>
    <n v="5635694229"/>
    <n v="78.444313571092792"/>
  </r>
  <r>
    <x v="35"/>
    <x v="3"/>
    <x v="3"/>
    <x v="3"/>
    <n v="252535"/>
    <n v="270791056.67414302"/>
    <n v="227089797"/>
    <n v="5635694229"/>
    <n v="1.1924404365650254"/>
  </r>
  <r>
    <x v="35"/>
    <x v="3"/>
    <x v="3"/>
    <x v="4"/>
    <n v="998536"/>
    <n v="660874216.49347425"/>
    <n v="227089797"/>
    <n v="5635694229"/>
    <n v="2.910188943862916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623045396413.8962"/>
    <m/>
    <n v="1080202410"/>
    <m/>
  </r>
  <r>
    <x v="1"/>
    <n v="6276688133188.9287"/>
    <n v="2.8672289432305544"/>
    <n v="4079827215"/>
    <n v="2.7769099357961995"/>
  </r>
  <r>
    <x v="2"/>
    <n v="14641161978060.863"/>
    <n v="1.3326253698417045"/>
    <n v="7973974741"/>
    <n v="0.95448834491879331"/>
  </r>
  <r>
    <x v="3"/>
    <n v="34598699687166.465"/>
    <n v="1.3631115985883562"/>
    <n v="19288429220"/>
    <n v="1.41892278901062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3A2918-FD04-4162-8FBD-11A20B07CFBD}"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2:E23" firstHeaderRow="1" firstDataRow="2" firstDataCol="0"/>
  <pivotFields count="10">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4"/>
        <item x="33"/>
        <item x="35"/>
        <item t="default"/>
      </items>
    </pivotField>
    <pivotField axis="axisCol" showAll="0">
      <items count="5">
        <item x="0"/>
        <item x="1"/>
        <item x="2"/>
        <item x="3"/>
        <item t="default"/>
      </items>
    </pivotField>
    <pivotField showAll="0">
      <items count="5">
        <item x="0"/>
        <item x="1"/>
        <item x="2"/>
        <item x="3"/>
        <item t="default"/>
      </items>
    </pivotField>
    <pivotField showAll="0">
      <items count="6">
        <item x="3"/>
        <item x="2"/>
        <item x="4"/>
        <item x="1"/>
        <item x="0"/>
        <item t="default"/>
      </items>
    </pivotField>
    <pivotField showAll="0"/>
    <pivotField numFmtId="165" showAll="0"/>
    <pivotField numFmtId="164" showAll="0"/>
    <pivotField showAll="0"/>
    <pivotField numFmtId="2" showAll="0"/>
    <pivotField dragToRow="0" dragToCol="0" dragToPage="0" showAll="0" defaultSubtotal="0"/>
  </pivotFields>
  <rowItems count="1">
    <i/>
  </rowItems>
  <colFields count="1">
    <field x="1"/>
  </colFields>
  <colItems count="5">
    <i>
      <x/>
    </i>
    <i>
      <x v="1"/>
    </i>
    <i>
      <x v="2"/>
    </i>
    <i>
      <x v="3"/>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C367A1-7162-4742-8CDE-A01220623E6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44:J49" firstHeaderRow="0" firstDataRow="1" firstDataCol="1"/>
  <pivotFields count="5">
    <pivotField axis="axisRow" showAll="0">
      <items count="5">
        <item x="0"/>
        <item x="1"/>
        <item x="2"/>
        <item x="3"/>
        <item t="default"/>
      </items>
    </pivotField>
    <pivotField showAll="0"/>
    <pivotField dataField="1" showAll="0"/>
    <pivotField showAll="0"/>
    <pivotField dataField="1" showAll="0"/>
  </pivotFields>
  <rowFields count="1">
    <field x="0"/>
  </rowFields>
  <rowItems count="5">
    <i>
      <x/>
    </i>
    <i>
      <x v="1"/>
    </i>
    <i>
      <x v="2"/>
    </i>
    <i>
      <x v="3"/>
    </i>
    <i t="grand">
      <x/>
    </i>
  </rowItems>
  <colFields count="1">
    <field x="-2"/>
  </colFields>
  <colItems count="2">
    <i>
      <x/>
    </i>
    <i i="1">
      <x v="1"/>
    </i>
  </colItems>
  <dataFields count="2">
    <dataField name="Sum of YOY Amount  Growth %" fld="2" baseField="0" baseItem="0"/>
    <dataField name="Sum of YOY transaction growth  Growth %"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94ED45-698A-43E5-8F21-BBF8CDABA105}" name="PivotTable16"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location ref="A44:F49" firstHeaderRow="1" firstDataRow="2" firstDataCol="1"/>
  <pivotFields count="10">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4"/>
        <item x="33"/>
        <item x="35"/>
        <item t="default"/>
      </items>
    </pivotField>
    <pivotField axis="axisRow" showAll="0">
      <items count="5">
        <item x="0"/>
        <item x="1"/>
        <item x="2"/>
        <item x="3"/>
        <item t="default"/>
      </items>
    </pivotField>
    <pivotField showAll="0">
      <items count="5">
        <item x="0"/>
        <item x="1"/>
        <item x="2"/>
        <item x="3"/>
        <item t="default"/>
      </items>
    </pivotField>
    <pivotField axis="axisCol" showAll="0">
      <items count="6">
        <item x="3"/>
        <item x="2"/>
        <item x="4"/>
        <item x="1"/>
        <item x="0"/>
        <item t="default"/>
      </items>
    </pivotField>
    <pivotField dataField="1" showAll="0"/>
    <pivotField numFmtId="165" showAll="0"/>
    <pivotField numFmtId="164" showAll="0"/>
    <pivotField showAll="0"/>
    <pivotField numFmtId="2" showAll="0"/>
    <pivotField dragToRow="0" dragToCol="0" dragToPage="0" showAll="0" defaultSubtotal="0"/>
  </pivotFields>
  <rowFields count="1">
    <field x="1"/>
  </rowFields>
  <rowItems count="4">
    <i>
      <x/>
    </i>
    <i>
      <x v="1"/>
    </i>
    <i>
      <x v="2"/>
    </i>
    <i>
      <x v="3"/>
    </i>
  </rowItems>
  <colFields count="1">
    <field x="3"/>
  </colFields>
  <colItems count="5">
    <i>
      <x/>
    </i>
    <i>
      <x v="1"/>
    </i>
    <i>
      <x v="2"/>
    </i>
    <i>
      <x v="3"/>
    </i>
    <i>
      <x v="4"/>
    </i>
  </colItems>
  <dataFields count="1">
    <dataField name="Sum of txn_count" fld="4" baseField="0" baseItem="0"/>
  </dataFields>
  <chartFormats count="20">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 chart="4" format="5" series="1">
      <pivotArea type="data" outline="0" fieldPosition="0">
        <references count="2">
          <reference field="4294967294" count="1" selected="0">
            <x v="0"/>
          </reference>
          <reference field="3" count="1" selected="0">
            <x v="0"/>
          </reference>
        </references>
      </pivotArea>
    </chartFormat>
    <chartFormat chart="4" format="6" series="1">
      <pivotArea type="data" outline="0" fieldPosition="0">
        <references count="2">
          <reference field="4294967294" count="1" selected="0">
            <x v="0"/>
          </reference>
          <reference field="3" count="1" selected="0">
            <x v="1"/>
          </reference>
        </references>
      </pivotArea>
    </chartFormat>
    <chartFormat chart="4" format="7" series="1">
      <pivotArea type="data" outline="0" fieldPosition="0">
        <references count="2">
          <reference field="4294967294" count="1" selected="0">
            <x v="0"/>
          </reference>
          <reference field="3" count="1" selected="0">
            <x v="2"/>
          </reference>
        </references>
      </pivotArea>
    </chartFormat>
    <chartFormat chart="4" format="8" series="1">
      <pivotArea type="data" outline="0" fieldPosition="0">
        <references count="2">
          <reference field="4294967294" count="1" selected="0">
            <x v="0"/>
          </reference>
          <reference field="3" count="1" selected="0">
            <x v="3"/>
          </reference>
        </references>
      </pivotArea>
    </chartFormat>
    <chartFormat chart="4" format="9" series="1">
      <pivotArea type="data" outline="0" fieldPosition="0">
        <references count="2">
          <reference field="4294967294" count="1" selected="0">
            <x v="0"/>
          </reference>
          <reference field="3" count="1" selected="0">
            <x v="4"/>
          </reference>
        </references>
      </pivotArea>
    </chartFormat>
    <chartFormat chart="7" format="5" series="1">
      <pivotArea type="data" outline="0" fieldPosition="0">
        <references count="2">
          <reference field="4294967294" count="1" selected="0">
            <x v="0"/>
          </reference>
          <reference field="3" count="1" selected="0">
            <x v="0"/>
          </reference>
        </references>
      </pivotArea>
    </chartFormat>
    <chartFormat chart="7" format="6" series="1">
      <pivotArea type="data" outline="0" fieldPosition="0">
        <references count="2">
          <reference field="4294967294" count="1" selected="0">
            <x v="0"/>
          </reference>
          <reference field="3" count="1" selected="0">
            <x v="1"/>
          </reference>
        </references>
      </pivotArea>
    </chartFormat>
    <chartFormat chart="7" format="7" series="1">
      <pivotArea type="data" outline="0" fieldPosition="0">
        <references count="2">
          <reference field="4294967294" count="1" selected="0">
            <x v="0"/>
          </reference>
          <reference field="3" count="1" selected="0">
            <x v="2"/>
          </reference>
        </references>
      </pivotArea>
    </chartFormat>
    <chartFormat chart="7" format="8" series="1">
      <pivotArea type="data" outline="0" fieldPosition="0">
        <references count="2">
          <reference field="4294967294" count="1" selected="0">
            <x v="0"/>
          </reference>
          <reference field="3" count="1" selected="0">
            <x v="3"/>
          </reference>
        </references>
      </pivotArea>
    </chartFormat>
    <chartFormat chart="7" format="9" series="1">
      <pivotArea type="data" outline="0" fieldPosition="0">
        <references count="2">
          <reference field="4294967294" count="1" selected="0">
            <x v="0"/>
          </reference>
          <reference field="3" count="1" selected="0">
            <x v="4"/>
          </reference>
        </references>
      </pivotArea>
    </chartFormat>
    <chartFormat chart="9" format="10" series="1">
      <pivotArea type="data" outline="0" fieldPosition="0">
        <references count="2">
          <reference field="4294967294" count="1" selected="0">
            <x v="0"/>
          </reference>
          <reference field="3" count="1" selected="0">
            <x v="0"/>
          </reference>
        </references>
      </pivotArea>
    </chartFormat>
    <chartFormat chart="9" format="11" series="1">
      <pivotArea type="data" outline="0" fieldPosition="0">
        <references count="2">
          <reference field="4294967294" count="1" selected="0">
            <x v="0"/>
          </reference>
          <reference field="3" count="1" selected="0">
            <x v="1"/>
          </reference>
        </references>
      </pivotArea>
    </chartFormat>
    <chartFormat chart="9" format="12" series="1">
      <pivotArea type="data" outline="0" fieldPosition="0">
        <references count="2">
          <reference field="4294967294" count="1" selected="0">
            <x v="0"/>
          </reference>
          <reference field="3" count="1" selected="0">
            <x v="2"/>
          </reference>
        </references>
      </pivotArea>
    </chartFormat>
    <chartFormat chart="9" format="13" series="1">
      <pivotArea type="data" outline="0" fieldPosition="0">
        <references count="2">
          <reference field="4294967294" count="1" selected="0">
            <x v="0"/>
          </reference>
          <reference field="3" count="1" selected="0">
            <x v="3"/>
          </reference>
        </references>
      </pivotArea>
    </chartFormat>
    <chartFormat chart="9"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FFCB62-4EFB-4900-8795-175E0785C5BF}"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5:H41" firstHeaderRow="1" firstDataRow="1" firstDataCol="1"/>
  <pivotFields count="10">
    <pivotField axis="axisRow" showAll="0" measureFilter="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4"/>
        <item x="33"/>
        <item x="35"/>
        <item t="default"/>
      </items>
    </pivotField>
    <pivotField showAll="0">
      <items count="5">
        <item x="0"/>
        <item x="1"/>
        <item x="2"/>
        <item x="3"/>
        <item t="default"/>
      </items>
    </pivotField>
    <pivotField showAll="0">
      <items count="5">
        <item x="0"/>
        <item x="1"/>
        <item x="2"/>
        <item x="3"/>
        <item t="default"/>
      </items>
    </pivotField>
    <pivotField showAll="0">
      <items count="6">
        <item x="3"/>
        <item x="2"/>
        <item x="4"/>
        <item x="1"/>
        <item x="0"/>
        <item t="default"/>
      </items>
    </pivotField>
    <pivotField showAll="0"/>
    <pivotField numFmtId="165" showAll="0"/>
    <pivotField numFmtId="164" showAll="0"/>
    <pivotField showAll="0"/>
    <pivotField dataField="1" numFmtId="2" showAll="0"/>
    <pivotField dragToRow="0" dragToCol="0" dragToPage="0" showAll="0" defaultSubtotal="0"/>
  </pivotFields>
  <rowFields count="1">
    <field x="0"/>
  </rowFields>
  <rowItems count="6">
    <i>
      <x v="7"/>
    </i>
    <i>
      <x v="12"/>
    </i>
    <i>
      <x v="16"/>
    </i>
    <i>
      <x v="18"/>
    </i>
    <i>
      <x v="32"/>
    </i>
    <i t="grand">
      <x/>
    </i>
  </rowItems>
  <colItems count="1">
    <i/>
  </colItems>
  <dataFields count="1">
    <dataField name="Sum of  Transactions-per-User" fld="8"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376A01-671C-47CB-94F2-9CE6ABC33A2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3:H29" firstHeaderRow="1" firstDataRow="1" firstDataCol="1"/>
  <pivotFields count="9">
    <pivotField axis="axisRow" showAll="0" measureFilter="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4"/>
        <item x="33"/>
        <item x="35"/>
        <item x="36"/>
        <item t="default"/>
      </items>
    </pivotField>
    <pivotField showAll="0"/>
    <pivotField showAll="0"/>
    <pivotField showAll="0"/>
    <pivotField showAll="0"/>
    <pivotField showAll="0"/>
    <pivotField showAll="0"/>
    <pivotField showAll="0"/>
    <pivotField dataField="1" showAll="0"/>
  </pivotFields>
  <rowFields count="1">
    <field x="0"/>
  </rowFields>
  <rowItems count="6">
    <i>
      <x v="1"/>
    </i>
    <i>
      <x v="8"/>
    </i>
    <i>
      <x v="15"/>
    </i>
    <i>
      <x v="28"/>
    </i>
    <i>
      <x v="31"/>
    </i>
    <i t="grand">
      <x/>
    </i>
  </rowItems>
  <colItems count="1">
    <i/>
  </colItems>
  <dataFields count="1">
    <dataField name="Sum of  Transactions-per-User"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6109D7-05C2-471E-A57C-28F2FC784ED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6:H12" firstHeaderRow="1" firstDataRow="1" firstDataCol="1"/>
  <pivotFields count="10">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4"/>
        <item x="33"/>
        <item x="35"/>
        <item t="default"/>
      </items>
    </pivotField>
    <pivotField showAll="0">
      <items count="5">
        <item x="0"/>
        <item x="1"/>
        <item x="2"/>
        <item x="3"/>
        <item t="default"/>
      </items>
    </pivotField>
    <pivotField showAll="0">
      <items count="5">
        <item x="0"/>
        <item x="1"/>
        <item x="2"/>
        <item x="3"/>
        <item t="default"/>
      </items>
    </pivotField>
    <pivotField axis="axisRow" showAll="0">
      <items count="6">
        <item x="3"/>
        <item x="2"/>
        <item x="4"/>
        <item x="1"/>
        <item x="0"/>
        <item t="default"/>
      </items>
    </pivotField>
    <pivotField dataField="1" showAll="0"/>
    <pivotField showAll="0"/>
    <pivotField showAll="0"/>
    <pivotField showAll="0"/>
    <pivotField numFmtId="2" showAll="0"/>
    <pivotField dragToRow="0" dragToCol="0" dragToPage="0" showAll="0" defaultSubtotal="0"/>
  </pivotFields>
  <rowFields count="1">
    <field x="3"/>
  </rowFields>
  <rowItems count="6">
    <i>
      <x/>
    </i>
    <i>
      <x v="1"/>
    </i>
    <i>
      <x v="2"/>
    </i>
    <i>
      <x v="3"/>
    </i>
    <i>
      <x v="4"/>
    </i>
    <i t="grand">
      <x/>
    </i>
  </rowItems>
  <colItems count="1">
    <i/>
  </colItems>
  <dataFields count="1">
    <dataField name="Sum of txn_count" fld="4"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0"/>
          </reference>
        </references>
      </pivotArea>
    </chartFormat>
    <chartFormat chart="5" format="14">
      <pivotArea type="data" outline="0" fieldPosition="0">
        <references count="2">
          <reference field="4294967294" count="1" selected="0">
            <x v="0"/>
          </reference>
          <reference field="3" count="1" selected="0">
            <x v="1"/>
          </reference>
        </references>
      </pivotArea>
    </chartFormat>
    <chartFormat chart="5" format="15">
      <pivotArea type="data" outline="0" fieldPosition="0">
        <references count="2">
          <reference field="4294967294" count="1" selected="0">
            <x v="0"/>
          </reference>
          <reference field="3" count="1" selected="0">
            <x v="2"/>
          </reference>
        </references>
      </pivotArea>
    </chartFormat>
    <chartFormat chart="5" format="16">
      <pivotArea type="data" outline="0" fieldPosition="0">
        <references count="2">
          <reference field="4294967294" count="1" selected="0">
            <x v="0"/>
          </reference>
          <reference field="3" count="1" selected="0">
            <x v="3"/>
          </reference>
        </references>
      </pivotArea>
    </chartFormat>
    <chartFormat chart="5"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329C47-CAF1-412C-8E8D-D52166FDF688}"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3:B9" firstHeaderRow="1" firstDataRow="1" firstDataCol="1"/>
  <pivotFields count="10">
    <pivotField axis="axisRow" showAll="0" measureFilter="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4"/>
        <item x="33"/>
        <item x="35"/>
        <item t="default"/>
      </items>
    </pivotField>
    <pivotField showAll="0">
      <items count="5">
        <item x="0"/>
        <item x="1"/>
        <item x="2"/>
        <item x="3"/>
        <item t="default"/>
      </items>
    </pivotField>
    <pivotField showAll="0">
      <items count="5">
        <item x="0"/>
        <item x="1"/>
        <item x="2"/>
        <item x="3"/>
        <item t="default"/>
      </items>
    </pivotField>
    <pivotField showAll="0">
      <items count="6">
        <item x="3"/>
        <item x="2"/>
        <item x="4"/>
        <item x="1"/>
        <item x="0"/>
        <item t="default"/>
      </items>
    </pivotField>
    <pivotField showAll="0"/>
    <pivotField dataField="1" showAll="0"/>
    <pivotField showAll="0"/>
    <pivotField showAll="0"/>
    <pivotField numFmtId="2" showAll="0"/>
    <pivotField dragToRow="0" dragToCol="0" dragToPage="0" showAll="0" defaultSubtotal="0"/>
  </pivotFields>
  <rowFields count="1">
    <field x="0"/>
  </rowFields>
  <rowItems count="6">
    <i>
      <x v="1"/>
    </i>
    <i>
      <x v="15"/>
    </i>
    <i>
      <x v="20"/>
    </i>
    <i>
      <x v="28"/>
    </i>
    <i>
      <x v="31"/>
    </i>
    <i t="grand">
      <x/>
    </i>
  </rowItems>
  <colItems count="1">
    <i/>
  </colItems>
  <dataFields count="1">
    <dataField name="Sum of txn_amount" fld="5"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7F7F0E-A6B5-4465-9A8F-5F328E7AB849}" autoFormatId="16" applyNumberFormats="0" applyBorderFormats="0" applyFontFormats="0" applyPatternFormats="0" applyAlignmentFormats="0" applyWidthHeightFormats="0">
  <queryTableRefresh nextId="11" unboundColumnsRight="1">
    <queryTableFields count="9">
      <queryTableField id="1" name="state" tableColumnId="1"/>
      <queryTableField id="2" name="year" tableColumnId="2"/>
      <queryTableField id="3" name="quarter" tableColumnId="3"/>
      <queryTableField id="4" name="transaction_type" tableColumnId="4"/>
      <queryTableField id="5" name="txn_count" tableColumnId="5"/>
      <queryTableField id="6" name="txn_amount" tableColumnId="6"/>
      <queryTableField id="7" name="registered_users" tableColumnId="7"/>
      <queryTableField id="8" name="app_opens" tableColumnId="8"/>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13D7953-5509-40FC-BCDE-7BBB56B3599E}" sourceName="state">
  <pivotTables>
    <pivotTable tabId="3" name="PivotTable2"/>
    <pivotTable tabId="3" name="PivotTable1"/>
    <pivotTable tabId="3" name="PivotTable14"/>
    <pivotTable tabId="3" name="PivotTable16"/>
    <pivotTable tabId="3" name="PivotTable4"/>
  </pivotTables>
  <data>
    <tabular pivotCacheId="1653427037">
      <items count="3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4" s="1"/>
        <i x="33" s="1"/>
        <i x="3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ED214D8-339D-49C6-B1D2-268FDD7C7885}" sourceName="year">
  <pivotTables>
    <pivotTable tabId="3" name="PivotTable2"/>
    <pivotTable tabId="3" name="PivotTable1"/>
    <pivotTable tabId="3" name="PivotTable14"/>
    <pivotTable tabId="3" name="PivotTable16"/>
    <pivotTable tabId="3" name="PivotTable4"/>
  </pivotTables>
  <data>
    <tabular pivotCacheId="1653427037">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F6457877-67FC-4386-A919-8AA46B6D296F}" sourceName="transaction_type">
  <pivotTables>
    <pivotTable tabId="3" name="PivotTable2"/>
    <pivotTable tabId="3" name="PivotTable1"/>
    <pivotTable tabId="3" name="PivotTable14"/>
    <pivotTable tabId="3" name="PivotTable16"/>
    <pivotTable tabId="3" name="PivotTable4"/>
  </pivotTables>
  <data>
    <tabular pivotCacheId="1653427037">
      <items count="5">
        <i x="3" s="1"/>
        <i x="2" s="1"/>
        <i x="4"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987ED23-75D0-465E-BDE1-B157E2672420}" sourceName="quarter">
  <pivotTables>
    <pivotTable tabId="3" name="PivotTable2"/>
    <pivotTable tabId="3" name="PivotTable1"/>
    <pivotTable tabId="3" name="PivotTable14"/>
    <pivotTable tabId="3" name="PivotTable16"/>
    <pivotTable tabId="3" name="PivotTable4"/>
  </pivotTables>
  <data>
    <tabular pivotCacheId="165342703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9768EEF4-643F-425B-80B7-1635482FA2C9}" cache="Slicer_state" caption="state" rowHeight="234950"/>
  <slicer name="year 1" xr10:uid="{7E5BD0D2-8923-40DA-988E-6ACDD4BCCEA0}" cache="Slicer_year" caption="year" columnCount="5" showCaption="0" rowHeight="234950"/>
  <slicer name="transaction_type 1" xr10:uid="{5F55F0D4-14EE-454B-8C9C-A7F2BA9A7836}" cache="Slicer_transaction_type" caption="transaction_type" columnCount="6" showCaption="0" rowHeight="234950"/>
  <slicer name="quarter 1" xr10:uid="{38B3CF49-81E2-4C6D-ADEC-36F1EADFE2CD}" cache="Slicer_quarter" caption="quarter" columnCount="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72B4FDF-4CB3-4E50-B783-A0723AF88B03}" cache="Slicer_state" caption="state" startItem="16" rowHeight="234950"/>
  <slicer name="year" xr10:uid="{F90C2502-151C-40C1-98F0-EE4D9DC6EFC0}" cache="Slicer_year" caption="year" rowHeight="234950"/>
  <slicer name="transaction_type" xr10:uid="{6B1D7107-AC3C-43B4-B837-38F7BA75CFA7}" cache="Slicer_transaction_type" caption="transaction_type" rowHeight="234950"/>
  <slicer name="quarter" xr10:uid="{ADD06BFE-B17C-4A27-B77D-F9C5FFD9037C}" cache="Slicer_quarter" caption="quart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F6B1F4-6901-4044-9BE3-58BFD8D5259D}" name="excel_use" displayName="excel_use" ref="A1:I2875" tableType="queryTable" totalsRowShown="0">
  <autoFilter ref="A1:I2875" xr:uid="{29F6B1F4-6901-4044-9BE3-58BFD8D5259D}"/>
  <tableColumns count="9">
    <tableColumn id="1" xr3:uid="{8BDFE05D-22DD-4587-B724-5DC80564C374}" uniqueName="1" name="state" queryTableFieldId="1" dataDxfId="10"/>
    <tableColumn id="2" xr3:uid="{F3DC65EB-8488-4C55-9189-5FD96260D37A}" uniqueName="2" name="year" queryTableFieldId="2"/>
    <tableColumn id="3" xr3:uid="{0FC64ACB-D473-4E1C-8563-DCE2D6CB1B3B}" uniqueName="3" name="quarter" queryTableFieldId="3"/>
    <tableColumn id="4" xr3:uid="{F0D6B3D6-9B05-4570-9DF6-FBA31D2A04C1}" uniqueName="4" name="transaction_type" queryTableFieldId="4" dataDxfId="9"/>
    <tableColumn id="5" xr3:uid="{BB987BFA-1ADC-430B-AB4D-843121140EFC}" uniqueName="5" name="txn_count" queryTableFieldId="5"/>
    <tableColumn id="6" xr3:uid="{E6B18F85-7314-4BFE-B190-9C5635CCB9B2}" uniqueName="6" name="txn_amount" queryTableFieldId="6" dataDxfId="8"/>
    <tableColumn id="7" xr3:uid="{F266029F-2BDF-4912-9817-25591C667E86}" uniqueName="7" name="registered_users" queryTableFieldId="7" dataDxfId="7"/>
    <tableColumn id="8" xr3:uid="{63CCEC10-8EDC-4B5A-9D2C-63C3FA963282}" uniqueName="8" name="app_opens" queryTableFieldId="8"/>
    <tableColumn id="10" xr3:uid="{9EE79BF5-9817-4E8A-B29B-6D7DEDF542B0}" uniqueName="10" name=" Transactions-per-User" queryTableFieldId="10"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3489AF-80BC-46DF-87B2-77404843B27F}" name="Table2" displayName="Table2" ref="J17:N21" totalsRowShown="0">
  <autoFilter ref="J17:N21" xr:uid="{5C3489AF-80BC-46DF-87B2-77404843B27F}"/>
  <tableColumns count="5">
    <tableColumn id="1" xr3:uid="{5BB7CF08-CA07-42A9-8FCA-B3619872A6DC}" name="YEAR "/>
    <tableColumn id="2" xr3:uid="{6A44628C-9BB2-4478-A037-6C7289FB696D}" name="Total Txn Amount">
      <calculatedColumnFormula>SUMIFS(F:F,B:B,J18)</calculatedColumnFormula>
    </tableColumn>
    <tableColumn id="3" xr3:uid="{FA4604CA-9642-45BE-BFD8-F193A128F045}" name="YOY Amount  Growth %" dataDxfId="5" dataCellStyle="Percent">
      <calculatedColumnFormula>(K18-K17)/K17</calculatedColumnFormula>
    </tableColumn>
    <tableColumn id="4" xr3:uid="{47051BEB-52C5-47FA-819A-1F1F18DC8A46}" name="Transaction Count">
      <calculatedColumnFormula>SUMIFS(E:E,B:B,J18)</calculatedColumnFormula>
    </tableColumn>
    <tableColumn id="5" xr3:uid="{47E3212F-60A2-44B2-97DC-7E5FEB2A530D}" name="YOY transaction growth  Growth %">
      <calculatedColumnFormula>(M18-M17)/M17</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CDADA1-CEDA-46B0-B367-499AD62582D3}" name="Table3" displayName="Table3" ref="J5:J6" totalsRowShown="0">
  <autoFilter ref="J5:J6" xr:uid="{4DCDADA1-CEDA-46B0-B367-499AD62582D3}"/>
  <tableColumns count="1">
    <tableColumn id="1" xr3:uid="{E9E4FF85-2B16-4EA9-AA05-028147FFF950}" name="Total Transaction Amount" dataDxfId="4">
      <calculatedColumnFormula>SUM(excel_use[txn_amount])</calculatedColumnFormula>
    </tableColumn>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C731AA-4A4A-437A-B7F3-6746AE29FE4C}" name="Table4" displayName="Table4" ref="J9:L10" totalsRowShown="0">
  <autoFilter ref="J9:L10" xr:uid="{57C731AA-4A4A-437A-B7F3-6746AE29FE4C}"/>
  <tableColumns count="3">
    <tableColumn id="1" xr3:uid="{4DDE5435-164C-4094-AA81-D0C453419C88}" name="Latest Year QoQ Growth %" dataDxfId="3">
      <calculatedColumnFormula>(SUMIFS(F:F,B:B,2021,C:C,4)-SUMIFS(F:F,B:B,2021,C:C,3))/SUMIFS(F:F,B:B,2021,C:C,3)</calculatedColumnFormula>
    </tableColumn>
    <tableColumn id="2" xr3:uid="{10972825-ABB0-4941-B9D1-487188C528DD}" name="Latest Year QoQ Growth % (Users)" dataDxfId="2">
      <calculatedColumnFormula>(SUMIFS(G:G,B:B,2021,C:C,4)-SUMIFS(G:G,B:B,2021,C:C,3))/SUMIFS(G:G,B:B,2021,C:C,3)</calculatedColumnFormula>
    </tableColumn>
    <tableColumn id="3" xr3:uid="{7478B88F-9F78-4458-BF0A-BC2824A91E21}" name="Avg App Opens per Registered User">
      <calculatedColumnFormula>SUM(excel_use[app_opens])/K6</calculatedColumnFormula>
    </tableColumn>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633BC5-1830-4589-B42B-E9550F470E6F}" name="Table5" displayName="Table5" ref="K5:L6" totalsRowShown="0">
  <autoFilter ref="K5:L6" xr:uid="{13633BC5-1830-4589-B42B-E9550F470E6F}"/>
  <tableColumns count="2">
    <tableColumn id="1" xr3:uid="{278ECC67-4112-4974-A66B-A9F6340922B5}" name="Total Registered Users" dataDxfId="1">
      <calculatedColumnFormula>SUM(excel_use[registered_users])</calculatedColumnFormula>
    </tableColumn>
    <tableColumn id="2" xr3:uid="{B9C0164A-4A34-42CB-B914-63F1D0A284EF}" name="National Avg Transactions-per-User" dataDxfId="0">
      <calculatedColumnFormula>SUM(J6/K6)</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31821-E045-4D50-BFA6-BA4AECEB5371}">
  <dimension ref="A1"/>
  <sheetViews>
    <sheetView zoomScaleNormal="100" workbookViewId="0">
      <selection activeCell="I15" sqref="I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38BA5-D358-4494-9020-70667B97FD52}">
  <dimension ref="A3:J117"/>
  <sheetViews>
    <sheetView topLeftCell="A11" zoomScale="69" workbookViewId="0">
      <selection activeCell="E39" sqref="E39"/>
    </sheetView>
  </sheetViews>
  <sheetFormatPr defaultRowHeight="14.4" x14ac:dyDescent="0.3"/>
  <cols>
    <col min="1" max="1" width="14.109375" bestFit="1" customWidth="1"/>
    <col min="2" max="2" width="18.6640625" bestFit="1" customWidth="1"/>
    <col min="3" max="5" width="23.6640625" bestFit="1" customWidth="1"/>
    <col min="6" max="6" width="29.6640625" customWidth="1"/>
    <col min="7" max="7" width="24.109375" bestFit="1" customWidth="1"/>
    <col min="8" max="8" width="16.6640625" bestFit="1" customWidth="1"/>
    <col min="9" max="9" width="39.21875" bestFit="1" customWidth="1"/>
    <col min="10" max="10" width="27.33203125" bestFit="1" customWidth="1"/>
    <col min="11" max="11" width="28.21875" bestFit="1" customWidth="1"/>
    <col min="12" max="36" width="33.88671875" bestFit="1" customWidth="1"/>
    <col min="37" max="37" width="10.77734375" bestFit="1" customWidth="1"/>
  </cols>
  <sheetData>
    <row r="3" spans="1:8" x14ac:dyDescent="0.3">
      <c r="A3" s="3" t="s">
        <v>56</v>
      </c>
      <c r="B3" t="s">
        <v>57</v>
      </c>
    </row>
    <row r="4" spans="1:8" x14ac:dyDescent="0.3">
      <c r="A4" s="4" t="s">
        <v>14</v>
      </c>
      <c r="B4" s="8">
        <v>6000774621676.2275</v>
      </c>
    </row>
    <row r="5" spans="1:8" x14ac:dyDescent="0.3">
      <c r="A5" s="4" t="s">
        <v>28</v>
      </c>
      <c r="B5" s="8">
        <v>6870101942415.5928</v>
      </c>
    </row>
    <row r="6" spans="1:8" x14ac:dyDescent="0.3">
      <c r="A6" s="4" t="s">
        <v>33</v>
      </c>
      <c r="B6" s="8">
        <v>6925611031627.9727</v>
      </c>
      <c r="G6" s="3" t="s">
        <v>56</v>
      </c>
      <c r="H6" t="s">
        <v>60</v>
      </c>
    </row>
    <row r="7" spans="1:8" x14ac:dyDescent="0.3">
      <c r="A7" s="4" t="s">
        <v>41</v>
      </c>
      <c r="B7" s="8">
        <v>4240030098367.7822</v>
      </c>
      <c r="G7" s="4" t="s">
        <v>12</v>
      </c>
      <c r="H7" s="8">
        <v>55250046</v>
      </c>
    </row>
    <row r="8" spans="1:8" x14ac:dyDescent="0.3">
      <c r="A8" s="4" t="s">
        <v>44</v>
      </c>
      <c r="B8" s="8">
        <v>7216293195531.0479</v>
      </c>
      <c r="G8" s="4" t="s">
        <v>11</v>
      </c>
      <c r="H8" s="8">
        <v>12428536543</v>
      </c>
    </row>
    <row r="9" spans="1:8" x14ac:dyDescent="0.3">
      <c r="A9" s="4" t="s">
        <v>55</v>
      </c>
      <c r="B9" s="8">
        <v>31252810889618.621</v>
      </c>
      <c r="G9" s="4" t="s">
        <v>13</v>
      </c>
      <c r="H9" s="8">
        <v>146085055</v>
      </c>
    </row>
    <row r="10" spans="1:8" x14ac:dyDescent="0.3">
      <c r="G10" s="4" t="s">
        <v>10</v>
      </c>
      <c r="H10" s="8">
        <v>14094054770</v>
      </c>
    </row>
    <row r="11" spans="1:8" x14ac:dyDescent="0.3">
      <c r="G11" s="4" t="s">
        <v>9</v>
      </c>
      <c r="H11" s="8">
        <v>5698507172</v>
      </c>
    </row>
    <row r="12" spans="1:8" x14ac:dyDescent="0.3">
      <c r="G12" s="4" t="s">
        <v>55</v>
      </c>
      <c r="H12" s="8">
        <v>32422433586</v>
      </c>
    </row>
    <row r="16" spans="1:8" x14ac:dyDescent="0.3">
      <c r="G16" s="4"/>
    </row>
    <row r="17" spans="1:8" x14ac:dyDescent="0.3">
      <c r="G17" s="4"/>
    </row>
    <row r="18" spans="1:8" x14ac:dyDescent="0.3">
      <c r="G18" s="4"/>
    </row>
    <row r="19" spans="1:8" x14ac:dyDescent="0.3">
      <c r="G19" s="4"/>
    </row>
    <row r="20" spans="1:8" x14ac:dyDescent="0.3">
      <c r="G20" s="4"/>
    </row>
    <row r="22" spans="1:8" x14ac:dyDescent="0.3">
      <c r="A22" s="3" t="s">
        <v>69</v>
      </c>
    </row>
    <row r="23" spans="1:8" x14ac:dyDescent="0.3">
      <c r="A23">
        <v>2018</v>
      </c>
      <c r="B23">
        <v>2019</v>
      </c>
      <c r="C23">
        <v>2020</v>
      </c>
      <c r="D23">
        <v>2021</v>
      </c>
      <c r="E23" t="s">
        <v>55</v>
      </c>
      <c r="G23" s="3" t="s">
        <v>56</v>
      </c>
      <c r="H23" t="s">
        <v>61</v>
      </c>
    </row>
    <row r="24" spans="1:8" x14ac:dyDescent="0.3">
      <c r="G24" s="4" t="s">
        <v>14</v>
      </c>
      <c r="H24">
        <v>32936.046804342681</v>
      </c>
    </row>
    <row r="25" spans="1:8" x14ac:dyDescent="0.3">
      <c r="G25" s="4" t="s">
        <v>21</v>
      </c>
      <c r="H25">
        <v>25213.778220087213</v>
      </c>
    </row>
    <row r="26" spans="1:8" x14ac:dyDescent="0.3">
      <c r="G26" s="4" t="s">
        <v>28</v>
      </c>
      <c r="H26">
        <v>30017.47232634274</v>
      </c>
    </row>
    <row r="27" spans="1:8" x14ac:dyDescent="0.3">
      <c r="G27" s="4" t="s">
        <v>41</v>
      </c>
      <c r="H27">
        <v>24336.744450935923</v>
      </c>
    </row>
    <row r="28" spans="1:8" x14ac:dyDescent="0.3">
      <c r="G28" s="4" t="s">
        <v>44</v>
      </c>
      <c r="H28">
        <v>42080.338982109832</v>
      </c>
    </row>
    <row r="29" spans="1:8" x14ac:dyDescent="0.3">
      <c r="G29" s="4" t="s">
        <v>55</v>
      </c>
      <c r="H29">
        <v>154584.3807838184</v>
      </c>
    </row>
    <row r="35" spans="1:10" x14ac:dyDescent="0.3">
      <c r="G35" s="3" t="s">
        <v>56</v>
      </c>
      <c r="H35" t="s">
        <v>61</v>
      </c>
    </row>
    <row r="36" spans="1:10" x14ac:dyDescent="0.3">
      <c r="G36" s="4" t="s">
        <v>20</v>
      </c>
      <c r="H36" s="1">
        <v>10172.317010709354</v>
      </c>
    </row>
    <row r="37" spans="1:10" x14ac:dyDescent="0.3">
      <c r="G37" s="4" t="s">
        <v>25</v>
      </c>
      <c r="H37" s="1">
        <v>10321.373333751349</v>
      </c>
    </row>
    <row r="38" spans="1:10" x14ac:dyDescent="0.3">
      <c r="G38" s="4" t="s">
        <v>29</v>
      </c>
      <c r="H38" s="1">
        <v>10170.869271786816</v>
      </c>
    </row>
    <row r="39" spans="1:10" x14ac:dyDescent="0.3">
      <c r="G39" s="4" t="s">
        <v>31</v>
      </c>
      <c r="H39" s="1">
        <v>8480.1158856111542</v>
      </c>
    </row>
    <row r="40" spans="1:10" x14ac:dyDescent="0.3">
      <c r="G40" s="4" t="s">
        <v>45</v>
      </c>
      <c r="H40" s="1">
        <v>8000.7810846080783</v>
      </c>
    </row>
    <row r="41" spans="1:10" x14ac:dyDescent="0.3">
      <c r="G41" s="4" t="s">
        <v>55</v>
      </c>
      <c r="H41" s="1">
        <v>47145.456586466746</v>
      </c>
    </row>
    <row r="44" spans="1:10" x14ac:dyDescent="0.3">
      <c r="A44" s="3" t="s">
        <v>60</v>
      </c>
      <c r="B44" s="3" t="s">
        <v>69</v>
      </c>
      <c r="H44" s="3" t="s">
        <v>56</v>
      </c>
      <c r="I44" t="s">
        <v>67</v>
      </c>
      <c r="J44" t="s">
        <v>68</v>
      </c>
    </row>
    <row r="45" spans="1:10" x14ac:dyDescent="0.3">
      <c r="A45" s="3" t="s">
        <v>56</v>
      </c>
      <c r="B45" t="s">
        <v>12</v>
      </c>
      <c r="C45" t="s">
        <v>11</v>
      </c>
      <c r="D45" t="s">
        <v>13</v>
      </c>
      <c r="E45" t="s">
        <v>10</v>
      </c>
      <c r="F45" t="s">
        <v>9</v>
      </c>
      <c r="H45" s="4">
        <v>2018</v>
      </c>
    </row>
    <row r="46" spans="1:10" x14ac:dyDescent="0.3">
      <c r="A46" s="4">
        <v>2018</v>
      </c>
      <c r="B46" s="8">
        <v>20384145</v>
      </c>
      <c r="C46" s="8">
        <v>112656898</v>
      </c>
      <c r="D46" s="8">
        <v>24575693</v>
      </c>
      <c r="E46" s="8">
        <v>523796208</v>
      </c>
      <c r="F46" s="8">
        <v>398789466</v>
      </c>
      <c r="H46" s="4">
        <v>2019</v>
      </c>
      <c r="I46">
        <v>2.8672289432305544</v>
      </c>
      <c r="J46">
        <v>2.7769099357961995</v>
      </c>
    </row>
    <row r="47" spans="1:10" x14ac:dyDescent="0.3">
      <c r="A47" s="4">
        <v>2019</v>
      </c>
      <c r="B47" s="8">
        <v>12624867</v>
      </c>
      <c r="C47" s="8">
        <v>1149862129</v>
      </c>
      <c r="D47" s="8">
        <v>46571025</v>
      </c>
      <c r="E47" s="8">
        <v>1954956507</v>
      </c>
      <c r="F47" s="8">
        <v>915812687</v>
      </c>
      <c r="H47" s="4">
        <v>2020</v>
      </c>
      <c r="I47">
        <v>1.3326253698417045</v>
      </c>
      <c r="J47">
        <v>0.95448834491879331</v>
      </c>
    </row>
    <row r="48" spans="1:10" x14ac:dyDescent="0.3">
      <c r="A48" s="4">
        <v>2020</v>
      </c>
      <c r="B48" s="8">
        <v>8514716</v>
      </c>
      <c r="C48" s="8">
        <v>2729138477</v>
      </c>
      <c r="D48" s="8">
        <v>28904189</v>
      </c>
      <c r="E48" s="8">
        <v>3491324361</v>
      </c>
      <c r="F48" s="8">
        <v>1716092998</v>
      </c>
      <c r="H48" s="4">
        <v>2021</v>
      </c>
      <c r="I48">
        <v>1.3631115985883562</v>
      </c>
      <c r="J48">
        <v>1.4189227890106255</v>
      </c>
    </row>
    <row r="49" spans="1:10" x14ac:dyDescent="0.3">
      <c r="A49" s="4">
        <v>2021</v>
      </c>
      <c r="B49" s="8">
        <v>13726318</v>
      </c>
      <c r="C49" s="8">
        <v>8436879039</v>
      </c>
      <c r="D49" s="8">
        <v>46034148</v>
      </c>
      <c r="E49" s="8">
        <v>8123977694</v>
      </c>
      <c r="F49" s="8">
        <v>2667812021</v>
      </c>
      <c r="H49" s="4" t="s">
        <v>55</v>
      </c>
      <c r="I49">
        <v>5.5629659116606156</v>
      </c>
      <c r="J49">
        <v>5.150321069725619</v>
      </c>
    </row>
    <row r="50" spans="1:10" x14ac:dyDescent="0.3">
      <c r="H50" s="7"/>
      <c r="I50" s="7"/>
    </row>
    <row r="81" spans="1:3" x14ac:dyDescent="0.3">
      <c r="A81" t="s">
        <v>56</v>
      </c>
      <c r="B81" t="s">
        <v>59</v>
      </c>
      <c r="C81" t="s">
        <v>60</v>
      </c>
    </row>
    <row r="82" spans="1:3" x14ac:dyDescent="0.3">
      <c r="A82" t="s">
        <v>8</v>
      </c>
      <c r="B82">
        <v>30093690</v>
      </c>
      <c r="C82">
        <v>2309452</v>
      </c>
    </row>
    <row r="83" spans="1:3" x14ac:dyDescent="0.3">
      <c r="A83" t="s">
        <v>14</v>
      </c>
      <c r="B83">
        <v>11085628620</v>
      </c>
      <c r="C83">
        <v>2735377722</v>
      </c>
    </row>
    <row r="84" spans="1:3" x14ac:dyDescent="0.3">
      <c r="A84" t="s">
        <v>15</v>
      </c>
      <c r="B84">
        <v>135862705</v>
      </c>
      <c r="C84">
        <v>12341364</v>
      </c>
    </row>
    <row r="85" spans="1:3" x14ac:dyDescent="0.3">
      <c r="A85" t="s">
        <v>16</v>
      </c>
      <c r="B85">
        <v>1924385210</v>
      </c>
      <c r="C85">
        <v>203102783</v>
      </c>
    </row>
    <row r="86" spans="1:3" x14ac:dyDescent="0.3">
      <c r="A86" t="s">
        <v>17</v>
      </c>
      <c r="B86">
        <v>8182983160</v>
      </c>
      <c r="C86">
        <v>1146441947</v>
      </c>
    </row>
    <row r="87" spans="1:3" x14ac:dyDescent="0.3">
      <c r="A87" t="s">
        <v>18</v>
      </c>
      <c r="B87">
        <v>263671155</v>
      </c>
      <c r="C87">
        <v>40064823</v>
      </c>
    </row>
    <row r="88" spans="1:3" x14ac:dyDescent="0.3">
      <c r="A88" t="s">
        <v>19</v>
      </c>
      <c r="B88">
        <v>2652097415</v>
      </c>
      <c r="C88">
        <v>390863981</v>
      </c>
    </row>
    <row r="89" spans="1:3" x14ac:dyDescent="0.3">
      <c r="A89" t="s">
        <v>20</v>
      </c>
      <c r="B89">
        <v>190957195</v>
      </c>
      <c r="C89">
        <v>19748740</v>
      </c>
    </row>
    <row r="90" spans="1:3" x14ac:dyDescent="0.3">
      <c r="A90" t="s">
        <v>21</v>
      </c>
      <c r="B90">
        <v>6607691310</v>
      </c>
      <c r="C90">
        <v>1542475091</v>
      </c>
    </row>
    <row r="91" spans="1:3" x14ac:dyDescent="0.3">
      <c r="A91" t="s">
        <v>22</v>
      </c>
      <c r="B91">
        <v>335827580</v>
      </c>
      <c r="C91">
        <v>42038126</v>
      </c>
    </row>
    <row r="92" spans="1:3" x14ac:dyDescent="0.3">
      <c r="A92" t="s">
        <v>23</v>
      </c>
      <c r="B92">
        <v>8880629670</v>
      </c>
      <c r="C92">
        <v>945228555</v>
      </c>
    </row>
    <row r="93" spans="1:3" x14ac:dyDescent="0.3">
      <c r="A93" t="s">
        <v>24</v>
      </c>
      <c r="B93">
        <v>5995324170</v>
      </c>
      <c r="C93">
        <v>877898078</v>
      </c>
    </row>
    <row r="94" spans="1:3" x14ac:dyDescent="0.3">
      <c r="A94" t="s">
        <v>25</v>
      </c>
      <c r="B94">
        <v>949759415</v>
      </c>
      <c r="C94">
        <v>79718476</v>
      </c>
    </row>
    <row r="95" spans="1:3" x14ac:dyDescent="0.3">
      <c r="A95" t="s">
        <v>26</v>
      </c>
      <c r="B95">
        <v>691520940</v>
      </c>
      <c r="C95">
        <v>74994997</v>
      </c>
    </row>
    <row r="96" spans="1:3" x14ac:dyDescent="0.3">
      <c r="A96" t="s">
        <v>27</v>
      </c>
      <c r="B96">
        <v>3163419655</v>
      </c>
      <c r="C96">
        <v>442075731</v>
      </c>
    </row>
    <row r="97" spans="1:3" x14ac:dyDescent="0.3">
      <c r="A97" t="s">
        <v>28</v>
      </c>
      <c r="B97">
        <v>14309483705</v>
      </c>
      <c r="C97">
        <v>4666066510</v>
      </c>
    </row>
    <row r="98" spans="1:3" x14ac:dyDescent="0.3">
      <c r="A98" t="s">
        <v>29</v>
      </c>
      <c r="B98">
        <v>3722965235</v>
      </c>
      <c r="C98">
        <v>368489883</v>
      </c>
    </row>
    <row r="99" spans="1:3" x14ac:dyDescent="0.3">
      <c r="A99" t="s">
        <v>30</v>
      </c>
      <c r="B99">
        <v>41145060</v>
      </c>
      <c r="C99">
        <v>3101283</v>
      </c>
    </row>
    <row r="100" spans="1:3" x14ac:dyDescent="0.3">
      <c r="A100" t="s">
        <v>31</v>
      </c>
      <c r="B100">
        <v>2378959</v>
      </c>
      <c r="C100">
        <v>100450</v>
      </c>
    </row>
    <row r="101" spans="1:3" x14ac:dyDescent="0.3">
      <c r="A101" t="s">
        <v>32</v>
      </c>
      <c r="B101">
        <v>8855346445</v>
      </c>
      <c r="C101">
        <v>1816005146</v>
      </c>
    </row>
    <row r="102" spans="1:3" x14ac:dyDescent="0.3">
      <c r="A102" t="s">
        <v>33</v>
      </c>
      <c r="B102">
        <v>22211605955</v>
      </c>
      <c r="C102">
        <v>4637275716</v>
      </c>
    </row>
    <row r="103" spans="1:3" x14ac:dyDescent="0.3">
      <c r="A103" t="s">
        <v>34</v>
      </c>
      <c r="B103">
        <v>168697595</v>
      </c>
      <c r="C103">
        <v>20946878</v>
      </c>
    </row>
    <row r="104" spans="1:3" x14ac:dyDescent="0.3">
      <c r="A104" t="s">
        <v>35</v>
      </c>
      <c r="B104">
        <v>104489275</v>
      </c>
      <c r="C104">
        <v>8186837</v>
      </c>
    </row>
    <row r="105" spans="1:3" x14ac:dyDescent="0.3">
      <c r="A105" t="s">
        <v>36</v>
      </c>
      <c r="B105">
        <v>44806520</v>
      </c>
      <c r="C105">
        <v>3194634</v>
      </c>
    </row>
    <row r="106" spans="1:3" x14ac:dyDescent="0.3">
      <c r="A106" t="s">
        <v>37</v>
      </c>
      <c r="B106">
        <v>106819570</v>
      </c>
      <c r="C106">
        <v>8853252</v>
      </c>
    </row>
    <row r="107" spans="1:3" x14ac:dyDescent="0.3">
      <c r="A107" t="s">
        <v>38</v>
      </c>
      <c r="B107">
        <v>5635070540</v>
      </c>
      <c r="C107">
        <v>1151767186</v>
      </c>
    </row>
    <row r="108" spans="1:3" x14ac:dyDescent="0.3">
      <c r="A108" t="s">
        <v>39</v>
      </c>
      <c r="B108">
        <v>198271590</v>
      </c>
      <c r="C108">
        <v>28782922</v>
      </c>
    </row>
    <row r="109" spans="1:3" x14ac:dyDescent="0.3">
      <c r="A109" t="s">
        <v>40</v>
      </c>
      <c r="B109">
        <v>3251969930</v>
      </c>
      <c r="C109">
        <v>276229753</v>
      </c>
    </row>
    <row r="110" spans="1:3" x14ac:dyDescent="0.3">
      <c r="A110" t="s">
        <v>41</v>
      </c>
      <c r="B110">
        <v>10573570205</v>
      </c>
      <c r="C110">
        <v>2270825280</v>
      </c>
    </row>
    <row r="111" spans="1:3" x14ac:dyDescent="0.3">
      <c r="A111" t="s">
        <v>42</v>
      </c>
      <c r="B111">
        <v>91371445</v>
      </c>
      <c r="C111">
        <v>9228887</v>
      </c>
    </row>
    <row r="112" spans="1:3" x14ac:dyDescent="0.3">
      <c r="A112" t="s">
        <v>43</v>
      </c>
      <c r="B112">
        <v>9459890440</v>
      </c>
      <c r="C112">
        <v>1263913253</v>
      </c>
    </row>
    <row r="113" spans="1:3" x14ac:dyDescent="0.3">
      <c r="A113" t="s">
        <v>44</v>
      </c>
      <c r="B113">
        <v>10436642755</v>
      </c>
      <c r="C113">
        <v>3746306784</v>
      </c>
    </row>
    <row r="114" spans="1:3" x14ac:dyDescent="0.3">
      <c r="A114" t="s">
        <v>45</v>
      </c>
      <c r="B114">
        <v>259478780</v>
      </c>
      <c r="C114">
        <v>16620045</v>
      </c>
    </row>
    <row r="115" spans="1:3" x14ac:dyDescent="0.3">
      <c r="A115" t="s">
        <v>47</v>
      </c>
      <c r="B115">
        <v>1676744905</v>
      </c>
      <c r="C115">
        <v>195414726</v>
      </c>
    </row>
    <row r="116" spans="1:3" x14ac:dyDescent="0.3">
      <c r="A116" t="s">
        <v>46</v>
      </c>
      <c r="B116">
        <v>17433346755</v>
      </c>
      <c r="C116">
        <v>2027415706</v>
      </c>
    </row>
    <row r="117" spans="1:3" x14ac:dyDescent="0.3">
      <c r="A117" t="s">
        <v>48</v>
      </c>
      <c r="B117">
        <v>10131549340</v>
      </c>
      <c r="C117">
        <v>1349028589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48A82-0C99-4EBE-9F7C-DCD0A93C4E6B}">
  <dimension ref="A1:N2875"/>
  <sheetViews>
    <sheetView tabSelected="1" workbookViewId="0">
      <selection activeCell="J25" sqref="J25"/>
    </sheetView>
  </sheetViews>
  <sheetFormatPr defaultRowHeight="14.4" x14ac:dyDescent="0.3"/>
  <cols>
    <col min="1" max="1" width="32.21875" bestFit="1" customWidth="1"/>
    <col min="2" max="2" width="6.88671875" bestFit="1" customWidth="1"/>
    <col min="3" max="3" width="9.44140625" bestFit="1" customWidth="1"/>
    <col min="4" max="4" width="21.77734375" bestFit="1" customWidth="1"/>
    <col min="5" max="5" width="11.77734375" bestFit="1" customWidth="1"/>
    <col min="6" max="6" width="13.5546875" style="6" bestFit="1" customWidth="1"/>
    <col min="7" max="7" width="17" style="5" bestFit="1" customWidth="1"/>
    <col min="8" max="8" width="12.5546875" bestFit="1" customWidth="1"/>
    <col min="9" max="9" width="22.33203125" style="1" bestFit="1" customWidth="1"/>
    <col min="10" max="10" width="29.88671875" bestFit="1" customWidth="1"/>
    <col min="11" max="11" width="31.109375" customWidth="1"/>
    <col min="12" max="12" width="32.5546875" customWidth="1"/>
    <col min="13" max="13" width="18.21875" customWidth="1"/>
    <col min="14" max="14" width="31.5546875" customWidth="1"/>
    <col min="15" max="15" width="16.44140625" customWidth="1"/>
  </cols>
  <sheetData>
    <row r="1" spans="1:12" x14ac:dyDescent="0.3">
      <c r="A1" t="s">
        <v>0</v>
      </c>
      <c r="B1" t="s">
        <v>1</v>
      </c>
      <c r="C1" t="s">
        <v>2</v>
      </c>
      <c r="D1" t="s">
        <v>3</v>
      </c>
      <c r="E1" t="s">
        <v>4</v>
      </c>
      <c r="F1" s="6" t="s">
        <v>5</v>
      </c>
      <c r="G1" s="5" t="s">
        <v>6</v>
      </c>
      <c r="H1" t="s">
        <v>7</v>
      </c>
      <c r="I1" s="1" t="s">
        <v>58</v>
      </c>
    </row>
    <row r="2" spans="1:12" x14ac:dyDescent="0.3">
      <c r="A2" t="s">
        <v>8</v>
      </c>
      <c r="B2">
        <v>2018</v>
      </c>
      <c r="C2">
        <v>1</v>
      </c>
      <c r="D2" t="s">
        <v>9</v>
      </c>
      <c r="E2">
        <v>4200</v>
      </c>
      <c r="F2" s="6">
        <v>1845307.4673655091</v>
      </c>
      <c r="G2" s="5">
        <v>74140</v>
      </c>
      <c r="H2">
        <v>0</v>
      </c>
      <c r="I2" s="1">
        <v>24.889499155186257</v>
      </c>
    </row>
    <row r="3" spans="1:12" x14ac:dyDescent="0.3">
      <c r="A3" t="s">
        <v>8</v>
      </c>
      <c r="B3">
        <v>2018</v>
      </c>
      <c r="C3">
        <v>1</v>
      </c>
      <c r="D3" t="s">
        <v>10</v>
      </c>
      <c r="E3">
        <v>1871</v>
      </c>
      <c r="F3" s="6">
        <v>12138655.299749982</v>
      </c>
      <c r="G3" s="5">
        <v>74140</v>
      </c>
      <c r="H3">
        <v>0</v>
      </c>
      <c r="I3" s="1">
        <v>163.72613029066605</v>
      </c>
    </row>
    <row r="4" spans="1:12" x14ac:dyDescent="0.3">
      <c r="A4" t="s">
        <v>8</v>
      </c>
      <c r="B4">
        <v>2018</v>
      </c>
      <c r="C4">
        <v>1</v>
      </c>
      <c r="D4" t="s">
        <v>11</v>
      </c>
      <c r="E4">
        <v>298</v>
      </c>
      <c r="F4" s="6">
        <v>452507.16864661302</v>
      </c>
      <c r="G4" s="5">
        <v>74140</v>
      </c>
      <c r="H4">
        <v>0</v>
      </c>
      <c r="I4" s="1">
        <v>6.1034147376128001</v>
      </c>
    </row>
    <row r="5" spans="1:12" x14ac:dyDescent="0.3">
      <c r="A5" t="s">
        <v>8</v>
      </c>
      <c r="B5">
        <v>2018</v>
      </c>
      <c r="C5">
        <v>1</v>
      </c>
      <c r="D5" t="s">
        <v>12</v>
      </c>
      <c r="E5">
        <v>33</v>
      </c>
      <c r="F5" s="6">
        <v>10601.419933464953</v>
      </c>
      <c r="G5" s="5">
        <v>74140</v>
      </c>
      <c r="H5">
        <v>0</v>
      </c>
      <c r="I5" s="1">
        <v>0.14299190630516526</v>
      </c>
      <c r="J5" t="s">
        <v>49</v>
      </c>
      <c r="K5" t="s">
        <v>50</v>
      </c>
      <c r="L5" t="s">
        <v>51</v>
      </c>
    </row>
    <row r="6" spans="1:12" x14ac:dyDescent="0.3">
      <c r="A6" t="s">
        <v>8</v>
      </c>
      <c r="B6">
        <v>2018</v>
      </c>
      <c r="C6">
        <v>1</v>
      </c>
      <c r="D6" t="s">
        <v>13</v>
      </c>
      <c r="E6">
        <v>256</v>
      </c>
      <c r="F6" s="6">
        <v>184689.8662902223</v>
      </c>
      <c r="G6" s="5">
        <v>74140</v>
      </c>
      <c r="H6">
        <v>0</v>
      </c>
      <c r="I6" s="1">
        <v>2.4910961193717602</v>
      </c>
      <c r="J6" s="6">
        <f>SUM(excel_use[txn_amount])</f>
        <v>57139595194830.094</v>
      </c>
      <c r="K6" s="5">
        <f>SUM(excel_use[registered_users])</f>
        <v>169805496894</v>
      </c>
      <c r="L6" s="1">
        <f>SUM(J6/K6)</f>
        <v>336.50026789473793</v>
      </c>
    </row>
    <row r="7" spans="1:12" x14ac:dyDescent="0.3">
      <c r="A7" t="s">
        <v>8</v>
      </c>
      <c r="B7">
        <v>2018</v>
      </c>
      <c r="C7">
        <v>2</v>
      </c>
      <c r="D7" t="s">
        <v>9</v>
      </c>
      <c r="E7">
        <v>6735</v>
      </c>
      <c r="F7" s="6">
        <v>2320944.7310744789</v>
      </c>
      <c r="G7" s="5">
        <v>103455</v>
      </c>
      <c r="H7">
        <v>0</v>
      </c>
      <c r="I7" s="1">
        <v>22.434340834899029</v>
      </c>
    </row>
    <row r="8" spans="1:12" x14ac:dyDescent="0.3">
      <c r="A8" t="s">
        <v>8</v>
      </c>
      <c r="B8">
        <v>2018</v>
      </c>
      <c r="C8">
        <v>2</v>
      </c>
      <c r="D8" t="s">
        <v>10</v>
      </c>
      <c r="E8">
        <v>3575</v>
      </c>
      <c r="F8" s="6">
        <v>24511925.231047668</v>
      </c>
      <c r="G8" s="5">
        <v>103455</v>
      </c>
      <c r="H8">
        <v>0</v>
      </c>
      <c r="I8" s="1">
        <v>236.9332099081501</v>
      </c>
    </row>
    <row r="9" spans="1:12" x14ac:dyDescent="0.3">
      <c r="A9" t="s">
        <v>8</v>
      </c>
      <c r="B9">
        <v>2018</v>
      </c>
      <c r="C9">
        <v>2</v>
      </c>
      <c r="D9" t="s">
        <v>11</v>
      </c>
      <c r="E9">
        <v>603</v>
      </c>
      <c r="F9" s="6">
        <v>1024491.0133579008</v>
      </c>
      <c r="G9" s="5">
        <v>103455</v>
      </c>
      <c r="H9">
        <v>0</v>
      </c>
      <c r="I9" s="1">
        <v>9.9027694491121814</v>
      </c>
      <c r="J9" t="s">
        <v>52</v>
      </c>
      <c r="K9" t="s">
        <v>53</v>
      </c>
      <c r="L9" t="s">
        <v>54</v>
      </c>
    </row>
    <row r="10" spans="1:12" x14ac:dyDescent="0.3">
      <c r="A10" t="s">
        <v>8</v>
      </c>
      <c r="B10">
        <v>2018</v>
      </c>
      <c r="C10">
        <v>2</v>
      </c>
      <c r="D10" t="s">
        <v>12</v>
      </c>
      <c r="E10">
        <v>59</v>
      </c>
      <c r="F10" s="6">
        <v>121336.0270987509</v>
      </c>
      <c r="G10" s="5">
        <v>103455</v>
      </c>
      <c r="H10">
        <v>0</v>
      </c>
      <c r="I10" s="1">
        <v>1.1728386941061417</v>
      </c>
      <c r="J10" s="2">
        <f>(SUMIFS(F:F,B:B,2021,C:C,4)-SUMIFS(F:F,B:B,2021,C:C,3))/SUMIFS(F:F,B:B,2021,C:C,3)</f>
        <v>0.26089588537653724</v>
      </c>
      <c r="K10" s="2">
        <f>(SUMIFS(G:G,B:B,2021,C:C,4)-SUMIFS(G:G,B:B,2021,C:C,3))/SUMIFS(G:G,B:B,2021,C:C,3)</f>
        <v>6.9456793587951648E-2</v>
      </c>
      <c r="L10">
        <f>SUM(excel_use[app_opens])/K6</f>
        <v>24.840565465369476</v>
      </c>
    </row>
    <row r="11" spans="1:12" x14ac:dyDescent="0.3">
      <c r="A11" t="s">
        <v>8</v>
      </c>
      <c r="B11">
        <v>2018</v>
      </c>
      <c r="C11">
        <v>2</v>
      </c>
      <c r="D11" t="s">
        <v>13</v>
      </c>
      <c r="E11">
        <v>368</v>
      </c>
      <c r="F11" s="6">
        <v>359838.50537474576</v>
      </c>
      <c r="G11" s="5">
        <v>103455</v>
      </c>
      <c r="H11">
        <v>0</v>
      </c>
      <c r="I11" s="1">
        <v>3.4782128014571141</v>
      </c>
    </row>
    <row r="12" spans="1:12" x14ac:dyDescent="0.3">
      <c r="A12" t="s">
        <v>8</v>
      </c>
      <c r="B12">
        <v>2018</v>
      </c>
      <c r="C12">
        <v>3</v>
      </c>
      <c r="D12" t="s">
        <v>9</v>
      </c>
      <c r="E12">
        <v>8636</v>
      </c>
      <c r="F12" s="6">
        <v>4343504.868377829</v>
      </c>
      <c r="G12" s="5">
        <v>133639</v>
      </c>
      <c r="H12">
        <v>0</v>
      </c>
      <c r="I12" s="1">
        <v>32.50177619091604</v>
      </c>
    </row>
    <row r="13" spans="1:12" x14ac:dyDescent="0.3">
      <c r="A13" t="s">
        <v>8</v>
      </c>
      <c r="B13">
        <v>2018</v>
      </c>
      <c r="C13">
        <v>3</v>
      </c>
      <c r="D13" t="s">
        <v>10</v>
      </c>
      <c r="E13">
        <v>6448</v>
      </c>
      <c r="F13" s="6">
        <v>49270781.541635044</v>
      </c>
      <c r="G13" s="5">
        <v>133639</v>
      </c>
      <c r="H13">
        <v>0</v>
      </c>
      <c r="I13" s="1">
        <v>368.68564971030196</v>
      </c>
    </row>
    <row r="14" spans="1:12" x14ac:dyDescent="0.3">
      <c r="A14" t="s">
        <v>8</v>
      </c>
      <c r="B14">
        <v>2018</v>
      </c>
      <c r="C14">
        <v>3</v>
      </c>
      <c r="D14" t="s">
        <v>11</v>
      </c>
      <c r="E14">
        <v>945</v>
      </c>
      <c r="F14" s="6">
        <v>1627359.8394868043</v>
      </c>
      <c r="G14" s="5">
        <v>133639</v>
      </c>
      <c r="H14">
        <v>0</v>
      </c>
      <c r="I14" s="1">
        <v>12.177282376303356</v>
      </c>
      <c r="J14" s="1"/>
    </row>
    <row r="15" spans="1:12" x14ac:dyDescent="0.3">
      <c r="A15" t="s">
        <v>8</v>
      </c>
      <c r="B15">
        <v>2018</v>
      </c>
      <c r="C15">
        <v>3</v>
      </c>
      <c r="D15" t="s">
        <v>12</v>
      </c>
      <c r="E15">
        <v>42</v>
      </c>
      <c r="F15" s="6">
        <v>1481.4907042806485</v>
      </c>
      <c r="G15" s="5">
        <v>133639</v>
      </c>
      <c r="H15">
        <v>0</v>
      </c>
      <c r="I15" s="1">
        <v>1.1085766163175784E-2</v>
      </c>
    </row>
    <row r="16" spans="1:12" x14ac:dyDescent="0.3">
      <c r="A16" t="s">
        <v>8</v>
      </c>
      <c r="B16">
        <v>2018</v>
      </c>
      <c r="C16">
        <v>3</v>
      </c>
      <c r="D16" t="s">
        <v>13</v>
      </c>
      <c r="E16">
        <v>194</v>
      </c>
      <c r="F16" s="6">
        <v>314343.39410715323</v>
      </c>
      <c r="G16" s="5">
        <v>133639</v>
      </c>
      <c r="H16">
        <v>0</v>
      </c>
      <c r="I16" s="1">
        <v>2.352183076101686</v>
      </c>
    </row>
    <row r="17" spans="1:14" x14ac:dyDescent="0.3">
      <c r="A17" t="s">
        <v>8</v>
      </c>
      <c r="B17">
        <v>2018</v>
      </c>
      <c r="C17">
        <v>4</v>
      </c>
      <c r="D17" t="s">
        <v>9</v>
      </c>
      <c r="E17">
        <v>11517</v>
      </c>
      <c r="F17" s="6">
        <v>5450549.5122943753</v>
      </c>
      <c r="G17" s="5">
        <v>167442</v>
      </c>
      <c r="H17">
        <v>0</v>
      </c>
      <c r="I17" s="1">
        <v>32.551865794092137</v>
      </c>
      <c r="J17" t="s">
        <v>62</v>
      </c>
      <c r="K17" t="s">
        <v>63</v>
      </c>
      <c r="L17" t="s">
        <v>65</v>
      </c>
      <c r="M17" t="s">
        <v>64</v>
      </c>
      <c r="N17" t="s">
        <v>66</v>
      </c>
    </row>
    <row r="18" spans="1:14" x14ac:dyDescent="0.3">
      <c r="A18" t="s">
        <v>8</v>
      </c>
      <c r="B18">
        <v>2018</v>
      </c>
      <c r="C18">
        <v>4</v>
      </c>
      <c r="D18" t="s">
        <v>10</v>
      </c>
      <c r="E18">
        <v>10451</v>
      </c>
      <c r="F18" s="6">
        <v>81001456.97825177</v>
      </c>
      <c r="G18" s="5">
        <v>167442</v>
      </c>
      <c r="H18">
        <v>0</v>
      </c>
      <c r="I18" s="1">
        <v>483.75829826597732</v>
      </c>
      <c r="J18">
        <v>2018</v>
      </c>
      <c r="K18">
        <f>SUMIFS(F:F,B:B,J18)</f>
        <v>1623045396413.8962</v>
      </c>
      <c r="L18" s="7"/>
      <c r="M18">
        <f>SUMIFS(E:E,B:B,J18)</f>
        <v>1080202410</v>
      </c>
    </row>
    <row r="19" spans="1:14" x14ac:dyDescent="0.3">
      <c r="A19" t="s">
        <v>8</v>
      </c>
      <c r="B19">
        <v>2018</v>
      </c>
      <c r="C19">
        <v>4</v>
      </c>
      <c r="D19" t="s">
        <v>11</v>
      </c>
      <c r="E19">
        <v>1421</v>
      </c>
      <c r="F19" s="6">
        <v>3552027.735492656</v>
      </c>
      <c r="G19" s="5">
        <v>167442</v>
      </c>
      <c r="H19">
        <v>0</v>
      </c>
      <c r="I19" s="1">
        <v>21.213481297957838</v>
      </c>
      <c r="J19">
        <v>2019</v>
      </c>
      <c r="K19">
        <f t="shared" ref="K19:K21" si="0">SUMIFS(F:F,B:B,J19)</f>
        <v>6276688133188.9287</v>
      </c>
      <c r="L19" s="7">
        <f>(K19-K18)/K18</f>
        <v>2.8672289432305544</v>
      </c>
      <c r="M19">
        <f t="shared" ref="M19:M21" si="1">SUMIFS(E:E,B:B,J19)</f>
        <v>4079827215</v>
      </c>
      <c r="N19">
        <f>(M19-M18)/M18</f>
        <v>2.7769099357961995</v>
      </c>
    </row>
    <row r="20" spans="1:14" x14ac:dyDescent="0.3">
      <c r="A20" t="s">
        <v>8</v>
      </c>
      <c r="B20">
        <v>2018</v>
      </c>
      <c r="C20">
        <v>4</v>
      </c>
      <c r="D20" t="s">
        <v>12</v>
      </c>
      <c r="E20">
        <v>29</v>
      </c>
      <c r="F20" s="6">
        <v>76035.787739328603</v>
      </c>
      <c r="G20" s="5">
        <v>167442</v>
      </c>
      <c r="H20">
        <v>0</v>
      </c>
      <c r="I20" s="1">
        <v>0.45410224280245459</v>
      </c>
      <c r="J20">
        <v>2020</v>
      </c>
      <c r="K20">
        <f t="shared" si="0"/>
        <v>14641161978060.863</v>
      </c>
      <c r="L20" s="7">
        <f>(K20-K19)/K19</f>
        <v>1.3326253698417045</v>
      </c>
      <c r="M20">
        <f>SUMIFS(E:E,B:B,J20)</f>
        <v>7973974741</v>
      </c>
      <c r="N20">
        <f t="shared" ref="N20:N21" si="2">(M20-M19)/M19</f>
        <v>0.95448834491879331</v>
      </c>
    </row>
    <row r="21" spans="1:14" x14ac:dyDescent="0.3">
      <c r="A21" t="s">
        <v>8</v>
      </c>
      <c r="B21">
        <v>2018</v>
      </c>
      <c r="C21">
        <v>4</v>
      </c>
      <c r="D21" t="s">
        <v>13</v>
      </c>
      <c r="E21">
        <v>340</v>
      </c>
      <c r="F21" s="6">
        <v>468266.06067704351</v>
      </c>
      <c r="G21" s="5">
        <v>167442</v>
      </c>
      <c r="H21">
        <v>0</v>
      </c>
      <c r="I21" s="1">
        <v>2.7965866429990296</v>
      </c>
      <c r="J21">
        <v>2021</v>
      </c>
      <c r="K21">
        <f t="shared" si="0"/>
        <v>34598699687166.465</v>
      </c>
      <c r="L21" s="7">
        <f>(K21-K20)/K20</f>
        <v>1.3631115985883562</v>
      </c>
      <c r="M21">
        <f t="shared" si="1"/>
        <v>19288429220</v>
      </c>
      <c r="N21">
        <f t="shared" si="2"/>
        <v>1.4189227890106255</v>
      </c>
    </row>
    <row r="22" spans="1:14" x14ac:dyDescent="0.3">
      <c r="A22" t="s">
        <v>8</v>
      </c>
      <c r="B22">
        <v>2019</v>
      </c>
      <c r="C22">
        <v>1</v>
      </c>
      <c r="D22" t="s">
        <v>9</v>
      </c>
      <c r="E22">
        <v>15263</v>
      </c>
      <c r="F22" s="6">
        <v>6611459.8729725825</v>
      </c>
      <c r="G22" s="5">
        <v>204556</v>
      </c>
      <c r="H22">
        <v>0</v>
      </c>
      <c r="I22" s="1">
        <v>32.321026383839062</v>
      </c>
    </row>
    <row r="23" spans="1:14" x14ac:dyDescent="0.3">
      <c r="A23" t="s">
        <v>8</v>
      </c>
      <c r="B23">
        <v>2019</v>
      </c>
      <c r="C23">
        <v>1</v>
      </c>
      <c r="D23" t="s">
        <v>10</v>
      </c>
      <c r="E23">
        <v>13119</v>
      </c>
      <c r="F23" s="6">
        <v>91808345.868395522</v>
      </c>
      <c r="G23" s="5">
        <v>204556</v>
      </c>
      <c r="H23">
        <v>0</v>
      </c>
      <c r="I23" s="1">
        <v>448.81766297930898</v>
      </c>
    </row>
    <row r="24" spans="1:14" x14ac:dyDescent="0.3">
      <c r="A24" t="s">
        <v>8</v>
      </c>
      <c r="B24">
        <v>2019</v>
      </c>
      <c r="C24">
        <v>1</v>
      </c>
      <c r="D24" t="s">
        <v>11</v>
      </c>
      <c r="E24">
        <v>1759</v>
      </c>
      <c r="F24" s="6">
        <v>3266589.8469614363</v>
      </c>
      <c r="G24" s="5">
        <v>204556</v>
      </c>
      <c r="H24">
        <v>0</v>
      </c>
      <c r="I24" s="1">
        <v>15.969171507858173</v>
      </c>
    </row>
    <row r="25" spans="1:14" x14ac:dyDescent="0.3">
      <c r="A25" t="s">
        <v>8</v>
      </c>
      <c r="B25">
        <v>2019</v>
      </c>
      <c r="C25">
        <v>1</v>
      </c>
      <c r="D25" t="s">
        <v>12</v>
      </c>
      <c r="E25">
        <v>62</v>
      </c>
      <c r="F25" s="6">
        <v>116250.43671861099</v>
      </c>
      <c r="G25" s="5">
        <v>204556</v>
      </c>
      <c r="H25">
        <v>0</v>
      </c>
      <c r="I25" s="1">
        <v>0.56830616906182652</v>
      </c>
    </row>
    <row r="26" spans="1:14" x14ac:dyDescent="0.3">
      <c r="A26" t="s">
        <v>8</v>
      </c>
      <c r="B26">
        <v>2019</v>
      </c>
      <c r="C26">
        <v>1</v>
      </c>
      <c r="D26" t="s">
        <v>13</v>
      </c>
      <c r="E26">
        <v>283</v>
      </c>
      <c r="F26" s="6">
        <v>497094.64844172052</v>
      </c>
      <c r="G26" s="5">
        <v>204556</v>
      </c>
      <c r="H26">
        <v>0</v>
      </c>
      <c r="I26" s="1">
        <v>2.4301152175527507</v>
      </c>
    </row>
    <row r="27" spans="1:14" x14ac:dyDescent="0.3">
      <c r="A27" t="s">
        <v>8</v>
      </c>
      <c r="B27">
        <v>2019</v>
      </c>
      <c r="C27">
        <v>2</v>
      </c>
      <c r="D27" t="s">
        <v>9</v>
      </c>
      <c r="E27">
        <v>14676</v>
      </c>
      <c r="F27" s="6">
        <v>7242448.2562123332</v>
      </c>
      <c r="G27" s="5">
        <v>239041</v>
      </c>
      <c r="H27">
        <v>579040</v>
      </c>
      <c r="I27" s="1">
        <v>30.297933225732546</v>
      </c>
    </row>
    <row r="28" spans="1:14" x14ac:dyDescent="0.3">
      <c r="A28" t="s">
        <v>8</v>
      </c>
      <c r="B28">
        <v>2019</v>
      </c>
      <c r="C28">
        <v>2</v>
      </c>
      <c r="D28" t="s">
        <v>10</v>
      </c>
      <c r="E28">
        <v>14481</v>
      </c>
      <c r="F28" s="6">
        <v>107525358.66652842</v>
      </c>
      <c r="G28" s="5">
        <v>239041</v>
      </c>
      <c r="H28">
        <v>579040</v>
      </c>
      <c r="I28" s="1">
        <v>449.81973245814908</v>
      </c>
    </row>
    <row r="29" spans="1:14" x14ac:dyDescent="0.3">
      <c r="A29" t="s">
        <v>8</v>
      </c>
      <c r="B29">
        <v>2019</v>
      </c>
      <c r="C29">
        <v>2</v>
      </c>
      <c r="D29" t="s">
        <v>11</v>
      </c>
      <c r="E29">
        <v>4031</v>
      </c>
      <c r="F29" s="6">
        <v>4702152.6166193718</v>
      </c>
      <c r="G29" s="5">
        <v>239041</v>
      </c>
      <c r="H29">
        <v>579040</v>
      </c>
      <c r="I29" s="1">
        <v>19.670904224042619</v>
      </c>
    </row>
    <row r="30" spans="1:14" x14ac:dyDescent="0.3">
      <c r="A30" t="s">
        <v>8</v>
      </c>
      <c r="B30">
        <v>2019</v>
      </c>
      <c r="C30">
        <v>2</v>
      </c>
      <c r="D30" t="s">
        <v>12</v>
      </c>
      <c r="E30">
        <v>124</v>
      </c>
      <c r="F30" s="6">
        <v>113278.91371326067</v>
      </c>
      <c r="G30" s="5">
        <v>239041</v>
      </c>
      <c r="H30">
        <v>579040</v>
      </c>
      <c r="I30" s="1">
        <v>0.47388905548947952</v>
      </c>
    </row>
    <row r="31" spans="1:14" x14ac:dyDescent="0.3">
      <c r="A31" t="s">
        <v>8</v>
      </c>
      <c r="B31">
        <v>2019</v>
      </c>
      <c r="C31">
        <v>2</v>
      </c>
      <c r="D31" t="s">
        <v>13</v>
      </c>
      <c r="E31">
        <v>377</v>
      </c>
      <c r="F31" s="6">
        <v>671471.22258979199</v>
      </c>
      <c r="G31" s="5">
        <v>239041</v>
      </c>
      <c r="H31">
        <v>579040</v>
      </c>
      <c r="I31" s="1">
        <v>2.8090211411004473</v>
      </c>
    </row>
    <row r="32" spans="1:14" x14ac:dyDescent="0.3">
      <c r="A32" t="s">
        <v>8</v>
      </c>
      <c r="B32">
        <v>2019</v>
      </c>
      <c r="C32">
        <v>3</v>
      </c>
      <c r="D32" t="s">
        <v>9</v>
      </c>
      <c r="E32">
        <v>16219</v>
      </c>
      <c r="F32" s="6">
        <v>8171737.7059166813</v>
      </c>
      <c r="G32" s="5">
        <v>263241</v>
      </c>
      <c r="H32">
        <v>1882177</v>
      </c>
      <c r="I32" s="1">
        <v>31.042799966254044</v>
      </c>
    </row>
    <row r="33" spans="1:9" x14ac:dyDescent="0.3">
      <c r="A33" t="s">
        <v>8</v>
      </c>
      <c r="B33">
        <v>2019</v>
      </c>
      <c r="C33">
        <v>3</v>
      </c>
      <c r="D33" t="s">
        <v>10</v>
      </c>
      <c r="E33">
        <v>13767</v>
      </c>
      <c r="F33" s="6">
        <v>101079821.10344616</v>
      </c>
      <c r="G33" s="5">
        <v>263241</v>
      </c>
      <c r="H33">
        <v>1882177</v>
      </c>
      <c r="I33" s="1">
        <v>383.98205865897091</v>
      </c>
    </row>
    <row r="34" spans="1:9" x14ac:dyDescent="0.3">
      <c r="A34" t="s">
        <v>8</v>
      </c>
      <c r="B34">
        <v>2019</v>
      </c>
      <c r="C34">
        <v>3</v>
      </c>
      <c r="D34" t="s">
        <v>11</v>
      </c>
      <c r="E34">
        <v>3519</v>
      </c>
      <c r="F34" s="6">
        <v>4428734.574846684</v>
      </c>
      <c r="G34" s="5">
        <v>263241</v>
      </c>
      <c r="H34">
        <v>1882177</v>
      </c>
      <c r="I34" s="1">
        <v>16.823878403617538</v>
      </c>
    </row>
    <row r="35" spans="1:9" x14ac:dyDescent="0.3">
      <c r="A35" t="s">
        <v>8</v>
      </c>
      <c r="B35">
        <v>2019</v>
      </c>
      <c r="C35">
        <v>3</v>
      </c>
      <c r="D35" t="s">
        <v>12</v>
      </c>
      <c r="E35">
        <v>50</v>
      </c>
      <c r="F35" s="6">
        <v>158857.94315586874</v>
      </c>
      <c r="G35" s="5">
        <v>263241</v>
      </c>
      <c r="H35">
        <v>1882177</v>
      </c>
      <c r="I35" s="1">
        <v>0.60346960829000318</v>
      </c>
    </row>
    <row r="36" spans="1:9" x14ac:dyDescent="0.3">
      <c r="A36" t="s">
        <v>8</v>
      </c>
      <c r="B36">
        <v>2019</v>
      </c>
      <c r="C36">
        <v>3</v>
      </c>
      <c r="D36" t="s">
        <v>13</v>
      </c>
      <c r="E36">
        <v>215</v>
      </c>
      <c r="F36" s="6">
        <v>232624.75992853564</v>
      </c>
      <c r="G36" s="5">
        <v>263241</v>
      </c>
      <c r="H36">
        <v>1882177</v>
      </c>
      <c r="I36" s="1">
        <v>0.88369501684211671</v>
      </c>
    </row>
    <row r="37" spans="1:9" x14ac:dyDescent="0.3">
      <c r="A37" t="s">
        <v>8</v>
      </c>
      <c r="B37">
        <v>2019</v>
      </c>
      <c r="C37">
        <v>4</v>
      </c>
      <c r="D37" t="s">
        <v>10</v>
      </c>
      <c r="E37">
        <v>18128</v>
      </c>
      <c r="F37" s="6">
        <v>121493224.30754511</v>
      </c>
      <c r="G37" s="5">
        <v>285560</v>
      </c>
      <c r="H37">
        <v>1947132</v>
      </c>
      <c r="I37" s="1">
        <v>425.45603133332787</v>
      </c>
    </row>
    <row r="38" spans="1:9" x14ac:dyDescent="0.3">
      <c r="A38" t="s">
        <v>8</v>
      </c>
      <c r="B38">
        <v>2019</v>
      </c>
      <c r="C38">
        <v>4</v>
      </c>
      <c r="D38" t="s">
        <v>9</v>
      </c>
      <c r="E38">
        <v>13851</v>
      </c>
      <c r="F38" s="6">
        <v>9538690.9164246339</v>
      </c>
      <c r="G38" s="5">
        <v>285560</v>
      </c>
      <c r="H38">
        <v>1947132</v>
      </c>
      <c r="I38" s="1">
        <v>33.403456073766051</v>
      </c>
    </row>
    <row r="39" spans="1:9" x14ac:dyDescent="0.3">
      <c r="A39" t="s">
        <v>8</v>
      </c>
      <c r="B39">
        <v>2019</v>
      </c>
      <c r="C39">
        <v>4</v>
      </c>
      <c r="D39" t="s">
        <v>11</v>
      </c>
      <c r="E39">
        <v>2920</v>
      </c>
      <c r="F39" s="6">
        <v>5247500.4879023759</v>
      </c>
      <c r="G39" s="5">
        <v>285560</v>
      </c>
      <c r="H39">
        <v>1947132</v>
      </c>
      <c r="I39" s="1">
        <v>18.376174842073034</v>
      </c>
    </row>
    <row r="40" spans="1:9" x14ac:dyDescent="0.3">
      <c r="A40" t="s">
        <v>8</v>
      </c>
      <c r="B40">
        <v>2019</v>
      </c>
      <c r="C40">
        <v>4</v>
      </c>
      <c r="D40" t="s">
        <v>12</v>
      </c>
      <c r="E40">
        <v>60</v>
      </c>
      <c r="F40" s="6">
        <v>295937.21108988649</v>
      </c>
      <c r="G40" s="5">
        <v>285560</v>
      </c>
      <c r="H40">
        <v>1947132</v>
      </c>
      <c r="I40" s="1">
        <v>1.0363398623402664</v>
      </c>
    </row>
    <row r="41" spans="1:9" x14ac:dyDescent="0.3">
      <c r="A41" t="s">
        <v>8</v>
      </c>
      <c r="B41">
        <v>2019</v>
      </c>
      <c r="C41">
        <v>4</v>
      </c>
      <c r="D41" t="s">
        <v>13</v>
      </c>
      <c r="E41">
        <v>200</v>
      </c>
      <c r="F41" s="6">
        <v>263177.59441588831</v>
      </c>
      <c r="G41" s="5">
        <v>285560</v>
      </c>
      <c r="H41">
        <v>1947132</v>
      </c>
      <c r="I41" s="1">
        <v>0.92161925485322982</v>
      </c>
    </row>
    <row r="42" spans="1:9" x14ac:dyDescent="0.3">
      <c r="A42" t="s">
        <v>8</v>
      </c>
      <c r="B42">
        <v>2020</v>
      </c>
      <c r="C42">
        <v>1</v>
      </c>
      <c r="D42" t="s">
        <v>10</v>
      </c>
      <c r="E42">
        <v>18324</v>
      </c>
      <c r="F42" s="6">
        <v>142332401.79234773</v>
      </c>
      <c r="G42" s="5">
        <v>312048</v>
      </c>
      <c r="H42">
        <v>2129446</v>
      </c>
      <c r="I42" s="1">
        <v>456.12342265403953</v>
      </c>
    </row>
    <row r="43" spans="1:9" x14ac:dyDescent="0.3">
      <c r="A43" t="s">
        <v>8</v>
      </c>
      <c r="B43">
        <v>2020</v>
      </c>
      <c r="C43">
        <v>1</v>
      </c>
      <c r="D43" t="s">
        <v>9</v>
      </c>
      <c r="E43">
        <v>18268</v>
      </c>
      <c r="F43" s="6">
        <v>10850414.023977457</v>
      </c>
      <c r="G43" s="5">
        <v>312048</v>
      </c>
      <c r="H43">
        <v>2129446</v>
      </c>
      <c r="I43" s="1">
        <v>34.771618545792492</v>
      </c>
    </row>
    <row r="44" spans="1:9" x14ac:dyDescent="0.3">
      <c r="A44" t="s">
        <v>8</v>
      </c>
      <c r="B44">
        <v>2020</v>
      </c>
      <c r="C44">
        <v>1</v>
      </c>
      <c r="D44" t="s">
        <v>11</v>
      </c>
      <c r="E44">
        <v>4424</v>
      </c>
      <c r="F44" s="6">
        <v>7752871.558217709</v>
      </c>
      <c r="G44" s="5">
        <v>312048</v>
      </c>
      <c r="H44">
        <v>2129446</v>
      </c>
      <c r="I44" s="1">
        <v>24.845124975060596</v>
      </c>
    </row>
    <row r="45" spans="1:9" x14ac:dyDescent="0.3">
      <c r="A45" t="s">
        <v>8</v>
      </c>
      <c r="B45">
        <v>2020</v>
      </c>
      <c r="C45">
        <v>1</v>
      </c>
      <c r="D45" t="s">
        <v>12</v>
      </c>
      <c r="E45">
        <v>66</v>
      </c>
      <c r="F45" s="6">
        <v>208231.73071652642</v>
      </c>
      <c r="G45" s="5">
        <v>312048</v>
      </c>
      <c r="H45">
        <v>2129446</v>
      </c>
      <c r="I45" s="1">
        <v>0.66730673074823876</v>
      </c>
    </row>
    <row r="46" spans="1:9" x14ac:dyDescent="0.3">
      <c r="A46" t="s">
        <v>8</v>
      </c>
      <c r="B46">
        <v>2020</v>
      </c>
      <c r="C46">
        <v>1</v>
      </c>
      <c r="D46" t="s">
        <v>13</v>
      </c>
      <c r="E46">
        <v>216</v>
      </c>
      <c r="F46" s="6">
        <v>332393.19201521645</v>
      </c>
      <c r="G46" s="5">
        <v>312048</v>
      </c>
      <c r="H46">
        <v>2129446</v>
      </c>
      <c r="I46" s="1">
        <v>1.065198918163925</v>
      </c>
    </row>
    <row r="47" spans="1:9" x14ac:dyDescent="0.3">
      <c r="A47" t="s">
        <v>8</v>
      </c>
      <c r="B47">
        <v>2020</v>
      </c>
      <c r="C47">
        <v>2</v>
      </c>
      <c r="D47" t="s">
        <v>9</v>
      </c>
      <c r="E47">
        <v>38125</v>
      </c>
      <c r="F47" s="6">
        <v>17659622.734188288</v>
      </c>
      <c r="G47" s="5">
        <v>359810</v>
      </c>
      <c r="H47">
        <v>3355792</v>
      </c>
      <c r="I47" s="1">
        <v>49.08041114529415</v>
      </c>
    </row>
    <row r="48" spans="1:9" x14ac:dyDescent="0.3">
      <c r="A48" t="s">
        <v>8</v>
      </c>
      <c r="B48">
        <v>2020</v>
      </c>
      <c r="C48">
        <v>2</v>
      </c>
      <c r="D48" t="s">
        <v>10</v>
      </c>
      <c r="E48">
        <v>20303</v>
      </c>
      <c r="F48" s="6">
        <v>141728757.73517442</v>
      </c>
      <c r="G48" s="5">
        <v>359810</v>
      </c>
      <c r="H48">
        <v>3355792</v>
      </c>
      <c r="I48" s="1">
        <v>393.89888478689983</v>
      </c>
    </row>
    <row r="49" spans="1:9" x14ac:dyDescent="0.3">
      <c r="A49" t="s">
        <v>8</v>
      </c>
      <c r="B49">
        <v>2020</v>
      </c>
      <c r="C49">
        <v>2</v>
      </c>
      <c r="D49" t="s">
        <v>11</v>
      </c>
      <c r="E49">
        <v>4004</v>
      </c>
      <c r="F49" s="6">
        <v>9236375.7404713426</v>
      </c>
      <c r="G49" s="5">
        <v>359810</v>
      </c>
      <c r="H49">
        <v>3355792</v>
      </c>
      <c r="I49" s="1">
        <v>25.67014741244363</v>
      </c>
    </row>
    <row r="50" spans="1:9" x14ac:dyDescent="0.3">
      <c r="A50" t="s">
        <v>8</v>
      </c>
      <c r="B50">
        <v>2020</v>
      </c>
      <c r="C50">
        <v>2</v>
      </c>
      <c r="D50" t="s">
        <v>12</v>
      </c>
      <c r="E50">
        <v>175</v>
      </c>
      <c r="F50" s="6">
        <v>706932.13971158117</v>
      </c>
      <c r="G50" s="5">
        <v>359810</v>
      </c>
      <c r="H50">
        <v>3355792</v>
      </c>
      <c r="I50" s="1">
        <v>1.964737332791143</v>
      </c>
    </row>
    <row r="51" spans="1:9" x14ac:dyDescent="0.3">
      <c r="A51" t="s">
        <v>8</v>
      </c>
      <c r="B51">
        <v>2020</v>
      </c>
      <c r="C51">
        <v>2</v>
      </c>
      <c r="D51" t="s">
        <v>13</v>
      </c>
      <c r="E51">
        <v>355</v>
      </c>
      <c r="F51" s="6">
        <v>313313.06460143271</v>
      </c>
      <c r="G51" s="5">
        <v>359810</v>
      </c>
      <c r="H51">
        <v>3355792</v>
      </c>
      <c r="I51" s="1">
        <v>0.87077364331572971</v>
      </c>
    </row>
    <row r="52" spans="1:9" x14ac:dyDescent="0.3">
      <c r="A52" t="s">
        <v>8</v>
      </c>
      <c r="B52">
        <v>2020</v>
      </c>
      <c r="C52">
        <v>3</v>
      </c>
      <c r="D52" t="s">
        <v>9</v>
      </c>
      <c r="E52">
        <v>59310</v>
      </c>
      <c r="F52" s="6">
        <v>24756220.875469353</v>
      </c>
      <c r="G52" s="5">
        <v>454685</v>
      </c>
      <c r="H52">
        <v>5671215</v>
      </c>
      <c r="I52" s="1">
        <v>54.44697070602583</v>
      </c>
    </row>
    <row r="53" spans="1:9" x14ac:dyDescent="0.3">
      <c r="A53" t="s">
        <v>8</v>
      </c>
      <c r="B53">
        <v>2020</v>
      </c>
      <c r="C53">
        <v>3</v>
      </c>
      <c r="D53" t="s">
        <v>10</v>
      </c>
      <c r="E53">
        <v>40697</v>
      </c>
      <c r="F53" s="6">
        <v>289078946.73123938</v>
      </c>
      <c r="G53" s="5">
        <v>454685</v>
      </c>
      <c r="H53">
        <v>5671215</v>
      </c>
      <c r="I53" s="1">
        <v>635.77849880959207</v>
      </c>
    </row>
    <row r="54" spans="1:9" x14ac:dyDescent="0.3">
      <c r="A54" t="s">
        <v>8</v>
      </c>
      <c r="B54">
        <v>2020</v>
      </c>
      <c r="C54">
        <v>3</v>
      </c>
      <c r="D54" t="s">
        <v>11</v>
      </c>
      <c r="E54">
        <v>16096</v>
      </c>
      <c r="F54" s="6">
        <v>22682992.238478824</v>
      </c>
      <c r="G54" s="5">
        <v>454685</v>
      </c>
      <c r="H54">
        <v>5671215</v>
      </c>
      <c r="I54" s="1">
        <v>49.887267533520621</v>
      </c>
    </row>
    <row r="55" spans="1:9" x14ac:dyDescent="0.3">
      <c r="A55" t="s">
        <v>8</v>
      </c>
      <c r="B55">
        <v>2020</v>
      </c>
      <c r="C55">
        <v>3</v>
      </c>
      <c r="D55" t="s">
        <v>12</v>
      </c>
      <c r="E55">
        <v>572</v>
      </c>
      <c r="F55" s="6">
        <v>961836.71298602736</v>
      </c>
      <c r="G55" s="5">
        <v>454685</v>
      </c>
      <c r="H55">
        <v>5671215</v>
      </c>
      <c r="I55" s="1">
        <v>2.1153913434268281</v>
      </c>
    </row>
    <row r="56" spans="1:9" x14ac:dyDescent="0.3">
      <c r="A56" t="s">
        <v>8</v>
      </c>
      <c r="B56">
        <v>2020</v>
      </c>
      <c r="C56">
        <v>3</v>
      </c>
      <c r="D56" t="s">
        <v>13</v>
      </c>
      <c r="E56">
        <v>808</v>
      </c>
      <c r="F56" s="6">
        <v>539449.77218683623</v>
      </c>
      <c r="G56" s="5">
        <v>454685</v>
      </c>
      <c r="H56">
        <v>5671215</v>
      </c>
      <c r="I56" s="1">
        <v>1.1864252662542996</v>
      </c>
    </row>
    <row r="57" spans="1:9" x14ac:dyDescent="0.3">
      <c r="A57" t="s">
        <v>8</v>
      </c>
      <c r="B57">
        <v>2020</v>
      </c>
      <c r="C57">
        <v>4</v>
      </c>
      <c r="D57" t="s">
        <v>10</v>
      </c>
      <c r="E57">
        <v>81439</v>
      </c>
      <c r="F57" s="6">
        <v>533316526.18149829</v>
      </c>
      <c r="G57" s="5">
        <v>576356</v>
      </c>
      <c r="H57">
        <v>9759288</v>
      </c>
      <c r="I57" s="1">
        <v>925.32484468192968</v>
      </c>
    </row>
    <row r="58" spans="1:9" x14ac:dyDescent="0.3">
      <c r="A58" t="s">
        <v>8</v>
      </c>
      <c r="B58">
        <v>2020</v>
      </c>
      <c r="C58">
        <v>4</v>
      </c>
      <c r="D58" t="s">
        <v>9</v>
      </c>
      <c r="E58">
        <v>80811</v>
      </c>
      <c r="F58" s="6">
        <v>33710030.534383245</v>
      </c>
      <c r="G58" s="5">
        <v>576356</v>
      </c>
      <c r="H58">
        <v>9759288</v>
      </c>
      <c r="I58" s="1">
        <v>58.488209603757475</v>
      </c>
    </row>
    <row r="59" spans="1:9" x14ac:dyDescent="0.3">
      <c r="A59" t="s">
        <v>8</v>
      </c>
      <c r="B59">
        <v>2020</v>
      </c>
      <c r="C59">
        <v>4</v>
      </c>
      <c r="D59" t="s">
        <v>11</v>
      </c>
      <c r="E59">
        <v>59391</v>
      </c>
      <c r="F59" s="6">
        <v>56867468.940003954</v>
      </c>
      <c r="G59" s="5">
        <v>576356</v>
      </c>
      <c r="H59">
        <v>9759288</v>
      </c>
      <c r="I59" s="1">
        <v>98.667262837558653</v>
      </c>
    </row>
    <row r="60" spans="1:9" x14ac:dyDescent="0.3">
      <c r="A60" t="s">
        <v>8</v>
      </c>
      <c r="B60">
        <v>2020</v>
      </c>
      <c r="C60">
        <v>4</v>
      </c>
      <c r="D60" t="s">
        <v>12</v>
      </c>
      <c r="E60">
        <v>965</v>
      </c>
      <c r="F60" s="6">
        <v>1880546.9672370641</v>
      </c>
      <c r="G60" s="5">
        <v>576356</v>
      </c>
      <c r="H60">
        <v>9759288</v>
      </c>
      <c r="I60" s="1">
        <v>3.2628218795970967</v>
      </c>
    </row>
    <row r="61" spans="1:9" x14ac:dyDescent="0.3">
      <c r="A61" t="s">
        <v>8</v>
      </c>
      <c r="B61">
        <v>2020</v>
      </c>
      <c r="C61">
        <v>4</v>
      </c>
      <c r="D61" t="s">
        <v>13</v>
      </c>
      <c r="E61">
        <v>1925</v>
      </c>
      <c r="F61" s="6">
        <v>1508083.6917299272</v>
      </c>
      <c r="G61" s="5">
        <v>576356</v>
      </c>
      <c r="H61">
        <v>9759288</v>
      </c>
      <c r="I61" s="1">
        <v>2.61658365963038</v>
      </c>
    </row>
    <row r="62" spans="1:9" x14ac:dyDescent="0.3">
      <c r="A62" t="s">
        <v>8</v>
      </c>
      <c r="B62">
        <v>2021</v>
      </c>
      <c r="C62">
        <v>1</v>
      </c>
      <c r="D62" t="s">
        <v>10</v>
      </c>
      <c r="E62">
        <v>105458</v>
      </c>
      <c r="F62" s="6">
        <v>665391395.71547794</v>
      </c>
      <c r="G62" s="5">
        <v>635338</v>
      </c>
      <c r="H62">
        <v>11047696</v>
      </c>
      <c r="I62" s="1">
        <v>1047.3030036224466</v>
      </c>
    </row>
    <row r="63" spans="1:9" x14ac:dyDescent="0.3">
      <c r="A63" t="s">
        <v>8</v>
      </c>
      <c r="B63">
        <v>2021</v>
      </c>
      <c r="C63">
        <v>1</v>
      </c>
      <c r="D63" t="s">
        <v>9</v>
      </c>
      <c r="E63">
        <v>84119</v>
      </c>
      <c r="F63" s="6">
        <v>37160922.865069963</v>
      </c>
      <c r="G63" s="5">
        <v>635338</v>
      </c>
      <c r="H63">
        <v>11047696</v>
      </c>
      <c r="I63" s="1">
        <v>58.490005107627695</v>
      </c>
    </row>
    <row r="64" spans="1:9" x14ac:dyDescent="0.3">
      <c r="A64" t="s">
        <v>8</v>
      </c>
      <c r="B64">
        <v>2021</v>
      </c>
      <c r="C64">
        <v>1</v>
      </c>
      <c r="D64" t="s">
        <v>11</v>
      </c>
      <c r="E64">
        <v>53090</v>
      </c>
      <c r="F64" s="6">
        <v>78606979.057514578</v>
      </c>
      <c r="G64" s="5">
        <v>635338</v>
      </c>
      <c r="H64">
        <v>11047696</v>
      </c>
      <c r="I64" s="1">
        <v>123.72466160927661</v>
      </c>
    </row>
    <row r="65" spans="1:9" x14ac:dyDescent="0.3">
      <c r="A65" t="s">
        <v>8</v>
      </c>
      <c r="B65">
        <v>2021</v>
      </c>
      <c r="C65">
        <v>1</v>
      </c>
      <c r="D65" t="s">
        <v>12</v>
      </c>
      <c r="E65">
        <v>884</v>
      </c>
      <c r="F65" s="6">
        <v>1469351.0852598653</v>
      </c>
      <c r="G65" s="5">
        <v>635338</v>
      </c>
      <c r="H65">
        <v>11047696</v>
      </c>
      <c r="I65" s="1">
        <v>2.3127077008771164</v>
      </c>
    </row>
    <row r="66" spans="1:9" x14ac:dyDescent="0.3">
      <c r="A66" t="s">
        <v>8</v>
      </c>
      <c r="B66">
        <v>2021</v>
      </c>
      <c r="C66">
        <v>1</v>
      </c>
      <c r="D66" t="s">
        <v>13</v>
      </c>
      <c r="E66">
        <v>1201</v>
      </c>
      <c r="F66" s="6">
        <v>1077918.6664332279</v>
      </c>
      <c r="G66" s="5">
        <v>635338</v>
      </c>
      <c r="H66">
        <v>11047696</v>
      </c>
      <c r="I66" s="1">
        <v>1.6966066352606455</v>
      </c>
    </row>
    <row r="67" spans="1:9" x14ac:dyDescent="0.3">
      <c r="A67" t="s">
        <v>8</v>
      </c>
      <c r="B67">
        <v>2021</v>
      </c>
      <c r="C67">
        <v>2</v>
      </c>
      <c r="D67" t="s">
        <v>10</v>
      </c>
      <c r="E67">
        <v>132772</v>
      </c>
      <c r="F67" s="6">
        <v>748382044.77073073</v>
      </c>
      <c r="G67" s="5">
        <v>683045</v>
      </c>
      <c r="H67">
        <v>24730453</v>
      </c>
      <c r="I67" s="1">
        <v>1095.6555494451036</v>
      </c>
    </row>
    <row r="68" spans="1:9" x14ac:dyDescent="0.3">
      <c r="A68" t="s">
        <v>8</v>
      </c>
      <c r="B68">
        <v>2021</v>
      </c>
      <c r="C68">
        <v>2</v>
      </c>
      <c r="D68" t="s">
        <v>9</v>
      </c>
      <c r="E68">
        <v>120911</v>
      </c>
      <c r="F68" s="6">
        <v>43691961.262751207</v>
      </c>
      <c r="G68" s="5">
        <v>683045</v>
      </c>
      <c r="H68">
        <v>24730453</v>
      </c>
      <c r="I68" s="1">
        <v>63.966446226458295</v>
      </c>
    </row>
    <row r="69" spans="1:9" x14ac:dyDescent="0.3">
      <c r="A69" t="s">
        <v>8</v>
      </c>
      <c r="B69">
        <v>2021</v>
      </c>
      <c r="C69">
        <v>2</v>
      </c>
      <c r="D69" t="s">
        <v>11</v>
      </c>
      <c r="E69">
        <v>85143</v>
      </c>
      <c r="F69" s="6">
        <v>103707408.50908463</v>
      </c>
      <c r="G69" s="5">
        <v>683045</v>
      </c>
      <c r="H69">
        <v>24730453</v>
      </c>
      <c r="I69" s="1">
        <v>151.83100455912074</v>
      </c>
    </row>
    <row r="70" spans="1:9" x14ac:dyDescent="0.3">
      <c r="A70" t="s">
        <v>8</v>
      </c>
      <c r="B70">
        <v>2021</v>
      </c>
      <c r="C70">
        <v>2</v>
      </c>
      <c r="D70" t="s">
        <v>12</v>
      </c>
      <c r="E70">
        <v>960</v>
      </c>
      <c r="F70" s="6">
        <v>2038521.5136710338</v>
      </c>
      <c r="G70" s="5">
        <v>683045</v>
      </c>
      <c r="H70">
        <v>24730453</v>
      </c>
      <c r="I70" s="1">
        <v>2.9844615123030458</v>
      </c>
    </row>
    <row r="71" spans="1:9" x14ac:dyDescent="0.3">
      <c r="A71" t="s">
        <v>8</v>
      </c>
      <c r="B71">
        <v>2021</v>
      </c>
      <c r="C71">
        <v>2</v>
      </c>
      <c r="D71" t="s">
        <v>13</v>
      </c>
      <c r="E71">
        <v>1628</v>
      </c>
      <c r="F71" s="6">
        <v>1327080.0560584562</v>
      </c>
      <c r="G71" s="5">
        <v>683045</v>
      </c>
      <c r="H71">
        <v>24730453</v>
      </c>
      <c r="I71" s="1">
        <v>1.9428881787560939</v>
      </c>
    </row>
    <row r="72" spans="1:9" x14ac:dyDescent="0.3">
      <c r="A72" t="s">
        <v>8</v>
      </c>
      <c r="B72">
        <v>2021</v>
      </c>
      <c r="C72">
        <v>3</v>
      </c>
      <c r="D72" t="s">
        <v>10</v>
      </c>
      <c r="E72">
        <v>192321</v>
      </c>
      <c r="F72" s="6">
        <v>1077787837.1562996</v>
      </c>
      <c r="G72" s="5">
        <v>736802</v>
      </c>
      <c r="H72">
        <v>34337875</v>
      </c>
      <c r="I72" s="1">
        <v>1462.79168237369</v>
      </c>
    </row>
    <row r="73" spans="1:9" x14ac:dyDescent="0.3">
      <c r="A73" t="s">
        <v>8</v>
      </c>
      <c r="B73">
        <v>2021</v>
      </c>
      <c r="C73">
        <v>3</v>
      </c>
      <c r="D73" t="s">
        <v>9</v>
      </c>
      <c r="E73">
        <v>136010</v>
      </c>
      <c r="F73" s="6">
        <v>51243450.859250553</v>
      </c>
      <c r="G73" s="5">
        <v>736802</v>
      </c>
      <c r="H73">
        <v>34337875</v>
      </c>
      <c r="I73" s="1">
        <v>69.54846873278106</v>
      </c>
    </row>
    <row r="74" spans="1:9" x14ac:dyDescent="0.3">
      <c r="A74" t="s">
        <v>8</v>
      </c>
      <c r="B74">
        <v>2021</v>
      </c>
      <c r="C74">
        <v>3</v>
      </c>
      <c r="D74" t="s">
        <v>11</v>
      </c>
      <c r="E74">
        <v>118340</v>
      </c>
      <c r="F74" s="6">
        <v>176991328.21761328</v>
      </c>
      <c r="G74" s="5">
        <v>736802</v>
      </c>
      <c r="H74">
        <v>34337875</v>
      </c>
      <c r="I74" s="1">
        <v>240.21559145823883</v>
      </c>
    </row>
    <row r="75" spans="1:9" x14ac:dyDescent="0.3">
      <c r="A75" t="s">
        <v>8</v>
      </c>
      <c r="B75">
        <v>2021</v>
      </c>
      <c r="C75">
        <v>3</v>
      </c>
      <c r="D75" t="s">
        <v>12</v>
      </c>
      <c r="E75">
        <v>990</v>
      </c>
      <c r="F75" s="6">
        <v>2351013.4417295731</v>
      </c>
      <c r="G75" s="5">
        <v>736802</v>
      </c>
      <c r="H75">
        <v>34337875</v>
      </c>
      <c r="I75" s="1">
        <v>3.1908347720684431</v>
      </c>
    </row>
    <row r="76" spans="1:9" x14ac:dyDescent="0.3">
      <c r="A76" t="s">
        <v>8</v>
      </c>
      <c r="B76">
        <v>2021</v>
      </c>
      <c r="C76">
        <v>3</v>
      </c>
      <c r="D76" t="s">
        <v>13</v>
      </c>
      <c r="E76">
        <v>2103</v>
      </c>
      <c r="F76" s="6">
        <v>1650766.1267105162</v>
      </c>
      <c r="G76" s="5">
        <v>736802</v>
      </c>
      <c r="H76">
        <v>34337875</v>
      </c>
      <c r="I76" s="1">
        <v>2.2404474020300111</v>
      </c>
    </row>
    <row r="77" spans="1:9" x14ac:dyDescent="0.3">
      <c r="A77" t="s">
        <v>8</v>
      </c>
      <c r="B77">
        <v>2021</v>
      </c>
      <c r="C77">
        <v>4</v>
      </c>
      <c r="D77" t="s">
        <v>10</v>
      </c>
      <c r="E77">
        <v>285778</v>
      </c>
      <c r="F77" s="6">
        <v>1544932663.2744582</v>
      </c>
      <c r="G77" s="5">
        <v>789580</v>
      </c>
      <c r="H77">
        <v>23242010</v>
      </c>
      <c r="I77" s="1">
        <v>1956.6512111178831</v>
      </c>
    </row>
    <row r="78" spans="1:9" x14ac:dyDescent="0.3">
      <c r="A78" t="s">
        <v>8</v>
      </c>
      <c r="B78">
        <v>2021</v>
      </c>
      <c r="C78">
        <v>4</v>
      </c>
      <c r="D78" t="s">
        <v>11</v>
      </c>
      <c r="E78">
        <v>210164</v>
      </c>
      <c r="F78" s="6">
        <v>322842314.62433755</v>
      </c>
      <c r="G78" s="5">
        <v>789580</v>
      </c>
      <c r="H78">
        <v>23242010</v>
      </c>
      <c r="I78" s="1">
        <v>408.87853621461733</v>
      </c>
    </row>
    <row r="79" spans="1:9" x14ac:dyDescent="0.3">
      <c r="A79" t="s">
        <v>8</v>
      </c>
      <c r="B79">
        <v>2021</v>
      </c>
      <c r="C79">
        <v>4</v>
      </c>
      <c r="D79" t="s">
        <v>9</v>
      </c>
      <c r="E79">
        <v>135608</v>
      </c>
      <c r="F79" s="6">
        <v>59243518.114643581</v>
      </c>
      <c r="G79" s="5">
        <v>789580</v>
      </c>
      <c r="H79">
        <v>23242010</v>
      </c>
      <c r="I79" s="1">
        <v>75.031685344922082</v>
      </c>
    </row>
    <row r="80" spans="1:9" x14ac:dyDescent="0.3">
      <c r="A80" t="s">
        <v>8</v>
      </c>
      <c r="B80">
        <v>2021</v>
      </c>
      <c r="C80">
        <v>4</v>
      </c>
      <c r="D80" t="s">
        <v>12</v>
      </c>
      <c r="E80">
        <v>1718</v>
      </c>
      <c r="F80" s="6">
        <v>3137965.1674740678</v>
      </c>
      <c r="G80" s="5">
        <v>789580</v>
      </c>
      <c r="H80">
        <v>23242010</v>
      </c>
      <c r="I80" s="1">
        <v>3.9742206837484075</v>
      </c>
    </row>
    <row r="81" spans="1:9" x14ac:dyDescent="0.3">
      <c r="A81" t="s">
        <v>8</v>
      </c>
      <c r="B81">
        <v>2021</v>
      </c>
      <c r="C81">
        <v>4</v>
      </c>
      <c r="D81" t="s">
        <v>13</v>
      </c>
      <c r="E81">
        <v>2855</v>
      </c>
      <c r="F81" s="6">
        <v>2453640.1427439442</v>
      </c>
      <c r="G81" s="5">
        <v>789580</v>
      </c>
      <c r="H81">
        <v>23242010</v>
      </c>
      <c r="I81" s="1">
        <v>3.1075257006813044</v>
      </c>
    </row>
    <row r="82" spans="1:9" x14ac:dyDescent="0.3">
      <c r="A82" t="s">
        <v>14</v>
      </c>
      <c r="B82">
        <v>2018</v>
      </c>
      <c r="C82">
        <v>1</v>
      </c>
      <c r="D82" t="s">
        <v>9</v>
      </c>
      <c r="E82">
        <v>5027448</v>
      </c>
      <c r="F82" s="6">
        <v>892293975.66985619</v>
      </c>
      <c r="G82" s="5">
        <v>36700950</v>
      </c>
      <c r="H82">
        <v>0</v>
      </c>
      <c r="I82" s="1">
        <v>24.312558003807972</v>
      </c>
    </row>
    <row r="83" spans="1:9" x14ac:dyDescent="0.3">
      <c r="A83" t="s">
        <v>14</v>
      </c>
      <c r="B83">
        <v>2018</v>
      </c>
      <c r="C83">
        <v>1</v>
      </c>
      <c r="D83" t="s">
        <v>10</v>
      </c>
      <c r="E83">
        <v>3049646</v>
      </c>
      <c r="F83" s="6">
        <v>10524250283.178782</v>
      </c>
      <c r="G83" s="5">
        <v>36700950</v>
      </c>
      <c r="H83">
        <v>0</v>
      </c>
      <c r="I83" s="1">
        <v>286.75689003087882</v>
      </c>
    </row>
    <row r="84" spans="1:9" x14ac:dyDescent="0.3">
      <c r="A84" t="s">
        <v>14</v>
      </c>
      <c r="B84">
        <v>2018</v>
      </c>
      <c r="C84">
        <v>1</v>
      </c>
      <c r="D84" t="s">
        <v>11</v>
      </c>
      <c r="E84">
        <v>362672</v>
      </c>
      <c r="F84" s="6">
        <v>247297640.24000686</v>
      </c>
      <c r="G84" s="5">
        <v>36700950</v>
      </c>
      <c r="H84">
        <v>0</v>
      </c>
      <c r="I84" s="1">
        <v>6.7381808983148082</v>
      </c>
    </row>
    <row r="85" spans="1:9" x14ac:dyDescent="0.3">
      <c r="A85" t="s">
        <v>14</v>
      </c>
      <c r="B85">
        <v>2018</v>
      </c>
      <c r="C85">
        <v>1</v>
      </c>
      <c r="D85" t="s">
        <v>12</v>
      </c>
      <c r="E85">
        <v>204305</v>
      </c>
      <c r="F85" s="6">
        <v>44808449.763954401</v>
      </c>
      <c r="G85" s="5">
        <v>36700950</v>
      </c>
      <c r="H85">
        <v>0</v>
      </c>
      <c r="I85" s="1">
        <v>1.2209070818045418</v>
      </c>
    </row>
    <row r="86" spans="1:9" x14ac:dyDescent="0.3">
      <c r="A86" t="s">
        <v>14</v>
      </c>
      <c r="B86">
        <v>2018</v>
      </c>
      <c r="C86">
        <v>1</v>
      </c>
      <c r="D86" t="s">
        <v>13</v>
      </c>
      <c r="E86">
        <v>395514</v>
      </c>
      <c r="F86" s="6">
        <v>287626042.97070497</v>
      </c>
      <c r="G86" s="5">
        <v>36700950</v>
      </c>
      <c r="H86">
        <v>0</v>
      </c>
      <c r="I86" s="1">
        <v>7.8370190136959659</v>
      </c>
    </row>
    <row r="87" spans="1:9" x14ac:dyDescent="0.3">
      <c r="A87" t="s">
        <v>14</v>
      </c>
      <c r="B87">
        <v>2018</v>
      </c>
      <c r="C87">
        <v>2</v>
      </c>
      <c r="D87" t="s">
        <v>9</v>
      </c>
      <c r="E87">
        <v>6456387</v>
      </c>
      <c r="F87" s="6">
        <v>1598591488.4880352</v>
      </c>
      <c r="G87" s="5">
        <v>48427940</v>
      </c>
      <c r="H87">
        <v>0</v>
      </c>
      <c r="I87" s="1">
        <v>33.009694165971858</v>
      </c>
    </row>
    <row r="88" spans="1:9" x14ac:dyDescent="0.3">
      <c r="A88" t="s">
        <v>14</v>
      </c>
      <c r="B88">
        <v>2018</v>
      </c>
      <c r="C88">
        <v>2</v>
      </c>
      <c r="D88" t="s">
        <v>10</v>
      </c>
      <c r="E88">
        <v>4745000</v>
      </c>
      <c r="F88" s="6">
        <v>20451493098.895302</v>
      </c>
      <c r="G88" s="5">
        <v>48427940</v>
      </c>
      <c r="H88">
        <v>0</v>
      </c>
      <c r="I88" s="1">
        <v>422.30772357641689</v>
      </c>
    </row>
    <row r="89" spans="1:9" x14ac:dyDescent="0.3">
      <c r="A89" t="s">
        <v>14</v>
      </c>
      <c r="B89">
        <v>2018</v>
      </c>
      <c r="C89">
        <v>2</v>
      </c>
      <c r="D89" t="s">
        <v>11</v>
      </c>
      <c r="E89">
        <v>604847</v>
      </c>
      <c r="F89" s="6">
        <v>436785223.86032957</v>
      </c>
      <c r="G89" s="5">
        <v>48427940</v>
      </c>
      <c r="H89">
        <v>0</v>
      </c>
      <c r="I89" s="1">
        <v>9.0192815110518758</v>
      </c>
    </row>
    <row r="90" spans="1:9" x14ac:dyDescent="0.3">
      <c r="A90" t="s">
        <v>14</v>
      </c>
      <c r="B90">
        <v>2018</v>
      </c>
      <c r="C90">
        <v>2</v>
      </c>
      <c r="D90" t="s">
        <v>12</v>
      </c>
      <c r="E90">
        <v>225621</v>
      </c>
      <c r="F90" s="6">
        <v>68952114.81374599</v>
      </c>
      <c r="G90" s="5">
        <v>48427940</v>
      </c>
      <c r="H90">
        <v>0</v>
      </c>
      <c r="I90" s="1">
        <v>1.4238085455162039</v>
      </c>
    </row>
    <row r="91" spans="1:9" x14ac:dyDescent="0.3">
      <c r="A91" t="s">
        <v>14</v>
      </c>
      <c r="B91">
        <v>2018</v>
      </c>
      <c r="C91">
        <v>2</v>
      </c>
      <c r="D91" t="s">
        <v>13</v>
      </c>
      <c r="E91">
        <v>322063</v>
      </c>
      <c r="F91" s="6">
        <v>328092346.57565099</v>
      </c>
      <c r="G91" s="5">
        <v>48427940</v>
      </c>
      <c r="H91">
        <v>0</v>
      </c>
      <c r="I91" s="1">
        <v>6.7748565513141994</v>
      </c>
    </row>
    <row r="92" spans="1:9" x14ac:dyDescent="0.3">
      <c r="A92" t="s">
        <v>14</v>
      </c>
      <c r="B92">
        <v>2018</v>
      </c>
      <c r="C92">
        <v>3</v>
      </c>
      <c r="D92" t="s">
        <v>10</v>
      </c>
      <c r="E92">
        <v>16129591</v>
      </c>
      <c r="F92" s="6">
        <v>32738630444.668724</v>
      </c>
      <c r="G92" s="5">
        <v>59703787</v>
      </c>
      <c r="H92">
        <v>0</v>
      </c>
      <c r="I92" s="1">
        <v>548.35098558603534</v>
      </c>
    </row>
    <row r="93" spans="1:9" x14ac:dyDescent="0.3">
      <c r="A93" t="s">
        <v>14</v>
      </c>
      <c r="B93">
        <v>2018</v>
      </c>
      <c r="C93">
        <v>3</v>
      </c>
      <c r="D93" t="s">
        <v>9</v>
      </c>
      <c r="E93">
        <v>7542005</v>
      </c>
      <c r="F93" s="6">
        <v>1949098146.8941927</v>
      </c>
      <c r="G93" s="5">
        <v>59703787</v>
      </c>
      <c r="H93">
        <v>0</v>
      </c>
      <c r="I93" s="1">
        <v>32.646139295890777</v>
      </c>
    </row>
    <row r="94" spans="1:9" x14ac:dyDescent="0.3">
      <c r="A94" t="s">
        <v>14</v>
      </c>
      <c r="B94">
        <v>2018</v>
      </c>
      <c r="C94">
        <v>3</v>
      </c>
      <c r="D94" t="s">
        <v>11</v>
      </c>
      <c r="E94">
        <v>1225416</v>
      </c>
      <c r="F94" s="6">
        <v>685277254.50762117</v>
      </c>
      <c r="G94" s="5">
        <v>59703787</v>
      </c>
      <c r="H94">
        <v>0</v>
      </c>
      <c r="I94" s="1">
        <v>11.477952889447719</v>
      </c>
    </row>
    <row r="95" spans="1:9" x14ac:dyDescent="0.3">
      <c r="A95" t="s">
        <v>14</v>
      </c>
      <c r="B95">
        <v>2018</v>
      </c>
      <c r="C95">
        <v>3</v>
      </c>
      <c r="D95" t="s">
        <v>12</v>
      </c>
      <c r="E95">
        <v>380324</v>
      </c>
      <c r="F95" s="6">
        <v>60790077.574373081</v>
      </c>
      <c r="G95" s="5">
        <v>59703787</v>
      </c>
      <c r="H95">
        <v>0</v>
      </c>
      <c r="I95" s="1">
        <v>1.0181946678587253</v>
      </c>
    </row>
    <row r="96" spans="1:9" x14ac:dyDescent="0.3">
      <c r="A96" t="s">
        <v>14</v>
      </c>
      <c r="B96">
        <v>2018</v>
      </c>
      <c r="C96">
        <v>3</v>
      </c>
      <c r="D96" t="s">
        <v>13</v>
      </c>
      <c r="E96">
        <v>348725</v>
      </c>
      <c r="F96" s="6">
        <v>284248675.5700202</v>
      </c>
      <c r="G96" s="5">
        <v>59703787</v>
      </c>
      <c r="H96">
        <v>0</v>
      </c>
      <c r="I96" s="1">
        <v>4.760982340534281</v>
      </c>
    </row>
    <row r="97" spans="1:9" x14ac:dyDescent="0.3">
      <c r="A97" t="s">
        <v>14</v>
      </c>
      <c r="B97">
        <v>2018</v>
      </c>
      <c r="C97">
        <v>4</v>
      </c>
      <c r="D97" t="s">
        <v>10</v>
      </c>
      <c r="E97">
        <v>17580086</v>
      </c>
      <c r="F97" s="6">
        <v>47011639726.136078</v>
      </c>
      <c r="G97" s="5">
        <v>75431499</v>
      </c>
      <c r="H97">
        <v>0</v>
      </c>
      <c r="I97" s="1">
        <v>623.23618580264565</v>
      </c>
    </row>
    <row r="98" spans="1:9" x14ac:dyDescent="0.3">
      <c r="A98" t="s">
        <v>14</v>
      </c>
      <c r="B98">
        <v>2018</v>
      </c>
      <c r="C98">
        <v>4</v>
      </c>
      <c r="D98" t="s">
        <v>9</v>
      </c>
      <c r="E98">
        <v>9767083</v>
      </c>
      <c r="F98" s="6">
        <v>2418164314.4709568</v>
      </c>
      <c r="G98" s="5">
        <v>75431499</v>
      </c>
      <c r="H98">
        <v>0</v>
      </c>
      <c r="I98" s="1">
        <v>32.057752351851803</v>
      </c>
    </row>
    <row r="99" spans="1:9" x14ac:dyDescent="0.3">
      <c r="A99" t="s">
        <v>14</v>
      </c>
      <c r="B99">
        <v>2018</v>
      </c>
      <c r="C99">
        <v>4</v>
      </c>
      <c r="D99" t="s">
        <v>11</v>
      </c>
      <c r="E99">
        <v>2622131</v>
      </c>
      <c r="F99" s="6">
        <v>1671585888.5682559</v>
      </c>
      <c r="G99" s="5">
        <v>75431499</v>
      </c>
      <c r="H99">
        <v>0</v>
      </c>
      <c r="I99" s="1">
        <v>22.160316455705804</v>
      </c>
    </row>
    <row r="100" spans="1:9" x14ac:dyDescent="0.3">
      <c r="A100" t="s">
        <v>14</v>
      </c>
      <c r="B100">
        <v>2018</v>
      </c>
      <c r="C100">
        <v>4</v>
      </c>
      <c r="D100" t="s">
        <v>12</v>
      </c>
      <c r="E100">
        <v>400837</v>
      </c>
      <c r="F100" s="6">
        <v>57178116.403220683</v>
      </c>
      <c r="G100" s="5">
        <v>75431499</v>
      </c>
      <c r="H100">
        <v>0</v>
      </c>
      <c r="I100" s="1">
        <v>0.75801378948097908</v>
      </c>
    </row>
    <row r="101" spans="1:9" x14ac:dyDescent="0.3">
      <c r="A101" t="s">
        <v>14</v>
      </c>
      <c r="B101">
        <v>2018</v>
      </c>
      <c r="C101">
        <v>4</v>
      </c>
      <c r="D101" t="s">
        <v>13</v>
      </c>
      <c r="E101">
        <v>389411</v>
      </c>
      <c r="F101" s="6">
        <v>315211361.26249415</v>
      </c>
      <c r="G101" s="5">
        <v>75431499</v>
      </c>
      <c r="H101">
        <v>0</v>
      </c>
      <c r="I101" s="1">
        <v>4.1787763128304549</v>
      </c>
    </row>
    <row r="102" spans="1:9" x14ac:dyDescent="0.3">
      <c r="A102" t="s">
        <v>14</v>
      </c>
      <c r="B102">
        <v>2019</v>
      </c>
      <c r="C102">
        <v>1</v>
      </c>
      <c r="D102" t="s">
        <v>10</v>
      </c>
      <c r="E102">
        <v>37420988</v>
      </c>
      <c r="F102" s="6">
        <v>77524329742.259506</v>
      </c>
      <c r="G102" s="5">
        <v>91113209</v>
      </c>
      <c r="H102">
        <v>0</v>
      </c>
      <c r="I102" s="1">
        <v>850.85719834826045</v>
      </c>
    </row>
    <row r="103" spans="1:9" x14ac:dyDescent="0.3">
      <c r="A103" t="s">
        <v>14</v>
      </c>
      <c r="B103">
        <v>2019</v>
      </c>
      <c r="C103">
        <v>1</v>
      </c>
      <c r="D103" t="s">
        <v>9</v>
      </c>
      <c r="E103">
        <v>14022264</v>
      </c>
      <c r="F103" s="6">
        <v>3480641602.3771377</v>
      </c>
      <c r="G103" s="5">
        <v>91113209</v>
      </c>
      <c r="H103">
        <v>0</v>
      </c>
      <c r="I103" s="1">
        <v>38.201284320664612</v>
      </c>
    </row>
    <row r="104" spans="1:9" x14ac:dyDescent="0.3">
      <c r="A104" t="s">
        <v>14</v>
      </c>
      <c r="B104">
        <v>2019</v>
      </c>
      <c r="C104">
        <v>1</v>
      </c>
      <c r="D104" t="s">
        <v>11</v>
      </c>
      <c r="E104">
        <v>5043682</v>
      </c>
      <c r="F104" s="6">
        <v>2423536770.3706346</v>
      </c>
      <c r="G104" s="5">
        <v>91113209</v>
      </c>
      <c r="H104">
        <v>0</v>
      </c>
      <c r="I104" s="1">
        <v>26.599181358771311</v>
      </c>
    </row>
    <row r="105" spans="1:9" x14ac:dyDescent="0.3">
      <c r="A105" t="s">
        <v>14</v>
      </c>
      <c r="B105">
        <v>2019</v>
      </c>
      <c r="C105">
        <v>1</v>
      </c>
      <c r="D105" t="s">
        <v>12</v>
      </c>
      <c r="E105">
        <v>416325</v>
      </c>
      <c r="F105" s="6">
        <v>47150177.529820479</v>
      </c>
      <c r="G105" s="5">
        <v>91113209</v>
      </c>
      <c r="H105">
        <v>0</v>
      </c>
      <c r="I105" s="1">
        <v>0.51749003297447771</v>
      </c>
    </row>
    <row r="106" spans="1:9" x14ac:dyDescent="0.3">
      <c r="A106" t="s">
        <v>14</v>
      </c>
      <c r="B106">
        <v>2019</v>
      </c>
      <c r="C106">
        <v>1</v>
      </c>
      <c r="D106" t="s">
        <v>13</v>
      </c>
      <c r="E106">
        <v>361263</v>
      </c>
      <c r="F106" s="6">
        <v>284937624.53930187</v>
      </c>
      <c r="G106" s="5">
        <v>91113209</v>
      </c>
      <c r="H106">
        <v>0</v>
      </c>
      <c r="I106" s="1">
        <v>3.1272921639638649</v>
      </c>
    </row>
    <row r="107" spans="1:9" x14ac:dyDescent="0.3">
      <c r="A107" t="s">
        <v>14</v>
      </c>
      <c r="B107">
        <v>2019</v>
      </c>
      <c r="C107">
        <v>2</v>
      </c>
      <c r="D107" t="s">
        <v>10</v>
      </c>
      <c r="E107">
        <v>32494402</v>
      </c>
      <c r="F107" s="6">
        <v>103924649232.47021</v>
      </c>
      <c r="G107" s="5">
        <v>103279033</v>
      </c>
      <c r="H107">
        <v>895127761</v>
      </c>
      <c r="I107" s="1">
        <v>1006.2511839404056</v>
      </c>
    </row>
    <row r="108" spans="1:9" x14ac:dyDescent="0.3">
      <c r="A108" t="s">
        <v>14</v>
      </c>
      <c r="B108">
        <v>2019</v>
      </c>
      <c r="C108">
        <v>2</v>
      </c>
      <c r="D108" t="s">
        <v>9</v>
      </c>
      <c r="E108">
        <v>14093964</v>
      </c>
      <c r="F108" s="6">
        <v>4708345387.9101095</v>
      </c>
      <c r="G108" s="5">
        <v>103279033</v>
      </c>
      <c r="H108">
        <v>895127761</v>
      </c>
      <c r="I108" s="1">
        <v>45.588589001507302</v>
      </c>
    </row>
    <row r="109" spans="1:9" x14ac:dyDescent="0.3">
      <c r="A109" t="s">
        <v>14</v>
      </c>
      <c r="B109">
        <v>2019</v>
      </c>
      <c r="C109">
        <v>2</v>
      </c>
      <c r="D109" t="s">
        <v>11</v>
      </c>
      <c r="E109">
        <v>9226537</v>
      </c>
      <c r="F109" s="6">
        <v>4613405202.6819592</v>
      </c>
      <c r="G109" s="5">
        <v>103279033</v>
      </c>
      <c r="H109">
        <v>895127761</v>
      </c>
      <c r="I109" s="1">
        <v>44.66932995666177</v>
      </c>
    </row>
    <row r="110" spans="1:9" x14ac:dyDescent="0.3">
      <c r="A110" t="s">
        <v>14</v>
      </c>
      <c r="B110">
        <v>2019</v>
      </c>
      <c r="C110">
        <v>2</v>
      </c>
      <c r="D110" t="s">
        <v>12</v>
      </c>
      <c r="E110">
        <v>145310</v>
      </c>
      <c r="F110" s="6">
        <v>26626696.771042537</v>
      </c>
      <c r="G110" s="5">
        <v>103279033</v>
      </c>
      <c r="H110">
        <v>895127761</v>
      </c>
      <c r="I110" s="1">
        <v>0.25781318819128118</v>
      </c>
    </row>
    <row r="111" spans="1:9" x14ac:dyDescent="0.3">
      <c r="A111" t="s">
        <v>14</v>
      </c>
      <c r="B111">
        <v>2019</v>
      </c>
      <c r="C111">
        <v>2</v>
      </c>
      <c r="D111" t="s">
        <v>13</v>
      </c>
      <c r="E111">
        <v>448802</v>
      </c>
      <c r="F111" s="6">
        <v>361492238.39664549</v>
      </c>
      <c r="G111" s="5">
        <v>103279033</v>
      </c>
      <c r="H111">
        <v>895127761</v>
      </c>
      <c r="I111" s="1">
        <v>3.5001512688121847</v>
      </c>
    </row>
    <row r="112" spans="1:9" x14ac:dyDescent="0.3">
      <c r="A112" t="s">
        <v>14</v>
      </c>
      <c r="B112">
        <v>2019</v>
      </c>
      <c r="C112">
        <v>3</v>
      </c>
      <c r="D112" t="s">
        <v>10</v>
      </c>
      <c r="E112">
        <v>39023491</v>
      </c>
      <c r="F112" s="6">
        <v>124338645329.51532</v>
      </c>
      <c r="G112" s="5">
        <v>115045623</v>
      </c>
      <c r="H112">
        <v>3420488962</v>
      </c>
      <c r="I112" s="1">
        <v>1080.776843891882</v>
      </c>
    </row>
    <row r="113" spans="1:9" x14ac:dyDescent="0.3">
      <c r="A113" t="s">
        <v>14</v>
      </c>
      <c r="B113">
        <v>2019</v>
      </c>
      <c r="C113">
        <v>3</v>
      </c>
      <c r="D113" t="s">
        <v>9</v>
      </c>
      <c r="E113">
        <v>20147629</v>
      </c>
      <c r="F113" s="6">
        <v>6893984676.5989056</v>
      </c>
      <c r="G113" s="5">
        <v>115045623</v>
      </c>
      <c r="H113">
        <v>3420488962</v>
      </c>
      <c r="I113" s="1">
        <v>59.923919718344308</v>
      </c>
    </row>
    <row r="114" spans="1:9" x14ac:dyDescent="0.3">
      <c r="A114" t="s">
        <v>14</v>
      </c>
      <c r="B114">
        <v>2019</v>
      </c>
      <c r="C114">
        <v>3</v>
      </c>
      <c r="D114" t="s">
        <v>11</v>
      </c>
      <c r="E114">
        <v>16581787</v>
      </c>
      <c r="F114" s="6">
        <v>7887394038.0663691</v>
      </c>
      <c r="G114" s="5">
        <v>115045623</v>
      </c>
      <c r="H114">
        <v>3420488962</v>
      </c>
      <c r="I114" s="1">
        <v>68.558836332837885</v>
      </c>
    </row>
    <row r="115" spans="1:9" x14ac:dyDescent="0.3">
      <c r="A115" t="s">
        <v>14</v>
      </c>
      <c r="B115">
        <v>2019</v>
      </c>
      <c r="C115">
        <v>3</v>
      </c>
      <c r="D115" t="s">
        <v>12</v>
      </c>
      <c r="E115">
        <v>122270</v>
      </c>
      <c r="F115" s="6">
        <v>29778183.027080443</v>
      </c>
      <c r="G115" s="5">
        <v>115045623</v>
      </c>
      <c r="H115">
        <v>3420488962</v>
      </c>
      <c r="I115" s="1">
        <v>0.2588380352990956</v>
      </c>
    </row>
    <row r="116" spans="1:9" x14ac:dyDescent="0.3">
      <c r="A116" t="s">
        <v>14</v>
      </c>
      <c r="B116">
        <v>2019</v>
      </c>
      <c r="C116">
        <v>3</v>
      </c>
      <c r="D116" t="s">
        <v>13</v>
      </c>
      <c r="E116">
        <v>413437</v>
      </c>
      <c r="F116" s="6">
        <v>298142027.58625776</v>
      </c>
      <c r="G116" s="5">
        <v>115045623</v>
      </c>
      <c r="H116">
        <v>3420488962</v>
      </c>
      <c r="I116" s="1">
        <v>2.5915112614606621</v>
      </c>
    </row>
    <row r="117" spans="1:9" x14ac:dyDescent="0.3">
      <c r="A117" t="s">
        <v>14</v>
      </c>
      <c r="B117">
        <v>2019</v>
      </c>
      <c r="C117">
        <v>4</v>
      </c>
      <c r="D117" t="s">
        <v>10</v>
      </c>
      <c r="E117">
        <v>57181511</v>
      </c>
      <c r="F117" s="6">
        <v>178893550050.68753</v>
      </c>
      <c r="G117" s="5">
        <v>129336713</v>
      </c>
      <c r="H117">
        <v>4523216698</v>
      </c>
      <c r="I117" s="1">
        <v>1383.1614079344008</v>
      </c>
    </row>
    <row r="118" spans="1:9" x14ac:dyDescent="0.3">
      <c r="A118" t="s">
        <v>14</v>
      </c>
      <c r="B118">
        <v>2019</v>
      </c>
      <c r="C118">
        <v>4</v>
      </c>
      <c r="D118" t="s">
        <v>11</v>
      </c>
      <c r="E118">
        <v>25122370</v>
      </c>
      <c r="F118" s="6">
        <v>13476303367.50486</v>
      </c>
      <c r="G118" s="5">
        <v>129336713</v>
      </c>
      <c r="H118">
        <v>4523216698</v>
      </c>
      <c r="I118" s="1">
        <v>104.19549913491971</v>
      </c>
    </row>
    <row r="119" spans="1:9" x14ac:dyDescent="0.3">
      <c r="A119" t="s">
        <v>14</v>
      </c>
      <c r="B119">
        <v>2019</v>
      </c>
      <c r="C119">
        <v>4</v>
      </c>
      <c r="D119" t="s">
        <v>9</v>
      </c>
      <c r="E119">
        <v>24469888</v>
      </c>
      <c r="F119" s="6">
        <v>8335168605.6919994</v>
      </c>
      <c r="G119" s="5">
        <v>129336713</v>
      </c>
      <c r="H119">
        <v>4523216698</v>
      </c>
      <c r="I119" s="1">
        <v>64.445495887095873</v>
      </c>
    </row>
    <row r="120" spans="1:9" x14ac:dyDescent="0.3">
      <c r="A120" t="s">
        <v>14</v>
      </c>
      <c r="B120">
        <v>2019</v>
      </c>
      <c r="C120">
        <v>4</v>
      </c>
      <c r="D120" t="s">
        <v>12</v>
      </c>
      <c r="E120">
        <v>105662</v>
      </c>
      <c r="F120" s="6">
        <v>26796571.745749153</v>
      </c>
      <c r="G120" s="5">
        <v>129336713</v>
      </c>
      <c r="H120">
        <v>4523216698</v>
      </c>
      <c r="I120" s="1">
        <v>0.2071845736929247</v>
      </c>
    </row>
    <row r="121" spans="1:9" x14ac:dyDescent="0.3">
      <c r="A121" t="s">
        <v>14</v>
      </c>
      <c r="B121">
        <v>2019</v>
      </c>
      <c r="C121">
        <v>4</v>
      </c>
      <c r="D121" t="s">
        <v>13</v>
      </c>
      <c r="E121">
        <v>338672</v>
      </c>
      <c r="F121" s="6">
        <v>216496893.16102877</v>
      </c>
      <c r="G121" s="5">
        <v>129336713</v>
      </c>
      <c r="H121">
        <v>4523216698</v>
      </c>
      <c r="I121" s="1">
        <v>1.673901308757002</v>
      </c>
    </row>
    <row r="122" spans="1:9" x14ac:dyDescent="0.3">
      <c r="A122" t="s">
        <v>14</v>
      </c>
      <c r="B122">
        <v>2020</v>
      </c>
      <c r="C122">
        <v>1</v>
      </c>
      <c r="D122" t="s">
        <v>10</v>
      </c>
      <c r="E122">
        <v>65452143</v>
      </c>
      <c r="F122" s="6">
        <v>223088554055.04755</v>
      </c>
      <c r="G122" s="5">
        <v>143242660</v>
      </c>
      <c r="H122">
        <v>5351651503</v>
      </c>
      <c r="I122" s="1">
        <v>1557.4170017161616</v>
      </c>
    </row>
    <row r="123" spans="1:9" x14ac:dyDescent="0.3">
      <c r="A123" t="s">
        <v>14</v>
      </c>
      <c r="B123">
        <v>2020</v>
      </c>
      <c r="C123">
        <v>1</v>
      </c>
      <c r="D123" t="s">
        <v>11</v>
      </c>
      <c r="E123">
        <v>31408022</v>
      </c>
      <c r="F123" s="6">
        <v>18603161784.496994</v>
      </c>
      <c r="G123" s="5">
        <v>143242660</v>
      </c>
      <c r="H123">
        <v>5351651503</v>
      </c>
      <c r="I123" s="1">
        <v>129.87165823712709</v>
      </c>
    </row>
    <row r="124" spans="1:9" x14ac:dyDescent="0.3">
      <c r="A124" t="s">
        <v>14</v>
      </c>
      <c r="B124">
        <v>2020</v>
      </c>
      <c r="C124">
        <v>1</v>
      </c>
      <c r="D124" t="s">
        <v>9</v>
      </c>
      <c r="E124">
        <v>30449644</v>
      </c>
      <c r="F124" s="6">
        <v>10813530777.973532</v>
      </c>
      <c r="G124" s="5">
        <v>143242660</v>
      </c>
      <c r="H124">
        <v>5351651503</v>
      </c>
      <c r="I124" s="1">
        <v>75.490993939749032</v>
      </c>
    </row>
    <row r="125" spans="1:9" x14ac:dyDescent="0.3">
      <c r="A125" t="s">
        <v>14</v>
      </c>
      <c r="B125">
        <v>2020</v>
      </c>
      <c r="C125">
        <v>1</v>
      </c>
      <c r="D125" t="s">
        <v>12</v>
      </c>
      <c r="E125">
        <v>75238</v>
      </c>
      <c r="F125" s="6">
        <v>43739133.169823855</v>
      </c>
      <c r="G125" s="5">
        <v>143242660</v>
      </c>
      <c r="H125">
        <v>5351651503</v>
      </c>
      <c r="I125" s="1">
        <v>0.30534990881783303</v>
      </c>
    </row>
    <row r="126" spans="1:9" x14ac:dyDescent="0.3">
      <c r="A126" t="s">
        <v>14</v>
      </c>
      <c r="B126">
        <v>2020</v>
      </c>
      <c r="C126">
        <v>1</v>
      </c>
      <c r="D126" t="s">
        <v>13</v>
      </c>
      <c r="E126">
        <v>292310</v>
      </c>
      <c r="F126" s="6">
        <v>188228538.37489766</v>
      </c>
      <c r="G126" s="5">
        <v>143242660</v>
      </c>
      <c r="H126">
        <v>5351651503</v>
      </c>
      <c r="I126" s="1">
        <v>1.3140536371978686</v>
      </c>
    </row>
    <row r="127" spans="1:9" x14ac:dyDescent="0.3">
      <c r="A127" t="s">
        <v>14</v>
      </c>
      <c r="B127">
        <v>2020</v>
      </c>
      <c r="C127">
        <v>2</v>
      </c>
      <c r="D127" t="s">
        <v>10</v>
      </c>
      <c r="E127">
        <v>73609921</v>
      </c>
      <c r="F127" s="6">
        <v>262731724130.79071</v>
      </c>
      <c r="G127" s="5">
        <v>157516425</v>
      </c>
      <c r="H127">
        <v>5437758678</v>
      </c>
      <c r="I127" s="1">
        <v>1667.9639861734465</v>
      </c>
    </row>
    <row r="128" spans="1:9" x14ac:dyDescent="0.3">
      <c r="A128" t="s">
        <v>14</v>
      </c>
      <c r="B128">
        <v>2020</v>
      </c>
      <c r="C128">
        <v>2</v>
      </c>
      <c r="D128" t="s">
        <v>9</v>
      </c>
      <c r="E128">
        <v>41013987</v>
      </c>
      <c r="F128" s="6">
        <v>16991006436.573467</v>
      </c>
      <c r="G128" s="5">
        <v>157516425</v>
      </c>
      <c r="H128">
        <v>5437758678</v>
      </c>
      <c r="I128" s="1">
        <v>107.8681568387136</v>
      </c>
    </row>
    <row r="129" spans="1:9" x14ac:dyDescent="0.3">
      <c r="A129" t="s">
        <v>14</v>
      </c>
      <c r="B129">
        <v>2020</v>
      </c>
      <c r="C129">
        <v>2</v>
      </c>
      <c r="D129" t="s">
        <v>11</v>
      </c>
      <c r="E129">
        <v>29976765</v>
      </c>
      <c r="F129" s="6">
        <v>22625596525.442692</v>
      </c>
      <c r="G129" s="5">
        <v>157516425</v>
      </c>
      <c r="H129">
        <v>5437758678</v>
      </c>
      <c r="I129" s="1">
        <v>143.63960155547392</v>
      </c>
    </row>
    <row r="130" spans="1:9" x14ac:dyDescent="0.3">
      <c r="A130" t="s">
        <v>14</v>
      </c>
      <c r="B130">
        <v>2020</v>
      </c>
      <c r="C130">
        <v>2</v>
      </c>
      <c r="D130" t="s">
        <v>12</v>
      </c>
      <c r="E130">
        <v>140941</v>
      </c>
      <c r="F130" s="6">
        <v>145274999.15679634</v>
      </c>
      <c r="G130" s="5">
        <v>157516425</v>
      </c>
      <c r="H130">
        <v>5437758678</v>
      </c>
      <c r="I130" s="1">
        <v>0.92228476590169139</v>
      </c>
    </row>
    <row r="131" spans="1:9" x14ac:dyDescent="0.3">
      <c r="A131" t="s">
        <v>14</v>
      </c>
      <c r="B131">
        <v>2020</v>
      </c>
      <c r="C131">
        <v>2</v>
      </c>
      <c r="D131" t="s">
        <v>13</v>
      </c>
      <c r="E131">
        <v>176241</v>
      </c>
      <c r="F131" s="6">
        <v>90087654.600099787</v>
      </c>
      <c r="G131" s="5">
        <v>157516425</v>
      </c>
      <c r="H131">
        <v>5437758678</v>
      </c>
      <c r="I131" s="1">
        <v>0.57192546491643514</v>
      </c>
    </row>
    <row r="132" spans="1:9" x14ac:dyDescent="0.3">
      <c r="A132" t="s">
        <v>14</v>
      </c>
      <c r="B132">
        <v>2020</v>
      </c>
      <c r="C132">
        <v>3</v>
      </c>
      <c r="D132" t="s">
        <v>10</v>
      </c>
      <c r="E132">
        <v>106791894</v>
      </c>
      <c r="F132" s="6">
        <v>406461788252.32056</v>
      </c>
      <c r="G132" s="5">
        <v>172616455</v>
      </c>
      <c r="H132">
        <v>7659304202</v>
      </c>
      <c r="I132" s="1">
        <v>2354.710553245463</v>
      </c>
    </row>
    <row r="133" spans="1:9" x14ac:dyDescent="0.3">
      <c r="A133" t="s">
        <v>14</v>
      </c>
      <c r="B133">
        <v>2020</v>
      </c>
      <c r="C133">
        <v>3</v>
      </c>
      <c r="D133" t="s">
        <v>11</v>
      </c>
      <c r="E133">
        <v>54055557</v>
      </c>
      <c r="F133" s="6">
        <v>40739580213.860519</v>
      </c>
      <c r="G133" s="5">
        <v>172616455</v>
      </c>
      <c r="H133">
        <v>7659304202</v>
      </c>
      <c r="I133" s="1">
        <v>236.01214735791277</v>
      </c>
    </row>
    <row r="134" spans="1:9" x14ac:dyDescent="0.3">
      <c r="A134" t="s">
        <v>14</v>
      </c>
      <c r="B134">
        <v>2020</v>
      </c>
      <c r="C134">
        <v>3</v>
      </c>
      <c r="D134" t="s">
        <v>9</v>
      </c>
      <c r="E134">
        <v>43500067</v>
      </c>
      <c r="F134" s="6">
        <v>19475104674.827175</v>
      </c>
      <c r="G134" s="5">
        <v>172616455</v>
      </c>
      <c r="H134">
        <v>7659304202</v>
      </c>
      <c r="I134" s="1">
        <v>112.82299057078409</v>
      </c>
    </row>
    <row r="135" spans="1:9" x14ac:dyDescent="0.3">
      <c r="A135" t="s">
        <v>14</v>
      </c>
      <c r="B135">
        <v>2020</v>
      </c>
      <c r="C135">
        <v>3</v>
      </c>
      <c r="D135" t="s">
        <v>12</v>
      </c>
      <c r="E135">
        <v>243088</v>
      </c>
      <c r="F135" s="6">
        <v>256074924.71875289</v>
      </c>
      <c r="G135" s="5">
        <v>172616455</v>
      </c>
      <c r="H135">
        <v>7659304202</v>
      </c>
      <c r="I135" s="1">
        <v>1.4834908104140645</v>
      </c>
    </row>
    <row r="136" spans="1:9" x14ac:dyDescent="0.3">
      <c r="A136" t="s">
        <v>14</v>
      </c>
      <c r="B136">
        <v>2020</v>
      </c>
      <c r="C136">
        <v>3</v>
      </c>
      <c r="D136" t="s">
        <v>13</v>
      </c>
      <c r="E136">
        <v>312329</v>
      </c>
      <c r="F136" s="6">
        <v>151582519.18136686</v>
      </c>
      <c r="G136" s="5">
        <v>172616455</v>
      </c>
      <c r="H136">
        <v>7659304202</v>
      </c>
      <c r="I136" s="1">
        <v>0.87814640372128405</v>
      </c>
    </row>
    <row r="137" spans="1:9" x14ac:dyDescent="0.3">
      <c r="A137" t="s">
        <v>14</v>
      </c>
      <c r="B137">
        <v>2020</v>
      </c>
      <c r="C137">
        <v>4</v>
      </c>
      <c r="D137" t="s">
        <v>10</v>
      </c>
      <c r="E137">
        <v>152003791</v>
      </c>
      <c r="F137" s="6">
        <v>566639138543.77075</v>
      </c>
      <c r="G137" s="5">
        <v>187842215</v>
      </c>
      <c r="H137">
        <v>9559863918</v>
      </c>
      <c r="I137" s="1">
        <v>3016.569723391362</v>
      </c>
    </row>
    <row r="138" spans="1:9" x14ac:dyDescent="0.3">
      <c r="A138" t="s">
        <v>14</v>
      </c>
      <c r="B138">
        <v>2020</v>
      </c>
      <c r="C138">
        <v>4</v>
      </c>
      <c r="D138" t="s">
        <v>11</v>
      </c>
      <c r="E138">
        <v>86581460</v>
      </c>
      <c r="F138" s="6">
        <v>66654048149.951683</v>
      </c>
      <c r="G138" s="5">
        <v>187842215</v>
      </c>
      <c r="H138">
        <v>9559863918</v>
      </c>
      <c r="I138" s="1">
        <v>354.84062062381281</v>
      </c>
    </row>
    <row r="139" spans="1:9" x14ac:dyDescent="0.3">
      <c r="A139" t="s">
        <v>14</v>
      </c>
      <c r="B139">
        <v>2020</v>
      </c>
      <c r="C139">
        <v>4</v>
      </c>
      <c r="D139" t="s">
        <v>9</v>
      </c>
      <c r="E139">
        <v>46810304</v>
      </c>
      <c r="F139" s="6">
        <v>20936337211.557747</v>
      </c>
      <c r="G139" s="5">
        <v>187842215</v>
      </c>
      <c r="H139">
        <v>9559863918</v>
      </c>
      <c r="I139" s="1">
        <v>111.45703968385247</v>
      </c>
    </row>
    <row r="140" spans="1:9" x14ac:dyDescent="0.3">
      <c r="A140" t="s">
        <v>14</v>
      </c>
      <c r="B140">
        <v>2020</v>
      </c>
      <c r="C140">
        <v>4</v>
      </c>
      <c r="D140" t="s">
        <v>12</v>
      </c>
      <c r="E140">
        <v>265470</v>
      </c>
      <c r="F140" s="6">
        <v>305168772.45601684</v>
      </c>
      <c r="G140" s="5">
        <v>187842215</v>
      </c>
      <c r="H140">
        <v>9559863918</v>
      </c>
      <c r="I140" s="1">
        <v>1.6246016501456653</v>
      </c>
    </row>
    <row r="141" spans="1:9" x14ac:dyDescent="0.3">
      <c r="A141" t="s">
        <v>14</v>
      </c>
      <c r="B141">
        <v>2020</v>
      </c>
      <c r="C141">
        <v>4</v>
      </c>
      <c r="D141" t="s">
        <v>13</v>
      </c>
      <c r="E141">
        <v>457527</v>
      </c>
      <c r="F141" s="6">
        <v>306853355.59473807</v>
      </c>
      <c r="G141" s="5">
        <v>187842215</v>
      </c>
      <c r="H141">
        <v>9559863918</v>
      </c>
      <c r="I141" s="1">
        <v>1.6335697254993402</v>
      </c>
    </row>
    <row r="142" spans="1:9" x14ac:dyDescent="0.3">
      <c r="A142" t="s">
        <v>14</v>
      </c>
      <c r="B142">
        <v>2021</v>
      </c>
      <c r="C142">
        <v>1</v>
      </c>
      <c r="D142" t="s">
        <v>10</v>
      </c>
      <c r="E142">
        <v>149313738</v>
      </c>
      <c r="F142" s="6">
        <v>580542193013.00183</v>
      </c>
      <c r="G142" s="5">
        <v>202001063</v>
      </c>
      <c r="H142">
        <v>10534803917</v>
      </c>
      <c r="I142" s="1">
        <v>2873.9561287011734</v>
      </c>
    </row>
    <row r="143" spans="1:9" x14ac:dyDescent="0.3">
      <c r="A143" t="s">
        <v>14</v>
      </c>
      <c r="B143">
        <v>2021</v>
      </c>
      <c r="C143">
        <v>1</v>
      </c>
      <c r="D143" t="s">
        <v>11</v>
      </c>
      <c r="E143">
        <v>97920281</v>
      </c>
      <c r="F143" s="6">
        <v>70813192713.434769</v>
      </c>
      <c r="G143" s="5">
        <v>202001063</v>
      </c>
      <c r="H143">
        <v>10534803917</v>
      </c>
      <c r="I143" s="1">
        <v>350.55851519669858</v>
      </c>
    </row>
    <row r="144" spans="1:9" x14ac:dyDescent="0.3">
      <c r="A144" t="s">
        <v>14</v>
      </c>
      <c r="B144">
        <v>2021</v>
      </c>
      <c r="C144">
        <v>1</v>
      </c>
      <c r="D144" t="s">
        <v>9</v>
      </c>
      <c r="E144">
        <v>41940689</v>
      </c>
      <c r="F144" s="6">
        <v>20546424964.144821</v>
      </c>
      <c r="G144" s="5">
        <v>202001063</v>
      </c>
      <c r="H144">
        <v>10534803917</v>
      </c>
      <c r="I144" s="1">
        <v>101.71443981037278</v>
      </c>
    </row>
    <row r="145" spans="1:9" x14ac:dyDescent="0.3">
      <c r="A145" t="s">
        <v>14</v>
      </c>
      <c r="B145">
        <v>2021</v>
      </c>
      <c r="C145">
        <v>1</v>
      </c>
      <c r="D145" t="s">
        <v>12</v>
      </c>
      <c r="E145">
        <v>225355</v>
      </c>
      <c r="F145" s="6">
        <v>270313028.48452014</v>
      </c>
      <c r="G145" s="5">
        <v>202001063</v>
      </c>
      <c r="H145">
        <v>10534803917</v>
      </c>
      <c r="I145" s="1">
        <v>1.3381762673423165</v>
      </c>
    </row>
    <row r="146" spans="1:9" x14ac:dyDescent="0.3">
      <c r="A146" t="s">
        <v>14</v>
      </c>
      <c r="B146">
        <v>2021</v>
      </c>
      <c r="C146">
        <v>1</v>
      </c>
      <c r="D146" t="s">
        <v>13</v>
      </c>
      <c r="E146">
        <v>347907</v>
      </c>
      <c r="F146" s="6">
        <v>272546457.5502677</v>
      </c>
      <c r="G146" s="5">
        <v>202001063</v>
      </c>
      <c r="H146">
        <v>10534803917</v>
      </c>
      <c r="I146" s="1">
        <v>1.3492327886921451</v>
      </c>
    </row>
    <row r="147" spans="1:9" x14ac:dyDescent="0.3">
      <c r="A147" t="s">
        <v>14</v>
      </c>
      <c r="B147">
        <v>2021</v>
      </c>
      <c r="C147">
        <v>2</v>
      </c>
      <c r="D147" t="s">
        <v>10</v>
      </c>
      <c r="E147">
        <v>189614879</v>
      </c>
      <c r="F147" s="6">
        <v>737004484057.43896</v>
      </c>
      <c r="G147" s="5">
        <v>215829955</v>
      </c>
      <c r="H147">
        <v>11491759796</v>
      </c>
      <c r="I147" s="1">
        <v>3414.7460395728617</v>
      </c>
    </row>
    <row r="148" spans="1:9" x14ac:dyDescent="0.3">
      <c r="A148" t="s">
        <v>14</v>
      </c>
      <c r="B148">
        <v>2021</v>
      </c>
      <c r="C148">
        <v>2</v>
      </c>
      <c r="D148" t="s">
        <v>11</v>
      </c>
      <c r="E148">
        <v>112875274</v>
      </c>
      <c r="F148" s="6">
        <v>88512429436.912476</v>
      </c>
      <c r="G148" s="5">
        <v>215829955</v>
      </c>
      <c r="H148">
        <v>11491759796</v>
      </c>
      <c r="I148" s="1">
        <v>410.10261729847684</v>
      </c>
    </row>
    <row r="149" spans="1:9" x14ac:dyDescent="0.3">
      <c r="A149" t="s">
        <v>14</v>
      </c>
      <c r="B149">
        <v>2021</v>
      </c>
      <c r="C149">
        <v>2</v>
      </c>
      <c r="D149" t="s">
        <v>9</v>
      </c>
      <c r="E149">
        <v>49626902</v>
      </c>
      <c r="F149" s="6">
        <v>24646800345.106976</v>
      </c>
      <c r="G149" s="5">
        <v>215829955</v>
      </c>
      <c r="H149">
        <v>11491759796</v>
      </c>
      <c r="I149" s="1">
        <v>114.19545699811212</v>
      </c>
    </row>
    <row r="150" spans="1:9" x14ac:dyDescent="0.3">
      <c r="A150" t="s">
        <v>14</v>
      </c>
      <c r="B150">
        <v>2021</v>
      </c>
      <c r="C150">
        <v>2</v>
      </c>
      <c r="D150" t="s">
        <v>12</v>
      </c>
      <c r="E150">
        <v>243237</v>
      </c>
      <c r="F150" s="6">
        <v>265483044.40124667</v>
      </c>
      <c r="G150" s="5">
        <v>215829955</v>
      </c>
      <c r="H150">
        <v>11491759796</v>
      </c>
      <c r="I150" s="1">
        <v>1.2300565248287554</v>
      </c>
    </row>
    <row r="151" spans="1:9" x14ac:dyDescent="0.3">
      <c r="A151" t="s">
        <v>14</v>
      </c>
      <c r="B151">
        <v>2021</v>
      </c>
      <c r="C151">
        <v>2</v>
      </c>
      <c r="D151" t="s">
        <v>13</v>
      </c>
      <c r="E151">
        <v>406842</v>
      </c>
      <c r="F151" s="6">
        <v>308302224.38560069</v>
      </c>
      <c r="G151" s="5">
        <v>215829955</v>
      </c>
      <c r="H151">
        <v>11491759796</v>
      </c>
      <c r="I151" s="1">
        <v>1.4284496532726456</v>
      </c>
    </row>
    <row r="152" spans="1:9" x14ac:dyDescent="0.3">
      <c r="A152" t="s">
        <v>14</v>
      </c>
      <c r="B152">
        <v>2021</v>
      </c>
      <c r="C152">
        <v>3</v>
      </c>
      <c r="D152" t="s">
        <v>10</v>
      </c>
      <c r="E152">
        <v>221280317</v>
      </c>
      <c r="F152" s="6">
        <v>837841124664.30701</v>
      </c>
      <c r="G152" s="5">
        <v>231658878</v>
      </c>
      <c r="H152">
        <v>13843905669</v>
      </c>
      <c r="I152" s="1">
        <v>3616.7019882756535</v>
      </c>
    </row>
    <row r="153" spans="1:9" x14ac:dyDescent="0.3">
      <c r="A153" t="s">
        <v>14</v>
      </c>
      <c r="B153">
        <v>2021</v>
      </c>
      <c r="C153">
        <v>3</v>
      </c>
      <c r="D153" t="s">
        <v>11</v>
      </c>
      <c r="E153">
        <v>158290953</v>
      </c>
      <c r="F153" s="6">
        <v>118164377968.16754</v>
      </c>
      <c r="G153" s="5">
        <v>231658878</v>
      </c>
      <c r="H153">
        <v>13843905669</v>
      </c>
      <c r="I153" s="1">
        <v>510.07921210845001</v>
      </c>
    </row>
    <row r="154" spans="1:9" x14ac:dyDescent="0.3">
      <c r="A154" t="s">
        <v>14</v>
      </c>
      <c r="B154">
        <v>2021</v>
      </c>
      <c r="C154">
        <v>3</v>
      </c>
      <c r="D154" t="s">
        <v>9</v>
      </c>
      <c r="E154">
        <v>51702350</v>
      </c>
      <c r="F154" s="6">
        <v>27511344958.24361</v>
      </c>
      <c r="G154" s="5">
        <v>231658878</v>
      </c>
      <c r="H154">
        <v>13843905669</v>
      </c>
      <c r="I154" s="1">
        <v>118.75799967503775</v>
      </c>
    </row>
    <row r="155" spans="1:9" x14ac:dyDescent="0.3">
      <c r="A155" t="s">
        <v>14</v>
      </c>
      <c r="B155">
        <v>2021</v>
      </c>
      <c r="C155">
        <v>3</v>
      </c>
      <c r="D155" t="s">
        <v>12</v>
      </c>
      <c r="E155">
        <v>211171</v>
      </c>
      <c r="F155" s="6">
        <v>297239697.83073866</v>
      </c>
      <c r="G155" s="5">
        <v>231658878</v>
      </c>
      <c r="H155">
        <v>13843905669</v>
      </c>
      <c r="I155" s="1">
        <v>1.2830921931286341</v>
      </c>
    </row>
    <row r="156" spans="1:9" x14ac:dyDescent="0.3">
      <c r="A156" t="s">
        <v>14</v>
      </c>
      <c r="B156">
        <v>2021</v>
      </c>
      <c r="C156">
        <v>3</v>
      </c>
      <c r="D156" t="s">
        <v>13</v>
      </c>
      <c r="E156">
        <v>547759</v>
      </c>
      <c r="F156" s="6">
        <v>403948275.56756073</v>
      </c>
      <c r="G156" s="5">
        <v>231658878</v>
      </c>
      <c r="H156">
        <v>13843905669</v>
      </c>
      <c r="I156" s="1">
        <v>1.7437202452804796</v>
      </c>
    </row>
    <row r="157" spans="1:9" x14ac:dyDescent="0.3">
      <c r="A157" t="s">
        <v>14</v>
      </c>
      <c r="B157">
        <v>2021</v>
      </c>
      <c r="C157">
        <v>4</v>
      </c>
      <c r="D157" t="s">
        <v>10</v>
      </c>
      <c r="E157">
        <v>262006450</v>
      </c>
      <c r="F157" s="6">
        <v>971269765249.12817</v>
      </c>
      <c r="G157" s="5">
        <v>247379319</v>
      </c>
      <c r="H157">
        <v>15924893611</v>
      </c>
      <c r="I157" s="1">
        <v>3926.2367168580013</v>
      </c>
    </row>
    <row r="158" spans="1:9" x14ac:dyDescent="0.3">
      <c r="A158" t="s">
        <v>14</v>
      </c>
      <c r="B158">
        <v>2021</v>
      </c>
      <c r="C158">
        <v>4</v>
      </c>
      <c r="D158" t="s">
        <v>11</v>
      </c>
      <c r="E158">
        <v>207538904</v>
      </c>
      <c r="F158" s="6">
        <v>152883933596.5386</v>
      </c>
      <c r="G158" s="5">
        <v>247379319</v>
      </c>
      <c r="H158">
        <v>15924893611</v>
      </c>
      <c r="I158" s="1">
        <v>618.01420674352573</v>
      </c>
    </row>
    <row r="159" spans="1:9" x14ac:dyDescent="0.3">
      <c r="A159" t="s">
        <v>14</v>
      </c>
      <c r="B159">
        <v>2021</v>
      </c>
      <c r="C159">
        <v>4</v>
      </c>
      <c r="D159" t="s">
        <v>9</v>
      </c>
      <c r="E159">
        <v>51762842</v>
      </c>
      <c r="F159" s="6">
        <v>31232784713.985794</v>
      </c>
      <c r="G159" s="5">
        <v>247379319</v>
      </c>
      <c r="H159">
        <v>15924893611</v>
      </c>
      <c r="I159" s="1">
        <v>126.25463130968436</v>
      </c>
    </row>
    <row r="160" spans="1:9" x14ac:dyDescent="0.3">
      <c r="A160" t="s">
        <v>14</v>
      </c>
      <c r="B160">
        <v>2021</v>
      </c>
      <c r="C160">
        <v>4</v>
      </c>
      <c r="D160" t="s">
        <v>12</v>
      </c>
      <c r="E160">
        <v>243951</v>
      </c>
      <c r="F160" s="6">
        <v>332740108.66358811</v>
      </c>
      <c r="G160" s="5">
        <v>247379319</v>
      </c>
      <c r="H160">
        <v>15924893611</v>
      </c>
      <c r="I160" s="1">
        <v>1.3450603308661713</v>
      </c>
    </row>
    <row r="161" spans="1:9" x14ac:dyDescent="0.3">
      <c r="A161" t="s">
        <v>14</v>
      </c>
      <c r="B161">
        <v>2021</v>
      </c>
      <c r="C161">
        <v>4</v>
      </c>
      <c r="D161" t="s">
        <v>13</v>
      </c>
      <c r="E161">
        <v>701856</v>
      </c>
      <c r="F161" s="6">
        <v>545223415.66388321</v>
      </c>
      <c r="G161" s="5">
        <v>247379319</v>
      </c>
      <c r="H161">
        <v>15924893611</v>
      </c>
      <c r="I161" s="1">
        <v>2.2039975607818825</v>
      </c>
    </row>
    <row r="162" spans="1:9" x14ac:dyDescent="0.3">
      <c r="A162" t="s">
        <v>15</v>
      </c>
      <c r="B162">
        <v>2018</v>
      </c>
      <c r="C162">
        <v>1</v>
      </c>
      <c r="D162" t="s">
        <v>9</v>
      </c>
      <c r="E162">
        <v>28729</v>
      </c>
      <c r="F162" s="6">
        <v>5184132.5149343377</v>
      </c>
      <c r="G162" s="5">
        <v>236445</v>
      </c>
      <c r="H162">
        <v>0</v>
      </c>
      <c r="I162" s="1">
        <v>21.925320962314018</v>
      </c>
    </row>
    <row r="163" spans="1:9" x14ac:dyDescent="0.3">
      <c r="A163" t="s">
        <v>15</v>
      </c>
      <c r="B163">
        <v>2018</v>
      </c>
      <c r="C163">
        <v>1</v>
      </c>
      <c r="D163" t="s">
        <v>10</v>
      </c>
      <c r="E163">
        <v>13320</v>
      </c>
      <c r="F163" s="6">
        <v>82889682.724183053</v>
      </c>
      <c r="G163" s="5">
        <v>236445</v>
      </c>
      <c r="H163">
        <v>0</v>
      </c>
      <c r="I163" s="1">
        <v>350.56644346119839</v>
      </c>
    </row>
    <row r="164" spans="1:9" x14ac:dyDescent="0.3">
      <c r="A164" t="s">
        <v>15</v>
      </c>
      <c r="B164">
        <v>2018</v>
      </c>
      <c r="C164">
        <v>1</v>
      </c>
      <c r="D164" t="s">
        <v>11</v>
      </c>
      <c r="E164">
        <v>1042</v>
      </c>
      <c r="F164" s="6">
        <v>2420374.1905855755</v>
      </c>
      <c r="G164" s="5">
        <v>236445</v>
      </c>
      <c r="H164">
        <v>0</v>
      </c>
      <c r="I164" s="1">
        <v>10.236520927004486</v>
      </c>
    </row>
    <row r="165" spans="1:9" x14ac:dyDescent="0.3">
      <c r="A165" t="s">
        <v>15</v>
      </c>
      <c r="B165">
        <v>2018</v>
      </c>
      <c r="C165">
        <v>1</v>
      </c>
      <c r="D165" t="s">
        <v>12</v>
      </c>
      <c r="E165">
        <v>416</v>
      </c>
      <c r="F165" s="6">
        <v>58893.762015330882</v>
      </c>
      <c r="G165" s="5">
        <v>236445</v>
      </c>
      <c r="H165">
        <v>0</v>
      </c>
      <c r="I165" s="1">
        <v>0.24908017515841266</v>
      </c>
    </row>
    <row r="166" spans="1:9" x14ac:dyDescent="0.3">
      <c r="A166" t="s">
        <v>15</v>
      </c>
      <c r="B166">
        <v>2018</v>
      </c>
      <c r="C166">
        <v>1</v>
      </c>
      <c r="D166" t="s">
        <v>13</v>
      </c>
      <c r="E166">
        <v>1990</v>
      </c>
      <c r="F166" s="6">
        <v>1834252.8176908877</v>
      </c>
      <c r="G166" s="5">
        <v>236445</v>
      </c>
      <c r="H166">
        <v>0</v>
      </c>
      <c r="I166" s="1">
        <v>7.7576299676072145</v>
      </c>
    </row>
    <row r="167" spans="1:9" x14ac:dyDescent="0.3">
      <c r="A167" t="s">
        <v>15</v>
      </c>
      <c r="B167">
        <v>2018</v>
      </c>
      <c r="C167">
        <v>2</v>
      </c>
      <c r="D167" t="s">
        <v>9</v>
      </c>
      <c r="E167">
        <v>50700</v>
      </c>
      <c r="F167" s="6">
        <v>10468878.537107183</v>
      </c>
      <c r="G167" s="5">
        <v>361713</v>
      </c>
      <c r="H167">
        <v>0</v>
      </c>
      <c r="I167" s="1">
        <v>28.942500095675804</v>
      </c>
    </row>
    <row r="168" spans="1:9" x14ac:dyDescent="0.3">
      <c r="A168" t="s">
        <v>15</v>
      </c>
      <c r="B168">
        <v>2018</v>
      </c>
      <c r="C168">
        <v>2</v>
      </c>
      <c r="D168" t="s">
        <v>10</v>
      </c>
      <c r="E168">
        <v>26477</v>
      </c>
      <c r="F168" s="6">
        <v>181576281.19464755</v>
      </c>
      <c r="G168" s="5">
        <v>361713</v>
      </c>
      <c r="H168">
        <v>0</v>
      </c>
      <c r="I168" s="1">
        <v>501.98992348809014</v>
      </c>
    </row>
    <row r="169" spans="1:9" x14ac:dyDescent="0.3">
      <c r="A169" t="s">
        <v>15</v>
      </c>
      <c r="B169">
        <v>2018</v>
      </c>
      <c r="C169">
        <v>2</v>
      </c>
      <c r="D169" t="s">
        <v>11</v>
      </c>
      <c r="E169">
        <v>2378</v>
      </c>
      <c r="F169" s="6">
        <v>4718953.4395610113</v>
      </c>
      <c r="G169" s="5">
        <v>361713</v>
      </c>
      <c r="H169">
        <v>0</v>
      </c>
      <c r="I169" s="1">
        <v>13.046126181699334</v>
      </c>
    </row>
    <row r="170" spans="1:9" x14ac:dyDescent="0.3">
      <c r="A170" t="s">
        <v>15</v>
      </c>
      <c r="B170">
        <v>2018</v>
      </c>
      <c r="C170">
        <v>2</v>
      </c>
      <c r="D170" t="s">
        <v>12</v>
      </c>
      <c r="E170">
        <v>559</v>
      </c>
      <c r="F170" s="6">
        <v>363761.80159549194</v>
      </c>
      <c r="G170" s="5">
        <v>361713</v>
      </c>
      <c r="H170">
        <v>0</v>
      </c>
      <c r="I170" s="1">
        <v>1.0056641635647376</v>
      </c>
    </row>
    <row r="171" spans="1:9" x14ac:dyDescent="0.3">
      <c r="A171" t="s">
        <v>15</v>
      </c>
      <c r="B171">
        <v>2018</v>
      </c>
      <c r="C171">
        <v>2</v>
      </c>
      <c r="D171" t="s">
        <v>13</v>
      </c>
      <c r="E171">
        <v>2043</v>
      </c>
      <c r="F171" s="6">
        <v>1842317.3691352482</v>
      </c>
      <c r="G171" s="5">
        <v>361713</v>
      </c>
      <c r="H171">
        <v>0</v>
      </c>
      <c r="I171" s="1">
        <v>5.0933125686255352</v>
      </c>
    </row>
    <row r="172" spans="1:9" x14ac:dyDescent="0.3">
      <c r="A172" t="s">
        <v>15</v>
      </c>
      <c r="B172">
        <v>2018</v>
      </c>
      <c r="C172">
        <v>3</v>
      </c>
      <c r="D172" t="s">
        <v>9</v>
      </c>
      <c r="E172">
        <v>74122</v>
      </c>
      <c r="F172" s="6">
        <v>15997565.906016497</v>
      </c>
      <c r="G172" s="5">
        <v>505142</v>
      </c>
      <c r="H172">
        <v>0</v>
      </c>
      <c r="I172" s="1">
        <v>31.669443257572123</v>
      </c>
    </row>
    <row r="173" spans="1:9" x14ac:dyDescent="0.3">
      <c r="A173" t="s">
        <v>15</v>
      </c>
      <c r="B173">
        <v>2018</v>
      </c>
      <c r="C173">
        <v>3</v>
      </c>
      <c r="D173" t="s">
        <v>10</v>
      </c>
      <c r="E173">
        <v>49740</v>
      </c>
      <c r="F173" s="6">
        <v>308106303.45342577</v>
      </c>
      <c r="G173" s="5">
        <v>505142</v>
      </c>
      <c r="H173">
        <v>0</v>
      </c>
      <c r="I173" s="1">
        <v>609.93998411026155</v>
      </c>
    </row>
    <row r="174" spans="1:9" x14ac:dyDescent="0.3">
      <c r="A174" t="s">
        <v>15</v>
      </c>
      <c r="B174">
        <v>2018</v>
      </c>
      <c r="C174">
        <v>3</v>
      </c>
      <c r="D174" t="s">
        <v>11</v>
      </c>
      <c r="E174">
        <v>4738</v>
      </c>
      <c r="F174" s="6">
        <v>5505694.5679134289</v>
      </c>
      <c r="G174" s="5">
        <v>505142</v>
      </c>
      <c r="H174">
        <v>0</v>
      </c>
      <c r="I174" s="1">
        <v>10.899300727148859</v>
      </c>
    </row>
    <row r="175" spans="1:9" x14ac:dyDescent="0.3">
      <c r="A175" t="s">
        <v>15</v>
      </c>
      <c r="B175">
        <v>2018</v>
      </c>
      <c r="C175">
        <v>3</v>
      </c>
      <c r="D175" t="s">
        <v>12</v>
      </c>
      <c r="E175">
        <v>507</v>
      </c>
      <c r="F175" s="6">
        <v>72133.845254878004</v>
      </c>
      <c r="G175" s="5">
        <v>505142</v>
      </c>
      <c r="H175">
        <v>0</v>
      </c>
      <c r="I175" s="1">
        <v>0.14279914411171116</v>
      </c>
    </row>
    <row r="176" spans="1:9" x14ac:dyDescent="0.3">
      <c r="A176" t="s">
        <v>15</v>
      </c>
      <c r="B176">
        <v>2018</v>
      </c>
      <c r="C176">
        <v>3</v>
      </c>
      <c r="D176" t="s">
        <v>13</v>
      </c>
      <c r="E176">
        <v>2039</v>
      </c>
      <c r="F176" s="6">
        <v>2044708.9687807972</v>
      </c>
      <c r="G176" s="5">
        <v>505142</v>
      </c>
      <c r="H176">
        <v>0</v>
      </c>
      <c r="I176" s="1">
        <v>4.0477904604661603</v>
      </c>
    </row>
    <row r="177" spans="1:9" x14ac:dyDescent="0.3">
      <c r="A177" t="s">
        <v>15</v>
      </c>
      <c r="B177">
        <v>2018</v>
      </c>
      <c r="C177">
        <v>4</v>
      </c>
      <c r="D177" t="s">
        <v>9</v>
      </c>
      <c r="E177">
        <v>97751</v>
      </c>
      <c r="F177" s="6">
        <v>20662691.882313278</v>
      </c>
      <c r="G177" s="5">
        <v>680372</v>
      </c>
      <c r="H177">
        <v>0</v>
      </c>
      <c r="I177" s="1">
        <v>30.369697580607781</v>
      </c>
    </row>
    <row r="178" spans="1:9" x14ac:dyDescent="0.3">
      <c r="A178" t="s">
        <v>15</v>
      </c>
      <c r="B178">
        <v>2018</v>
      </c>
      <c r="C178">
        <v>4</v>
      </c>
      <c r="D178" t="s">
        <v>10</v>
      </c>
      <c r="E178">
        <v>68169</v>
      </c>
      <c r="F178" s="6">
        <v>468831493.23280358</v>
      </c>
      <c r="G178" s="5">
        <v>680372</v>
      </c>
      <c r="H178">
        <v>0</v>
      </c>
      <c r="I178" s="1">
        <v>689.08111038197274</v>
      </c>
    </row>
    <row r="179" spans="1:9" x14ac:dyDescent="0.3">
      <c r="A179" t="s">
        <v>15</v>
      </c>
      <c r="B179">
        <v>2018</v>
      </c>
      <c r="C179">
        <v>4</v>
      </c>
      <c r="D179" t="s">
        <v>11</v>
      </c>
      <c r="E179">
        <v>7726</v>
      </c>
      <c r="F179" s="6">
        <v>11998974.1040326</v>
      </c>
      <c r="G179" s="5">
        <v>680372</v>
      </c>
      <c r="H179">
        <v>0</v>
      </c>
      <c r="I179" s="1">
        <v>17.635902277037562</v>
      </c>
    </row>
    <row r="180" spans="1:9" x14ac:dyDescent="0.3">
      <c r="A180" t="s">
        <v>15</v>
      </c>
      <c r="B180">
        <v>2018</v>
      </c>
      <c r="C180">
        <v>4</v>
      </c>
      <c r="D180" t="s">
        <v>12</v>
      </c>
      <c r="E180">
        <v>561</v>
      </c>
      <c r="F180" s="6">
        <v>100597.90379906222</v>
      </c>
      <c r="G180" s="5">
        <v>680372</v>
      </c>
      <c r="H180">
        <v>0</v>
      </c>
      <c r="I180" s="1">
        <v>0.14785720723231147</v>
      </c>
    </row>
    <row r="181" spans="1:9" x14ac:dyDescent="0.3">
      <c r="A181" t="s">
        <v>15</v>
      </c>
      <c r="B181">
        <v>2018</v>
      </c>
      <c r="C181">
        <v>4</v>
      </c>
      <c r="D181" t="s">
        <v>13</v>
      </c>
      <c r="E181">
        <v>2222</v>
      </c>
      <c r="F181" s="6">
        <v>2446271.9688117937</v>
      </c>
      <c r="G181" s="5">
        <v>680372</v>
      </c>
      <c r="H181">
        <v>0</v>
      </c>
      <c r="I181" s="1">
        <v>3.5954918321327063</v>
      </c>
    </row>
    <row r="182" spans="1:9" x14ac:dyDescent="0.3">
      <c r="A182" t="s">
        <v>15</v>
      </c>
      <c r="B182">
        <v>2019</v>
      </c>
      <c r="C182">
        <v>1</v>
      </c>
      <c r="D182" t="s">
        <v>9</v>
      </c>
      <c r="E182">
        <v>121303</v>
      </c>
      <c r="F182" s="6">
        <v>26796894.998233315</v>
      </c>
      <c r="G182" s="5">
        <v>846527</v>
      </c>
      <c r="H182">
        <v>0</v>
      </c>
      <c r="I182" s="1">
        <v>31.6550978270431</v>
      </c>
    </row>
    <row r="183" spans="1:9" x14ac:dyDescent="0.3">
      <c r="A183" t="s">
        <v>15</v>
      </c>
      <c r="B183">
        <v>2019</v>
      </c>
      <c r="C183">
        <v>1</v>
      </c>
      <c r="D183" t="s">
        <v>10</v>
      </c>
      <c r="E183">
        <v>93494</v>
      </c>
      <c r="F183" s="6">
        <v>568554821.44563174</v>
      </c>
      <c r="G183" s="5">
        <v>846527</v>
      </c>
      <c r="H183">
        <v>0</v>
      </c>
      <c r="I183" s="1">
        <v>671.6322355289692</v>
      </c>
    </row>
    <row r="184" spans="1:9" x14ac:dyDescent="0.3">
      <c r="A184" t="s">
        <v>15</v>
      </c>
      <c r="B184">
        <v>2019</v>
      </c>
      <c r="C184">
        <v>1</v>
      </c>
      <c r="D184" t="s">
        <v>11</v>
      </c>
      <c r="E184">
        <v>9214</v>
      </c>
      <c r="F184" s="6">
        <v>11727218.401334248</v>
      </c>
      <c r="G184" s="5">
        <v>846527</v>
      </c>
      <c r="H184">
        <v>0</v>
      </c>
      <c r="I184" s="1">
        <v>13.853330610050534</v>
      </c>
    </row>
    <row r="185" spans="1:9" x14ac:dyDescent="0.3">
      <c r="A185" t="s">
        <v>15</v>
      </c>
      <c r="B185">
        <v>2019</v>
      </c>
      <c r="C185">
        <v>1</v>
      </c>
      <c r="D185" t="s">
        <v>12</v>
      </c>
      <c r="E185">
        <v>256</v>
      </c>
      <c r="F185" s="6">
        <v>140622.87093631705</v>
      </c>
      <c r="G185" s="5">
        <v>846527</v>
      </c>
      <c r="H185">
        <v>0</v>
      </c>
      <c r="I185" s="1">
        <v>0.16611740787513812</v>
      </c>
    </row>
    <row r="186" spans="1:9" x14ac:dyDescent="0.3">
      <c r="A186" t="s">
        <v>15</v>
      </c>
      <c r="B186">
        <v>2019</v>
      </c>
      <c r="C186">
        <v>1</v>
      </c>
      <c r="D186" t="s">
        <v>13</v>
      </c>
      <c r="E186">
        <v>2239</v>
      </c>
      <c r="F186" s="6">
        <v>2730548.5978140826</v>
      </c>
      <c r="G186" s="5">
        <v>846527</v>
      </c>
      <c r="H186">
        <v>0</v>
      </c>
      <c r="I186" s="1">
        <v>3.2255894942678527</v>
      </c>
    </row>
    <row r="187" spans="1:9" x14ac:dyDescent="0.3">
      <c r="A187" t="s">
        <v>15</v>
      </c>
      <c r="B187">
        <v>2019</v>
      </c>
      <c r="C187">
        <v>2</v>
      </c>
      <c r="D187" t="s">
        <v>9</v>
      </c>
      <c r="E187">
        <v>131988</v>
      </c>
      <c r="F187" s="6">
        <v>30420803.412712339</v>
      </c>
      <c r="G187" s="5">
        <v>1054735</v>
      </c>
      <c r="H187">
        <v>5531603</v>
      </c>
      <c r="I187" s="1">
        <v>28.842129456889491</v>
      </c>
    </row>
    <row r="188" spans="1:9" x14ac:dyDescent="0.3">
      <c r="A188" t="s">
        <v>15</v>
      </c>
      <c r="B188">
        <v>2019</v>
      </c>
      <c r="C188">
        <v>2</v>
      </c>
      <c r="D188" t="s">
        <v>10</v>
      </c>
      <c r="E188">
        <v>106527</v>
      </c>
      <c r="F188" s="6">
        <v>704237943.40544355</v>
      </c>
      <c r="G188" s="5">
        <v>1054735</v>
      </c>
      <c r="H188">
        <v>5531603</v>
      </c>
      <c r="I188" s="1">
        <v>667.69183103380806</v>
      </c>
    </row>
    <row r="189" spans="1:9" x14ac:dyDescent="0.3">
      <c r="A189" t="s">
        <v>15</v>
      </c>
      <c r="B189">
        <v>2019</v>
      </c>
      <c r="C189">
        <v>2</v>
      </c>
      <c r="D189" t="s">
        <v>11</v>
      </c>
      <c r="E189">
        <v>16828</v>
      </c>
      <c r="F189" s="6">
        <v>13955724.130712911</v>
      </c>
      <c r="G189" s="5">
        <v>1054735</v>
      </c>
      <c r="H189">
        <v>5531603</v>
      </c>
      <c r="I189" s="1">
        <v>13.231498083132646</v>
      </c>
    </row>
    <row r="190" spans="1:9" x14ac:dyDescent="0.3">
      <c r="A190" t="s">
        <v>15</v>
      </c>
      <c r="B190">
        <v>2019</v>
      </c>
      <c r="C190">
        <v>2</v>
      </c>
      <c r="D190" t="s">
        <v>12</v>
      </c>
      <c r="E190">
        <v>267</v>
      </c>
      <c r="F190" s="6">
        <v>160660.88213627809</v>
      </c>
      <c r="G190" s="5">
        <v>1054735</v>
      </c>
      <c r="H190">
        <v>5531603</v>
      </c>
      <c r="I190" s="1">
        <v>0.15232345768015482</v>
      </c>
    </row>
    <row r="191" spans="1:9" x14ac:dyDescent="0.3">
      <c r="A191" t="s">
        <v>15</v>
      </c>
      <c r="B191">
        <v>2019</v>
      </c>
      <c r="C191">
        <v>2</v>
      </c>
      <c r="D191" t="s">
        <v>13</v>
      </c>
      <c r="E191">
        <v>3046</v>
      </c>
      <c r="F191" s="6">
        <v>3880742.5240231371</v>
      </c>
      <c r="G191" s="5">
        <v>1054735</v>
      </c>
      <c r="H191">
        <v>5531603</v>
      </c>
      <c r="I191" s="1">
        <v>3.6793531304291003</v>
      </c>
    </row>
    <row r="192" spans="1:9" x14ac:dyDescent="0.3">
      <c r="A192" t="s">
        <v>15</v>
      </c>
      <c r="B192">
        <v>2019</v>
      </c>
      <c r="C192">
        <v>3</v>
      </c>
      <c r="D192" t="s">
        <v>9</v>
      </c>
      <c r="E192">
        <v>216228</v>
      </c>
      <c r="F192" s="6">
        <v>50946104.942898422</v>
      </c>
      <c r="G192" s="5">
        <v>1233639</v>
      </c>
      <c r="H192">
        <v>19928700</v>
      </c>
      <c r="I192" s="1">
        <v>41.297417593719416</v>
      </c>
    </row>
    <row r="193" spans="1:9" x14ac:dyDescent="0.3">
      <c r="A193" t="s">
        <v>15</v>
      </c>
      <c r="B193">
        <v>2019</v>
      </c>
      <c r="C193">
        <v>3</v>
      </c>
      <c r="D193" t="s">
        <v>10</v>
      </c>
      <c r="E193">
        <v>133484</v>
      </c>
      <c r="F193" s="6">
        <v>841037395.2474606</v>
      </c>
      <c r="G193" s="5">
        <v>1233639</v>
      </c>
      <c r="H193">
        <v>19928700</v>
      </c>
      <c r="I193" s="1">
        <v>681.75324811185487</v>
      </c>
    </row>
    <row r="194" spans="1:9" x14ac:dyDescent="0.3">
      <c r="A194" t="s">
        <v>15</v>
      </c>
      <c r="B194">
        <v>2019</v>
      </c>
      <c r="C194">
        <v>3</v>
      </c>
      <c r="D194" t="s">
        <v>11</v>
      </c>
      <c r="E194">
        <v>16900</v>
      </c>
      <c r="F194" s="6">
        <v>17178248.074270021</v>
      </c>
      <c r="G194" s="5">
        <v>1233639</v>
      </c>
      <c r="H194">
        <v>19928700</v>
      </c>
      <c r="I194" s="1">
        <v>13.924858142673846</v>
      </c>
    </row>
    <row r="195" spans="1:9" x14ac:dyDescent="0.3">
      <c r="A195" t="s">
        <v>15</v>
      </c>
      <c r="B195">
        <v>2019</v>
      </c>
      <c r="C195">
        <v>3</v>
      </c>
      <c r="D195" t="s">
        <v>12</v>
      </c>
      <c r="E195">
        <v>864</v>
      </c>
      <c r="F195" s="6">
        <v>64089.113502671949</v>
      </c>
      <c r="G195" s="5">
        <v>1233639</v>
      </c>
      <c r="H195">
        <v>19928700</v>
      </c>
      <c r="I195" s="1">
        <v>5.1951270592670913E-2</v>
      </c>
    </row>
    <row r="196" spans="1:9" x14ac:dyDescent="0.3">
      <c r="A196" t="s">
        <v>15</v>
      </c>
      <c r="B196">
        <v>2019</v>
      </c>
      <c r="C196">
        <v>3</v>
      </c>
      <c r="D196" t="s">
        <v>13</v>
      </c>
      <c r="E196">
        <v>2758</v>
      </c>
      <c r="F196" s="6">
        <v>3419197.4177385764</v>
      </c>
      <c r="G196" s="5">
        <v>1233639</v>
      </c>
      <c r="H196">
        <v>19928700</v>
      </c>
      <c r="I196" s="1">
        <v>2.7716353144952262</v>
      </c>
    </row>
    <row r="197" spans="1:9" x14ac:dyDescent="0.3">
      <c r="A197" t="s">
        <v>15</v>
      </c>
      <c r="B197">
        <v>2019</v>
      </c>
      <c r="C197">
        <v>4</v>
      </c>
      <c r="D197" t="s">
        <v>9</v>
      </c>
      <c r="E197">
        <v>259183</v>
      </c>
      <c r="F197" s="6">
        <v>63516906.090604328</v>
      </c>
      <c r="G197" s="5">
        <v>1422531</v>
      </c>
      <c r="H197">
        <v>23543740</v>
      </c>
      <c r="I197" s="1">
        <v>44.650630524469648</v>
      </c>
    </row>
    <row r="198" spans="1:9" x14ac:dyDescent="0.3">
      <c r="A198" t="s">
        <v>15</v>
      </c>
      <c r="B198">
        <v>2019</v>
      </c>
      <c r="C198">
        <v>4</v>
      </c>
      <c r="D198" t="s">
        <v>10</v>
      </c>
      <c r="E198">
        <v>177833</v>
      </c>
      <c r="F198" s="6">
        <v>1100137447.9340453</v>
      </c>
      <c r="G198" s="5">
        <v>1422531</v>
      </c>
      <c r="H198">
        <v>23543740</v>
      </c>
      <c r="I198" s="1">
        <v>773.36623801804342</v>
      </c>
    </row>
    <row r="199" spans="1:9" x14ac:dyDescent="0.3">
      <c r="A199" t="s">
        <v>15</v>
      </c>
      <c r="B199">
        <v>2019</v>
      </c>
      <c r="C199">
        <v>4</v>
      </c>
      <c r="D199" t="s">
        <v>11</v>
      </c>
      <c r="E199">
        <v>19769</v>
      </c>
      <c r="F199" s="6">
        <v>23192271.691576812</v>
      </c>
      <c r="G199" s="5">
        <v>1422531</v>
      </c>
      <c r="H199">
        <v>23543740</v>
      </c>
      <c r="I199" s="1">
        <v>16.303526384716264</v>
      </c>
    </row>
    <row r="200" spans="1:9" x14ac:dyDescent="0.3">
      <c r="A200" t="s">
        <v>15</v>
      </c>
      <c r="B200">
        <v>2019</v>
      </c>
      <c r="C200">
        <v>4</v>
      </c>
      <c r="D200" t="s">
        <v>12</v>
      </c>
      <c r="E200">
        <v>314</v>
      </c>
      <c r="F200" s="6">
        <v>305379.7987782319</v>
      </c>
      <c r="G200" s="5">
        <v>1422531</v>
      </c>
      <c r="H200">
        <v>23543740</v>
      </c>
      <c r="I200" s="1">
        <v>0.21467356337277141</v>
      </c>
    </row>
    <row r="201" spans="1:9" x14ac:dyDescent="0.3">
      <c r="A201" t="s">
        <v>15</v>
      </c>
      <c r="B201">
        <v>2019</v>
      </c>
      <c r="C201">
        <v>4</v>
      </c>
      <c r="D201" t="s">
        <v>13</v>
      </c>
      <c r="E201">
        <v>2376</v>
      </c>
      <c r="F201" s="6">
        <v>3421174.0122779701</v>
      </c>
      <c r="G201" s="5">
        <v>1422531</v>
      </c>
      <c r="H201">
        <v>23543740</v>
      </c>
      <c r="I201" s="1">
        <v>2.4049908313266775</v>
      </c>
    </row>
    <row r="202" spans="1:9" x14ac:dyDescent="0.3">
      <c r="A202" t="s">
        <v>15</v>
      </c>
      <c r="B202">
        <v>2020</v>
      </c>
      <c r="C202">
        <v>1</v>
      </c>
      <c r="D202" t="s">
        <v>9</v>
      </c>
      <c r="E202">
        <v>329834</v>
      </c>
      <c r="F202" s="6">
        <v>86011654.774745822</v>
      </c>
      <c r="G202" s="5">
        <v>1639726</v>
      </c>
      <c r="H202">
        <v>28581531</v>
      </c>
      <c r="I202" s="1">
        <v>52.454894765799786</v>
      </c>
    </row>
    <row r="203" spans="1:9" x14ac:dyDescent="0.3">
      <c r="A203" t="s">
        <v>15</v>
      </c>
      <c r="B203">
        <v>2020</v>
      </c>
      <c r="C203">
        <v>1</v>
      </c>
      <c r="D203" t="s">
        <v>10</v>
      </c>
      <c r="E203">
        <v>203429</v>
      </c>
      <c r="F203" s="6">
        <v>1263912288.4066367</v>
      </c>
      <c r="G203" s="5">
        <v>1639726</v>
      </c>
      <c r="H203">
        <v>28581531</v>
      </c>
      <c r="I203" s="1">
        <v>770.80700580867574</v>
      </c>
    </row>
    <row r="204" spans="1:9" x14ac:dyDescent="0.3">
      <c r="A204" t="s">
        <v>15</v>
      </c>
      <c r="B204">
        <v>2020</v>
      </c>
      <c r="C204">
        <v>1</v>
      </c>
      <c r="D204" t="s">
        <v>11</v>
      </c>
      <c r="E204">
        <v>31181</v>
      </c>
      <c r="F204" s="6">
        <v>28553052.133918796</v>
      </c>
      <c r="G204" s="5">
        <v>1639726</v>
      </c>
      <c r="H204">
        <v>28581531</v>
      </c>
      <c r="I204" s="1">
        <v>17.413306939036641</v>
      </c>
    </row>
    <row r="205" spans="1:9" x14ac:dyDescent="0.3">
      <c r="A205" t="s">
        <v>15</v>
      </c>
      <c r="B205">
        <v>2020</v>
      </c>
      <c r="C205">
        <v>1</v>
      </c>
      <c r="D205" t="s">
        <v>12</v>
      </c>
      <c r="E205">
        <v>470</v>
      </c>
      <c r="F205" s="6">
        <v>337812.94816169393</v>
      </c>
      <c r="G205" s="5">
        <v>1639726</v>
      </c>
      <c r="H205">
        <v>28581531</v>
      </c>
      <c r="I205" s="1">
        <v>0.20601792504460742</v>
      </c>
    </row>
    <row r="206" spans="1:9" x14ac:dyDescent="0.3">
      <c r="A206" t="s">
        <v>15</v>
      </c>
      <c r="B206">
        <v>2020</v>
      </c>
      <c r="C206">
        <v>1</v>
      </c>
      <c r="D206" t="s">
        <v>13</v>
      </c>
      <c r="E206">
        <v>2261</v>
      </c>
      <c r="F206" s="6">
        <v>2943873.0666838237</v>
      </c>
      <c r="G206" s="5">
        <v>1639726</v>
      </c>
      <c r="H206">
        <v>28581531</v>
      </c>
      <c r="I206" s="1">
        <v>1.7953445067552893</v>
      </c>
    </row>
    <row r="207" spans="1:9" x14ac:dyDescent="0.3">
      <c r="A207" t="s">
        <v>15</v>
      </c>
      <c r="B207">
        <v>2020</v>
      </c>
      <c r="C207">
        <v>2</v>
      </c>
      <c r="D207" t="s">
        <v>9</v>
      </c>
      <c r="E207">
        <v>522495</v>
      </c>
      <c r="F207" s="6">
        <v>145198528.22961134</v>
      </c>
      <c r="G207" s="5">
        <v>1952874</v>
      </c>
      <c r="H207">
        <v>37257066</v>
      </c>
      <c r="I207" s="1">
        <v>74.351201475164984</v>
      </c>
    </row>
    <row r="208" spans="1:9" x14ac:dyDescent="0.3">
      <c r="A208" t="s">
        <v>15</v>
      </c>
      <c r="B208">
        <v>2020</v>
      </c>
      <c r="C208">
        <v>2</v>
      </c>
      <c r="D208" t="s">
        <v>10</v>
      </c>
      <c r="E208">
        <v>247861</v>
      </c>
      <c r="F208" s="6">
        <v>1630654426.0441835</v>
      </c>
      <c r="G208" s="5">
        <v>1952874</v>
      </c>
      <c r="H208">
        <v>37257066</v>
      </c>
      <c r="I208" s="1">
        <v>835.0023739597043</v>
      </c>
    </row>
    <row r="209" spans="1:9" x14ac:dyDescent="0.3">
      <c r="A209" t="s">
        <v>15</v>
      </c>
      <c r="B209">
        <v>2020</v>
      </c>
      <c r="C209">
        <v>2</v>
      </c>
      <c r="D209" t="s">
        <v>11</v>
      </c>
      <c r="E209">
        <v>35169</v>
      </c>
      <c r="F209" s="6">
        <v>46446966.612447515</v>
      </c>
      <c r="G209" s="5">
        <v>1952874</v>
      </c>
      <c r="H209">
        <v>37257066</v>
      </c>
      <c r="I209" s="1">
        <v>23.783903422569768</v>
      </c>
    </row>
    <row r="210" spans="1:9" x14ac:dyDescent="0.3">
      <c r="A210" t="s">
        <v>15</v>
      </c>
      <c r="B210">
        <v>2020</v>
      </c>
      <c r="C210">
        <v>2</v>
      </c>
      <c r="D210" t="s">
        <v>12</v>
      </c>
      <c r="E210">
        <v>1310</v>
      </c>
      <c r="F210" s="6">
        <v>2655507.6964110374</v>
      </c>
      <c r="G210" s="5">
        <v>1952874</v>
      </c>
      <c r="H210">
        <v>37257066</v>
      </c>
      <c r="I210" s="1">
        <v>1.3597946904977163</v>
      </c>
    </row>
    <row r="211" spans="1:9" x14ac:dyDescent="0.3">
      <c r="A211" t="s">
        <v>15</v>
      </c>
      <c r="B211">
        <v>2020</v>
      </c>
      <c r="C211">
        <v>2</v>
      </c>
      <c r="D211" t="s">
        <v>13</v>
      </c>
      <c r="E211">
        <v>1939</v>
      </c>
      <c r="F211" s="6">
        <v>1761404.4023099935</v>
      </c>
      <c r="G211" s="5">
        <v>1952874</v>
      </c>
      <c r="H211">
        <v>37257066</v>
      </c>
      <c r="I211" s="1">
        <v>0.9019549660193098</v>
      </c>
    </row>
    <row r="212" spans="1:9" x14ac:dyDescent="0.3">
      <c r="A212" t="s">
        <v>15</v>
      </c>
      <c r="B212">
        <v>2020</v>
      </c>
      <c r="C212">
        <v>3</v>
      </c>
      <c r="D212" t="s">
        <v>9</v>
      </c>
      <c r="E212">
        <v>514907</v>
      </c>
      <c r="F212" s="6">
        <v>153463816.21184397</v>
      </c>
      <c r="G212" s="5">
        <v>2266506</v>
      </c>
      <c r="H212">
        <v>44037631</v>
      </c>
      <c r="I212" s="1">
        <v>67.709424202646701</v>
      </c>
    </row>
    <row r="213" spans="1:9" x14ac:dyDescent="0.3">
      <c r="A213" t="s">
        <v>15</v>
      </c>
      <c r="B213">
        <v>2020</v>
      </c>
      <c r="C213">
        <v>3</v>
      </c>
      <c r="D213" t="s">
        <v>10</v>
      </c>
      <c r="E213">
        <v>370418</v>
      </c>
      <c r="F213" s="6">
        <v>2361603431.3757801</v>
      </c>
      <c r="G213" s="5">
        <v>2266506</v>
      </c>
      <c r="H213">
        <v>44037631</v>
      </c>
      <c r="I213" s="1">
        <v>1041.9577231985179</v>
      </c>
    </row>
    <row r="214" spans="1:9" x14ac:dyDescent="0.3">
      <c r="A214" t="s">
        <v>15</v>
      </c>
      <c r="B214">
        <v>2020</v>
      </c>
      <c r="C214">
        <v>3</v>
      </c>
      <c r="D214" t="s">
        <v>11</v>
      </c>
      <c r="E214">
        <v>72736</v>
      </c>
      <c r="F214" s="6">
        <v>88145178.692727134</v>
      </c>
      <c r="G214" s="5">
        <v>2266506</v>
      </c>
      <c r="H214">
        <v>44037631</v>
      </c>
      <c r="I214" s="1">
        <v>38.890335473511712</v>
      </c>
    </row>
    <row r="215" spans="1:9" x14ac:dyDescent="0.3">
      <c r="A215" t="s">
        <v>15</v>
      </c>
      <c r="B215">
        <v>2020</v>
      </c>
      <c r="C215">
        <v>3</v>
      </c>
      <c r="D215" t="s">
        <v>12</v>
      </c>
      <c r="E215">
        <v>1761</v>
      </c>
      <c r="F215" s="6">
        <v>4030599.9171272423</v>
      </c>
      <c r="G215" s="5">
        <v>2266506</v>
      </c>
      <c r="H215">
        <v>44037631</v>
      </c>
      <c r="I215" s="1">
        <v>1.778331898140681</v>
      </c>
    </row>
    <row r="216" spans="1:9" x14ac:dyDescent="0.3">
      <c r="A216" t="s">
        <v>15</v>
      </c>
      <c r="B216">
        <v>2020</v>
      </c>
      <c r="C216">
        <v>3</v>
      </c>
      <c r="D216" t="s">
        <v>13</v>
      </c>
      <c r="E216">
        <v>3005</v>
      </c>
      <c r="F216" s="6">
        <v>2695539.3607389224</v>
      </c>
      <c r="G216" s="5">
        <v>2266506</v>
      </c>
      <c r="H216">
        <v>44037631</v>
      </c>
      <c r="I216" s="1">
        <v>1.1892928413773987</v>
      </c>
    </row>
    <row r="217" spans="1:9" x14ac:dyDescent="0.3">
      <c r="A217" t="s">
        <v>15</v>
      </c>
      <c r="B217">
        <v>2020</v>
      </c>
      <c r="C217">
        <v>4</v>
      </c>
      <c r="D217" t="s">
        <v>10</v>
      </c>
      <c r="E217">
        <v>522019</v>
      </c>
      <c r="F217" s="6">
        <v>3254744938.4105625</v>
      </c>
      <c r="G217" s="5">
        <v>2544212</v>
      </c>
      <c r="H217">
        <v>49199337</v>
      </c>
      <c r="I217" s="1">
        <v>1279.2742658279114</v>
      </c>
    </row>
    <row r="218" spans="1:9" x14ac:dyDescent="0.3">
      <c r="A218" t="s">
        <v>15</v>
      </c>
      <c r="B218">
        <v>2020</v>
      </c>
      <c r="C218">
        <v>4</v>
      </c>
      <c r="D218" t="s">
        <v>9</v>
      </c>
      <c r="E218">
        <v>513895</v>
      </c>
      <c r="F218" s="6">
        <v>152389181.21743062</v>
      </c>
      <c r="G218" s="5">
        <v>2544212</v>
      </c>
      <c r="H218">
        <v>49199337</v>
      </c>
      <c r="I218" s="1">
        <v>59.896416343225575</v>
      </c>
    </row>
    <row r="219" spans="1:9" x14ac:dyDescent="0.3">
      <c r="A219" t="s">
        <v>15</v>
      </c>
      <c r="B219">
        <v>2020</v>
      </c>
      <c r="C219">
        <v>4</v>
      </c>
      <c r="D219" t="s">
        <v>11</v>
      </c>
      <c r="E219">
        <v>167387</v>
      </c>
      <c r="F219" s="6">
        <v>156682926.02384603</v>
      </c>
      <c r="G219" s="5">
        <v>2544212</v>
      </c>
      <c r="H219">
        <v>49199337</v>
      </c>
      <c r="I219" s="1">
        <v>61.584068475365271</v>
      </c>
    </row>
    <row r="220" spans="1:9" x14ac:dyDescent="0.3">
      <c r="A220" t="s">
        <v>15</v>
      </c>
      <c r="B220">
        <v>2020</v>
      </c>
      <c r="C220">
        <v>4</v>
      </c>
      <c r="D220" t="s">
        <v>12</v>
      </c>
      <c r="E220">
        <v>1749</v>
      </c>
      <c r="F220" s="6">
        <v>2391651.8783250954</v>
      </c>
      <c r="G220" s="5">
        <v>2544212</v>
      </c>
      <c r="H220">
        <v>49199337</v>
      </c>
      <c r="I220" s="1">
        <v>0.94003639567972141</v>
      </c>
    </row>
    <row r="221" spans="1:9" x14ac:dyDescent="0.3">
      <c r="A221" t="s">
        <v>15</v>
      </c>
      <c r="B221">
        <v>2020</v>
      </c>
      <c r="C221">
        <v>4</v>
      </c>
      <c r="D221" t="s">
        <v>13</v>
      </c>
      <c r="E221">
        <v>4079</v>
      </c>
      <c r="F221" s="6">
        <v>4055324.315454754</v>
      </c>
      <c r="G221" s="5">
        <v>2544212</v>
      </c>
      <c r="H221">
        <v>49199337</v>
      </c>
      <c r="I221" s="1">
        <v>1.5939411949376678</v>
      </c>
    </row>
    <row r="222" spans="1:9" x14ac:dyDescent="0.3">
      <c r="A222" t="s">
        <v>15</v>
      </c>
      <c r="B222">
        <v>2021</v>
      </c>
      <c r="C222">
        <v>1</v>
      </c>
      <c r="D222" t="s">
        <v>10</v>
      </c>
      <c r="E222">
        <v>566209</v>
      </c>
      <c r="F222" s="6">
        <v>3460488558.9436507</v>
      </c>
      <c r="G222" s="5">
        <v>2763640</v>
      </c>
      <c r="H222">
        <v>52763788</v>
      </c>
      <c r="I222" s="1">
        <v>1252.1488178430081</v>
      </c>
    </row>
    <row r="223" spans="1:9" x14ac:dyDescent="0.3">
      <c r="A223" t="s">
        <v>15</v>
      </c>
      <c r="B223">
        <v>2021</v>
      </c>
      <c r="C223">
        <v>1</v>
      </c>
      <c r="D223" t="s">
        <v>9</v>
      </c>
      <c r="E223">
        <v>450649</v>
      </c>
      <c r="F223" s="6">
        <v>142358376.90038359</v>
      </c>
      <c r="G223" s="5">
        <v>2763640</v>
      </c>
      <c r="H223">
        <v>52763788</v>
      </c>
      <c r="I223" s="1">
        <v>51.511187021603241</v>
      </c>
    </row>
    <row r="224" spans="1:9" x14ac:dyDescent="0.3">
      <c r="A224" t="s">
        <v>15</v>
      </c>
      <c r="B224">
        <v>2021</v>
      </c>
      <c r="C224">
        <v>1</v>
      </c>
      <c r="D224" t="s">
        <v>11</v>
      </c>
      <c r="E224">
        <v>155966</v>
      </c>
      <c r="F224" s="6">
        <v>204958020.0891498</v>
      </c>
      <c r="G224" s="5">
        <v>2763640</v>
      </c>
      <c r="H224">
        <v>52763788</v>
      </c>
      <c r="I224" s="1">
        <v>74.162343897595136</v>
      </c>
    </row>
    <row r="225" spans="1:9" x14ac:dyDescent="0.3">
      <c r="A225" t="s">
        <v>15</v>
      </c>
      <c r="B225">
        <v>2021</v>
      </c>
      <c r="C225">
        <v>1</v>
      </c>
      <c r="D225" t="s">
        <v>12</v>
      </c>
      <c r="E225">
        <v>1558</v>
      </c>
      <c r="F225" s="6">
        <v>2672460.4740365944</v>
      </c>
      <c r="G225" s="5">
        <v>2763640</v>
      </c>
      <c r="H225">
        <v>52763788</v>
      </c>
      <c r="I225" s="1">
        <v>0.96700745177975223</v>
      </c>
    </row>
    <row r="226" spans="1:9" x14ac:dyDescent="0.3">
      <c r="A226" t="s">
        <v>15</v>
      </c>
      <c r="B226">
        <v>2021</v>
      </c>
      <c r="C226">
        <v>1</v>
      </c>
      <c r="D226" t="s">
        <v>13</v>
      </c>
      <c r="E226">
        <v>3074</v>
      </c>
      <c r="F226" s="6">
        <v>3301662.6094231335</v>
      </c>
      <c r="G226" s="5">
        <v>2763640</v>
      </c>
      <c r="H226">
        <v>52763788</v>
      </c>
      <c r="I226" s="1">
        <v>1.1946789775162949</v>
      </c>
    </row>
    <row r="227" spans="1:9" x14ac:dyDescent="0.3">
      <c r="A227" t="s">
        <v>15</v>
      </c>
      <c r="B227">
        <v>2021</v>
      </c>
      <c r="C227">
        <v>2</v>
      </c>
      <c r="D227" t="s">
        <v>10</v>
      </c>
      <c r="E227">
        <v>762946</v>
      </c>
      <c r="F227" s="6">
        <v>4000960152.0755496</v>
      </c>
      <c r="G227" s="5">
        <v>2976292</v>
      </c>
      <c r="H227">
        <v>143284339</v>
      </c>
      <c r="I227" s="1">
        <v>1344.2767551287136</v>
      </c>
    </row>
    <row r="228" spans="1:9" x14ac:dyDescent="0.3">
      <c r="A228" t="s">
        <v>15</v>
      </c>
      <c r="B228">
        <v>2021</v>
      </c>
      <c r="C228">
        <v>2</v>
      </c>
      <c r="D228" t="s">
        <v>9</v>
      </c>
      <c r="E228">
        <v>556680</v>
      </c>
      <c r="F228" s="6">
        <v>165579844.25105897</v>
      </c>
      <c r="G228" s="5">
        <v>2976292</v>
      </c>
      <c r="H228">
        <v>143284339</v>
      </c>
      <c r="I228" s="1">
        <v>55.632929917850454</v>
      </c>
    </row>
    <row r="229" spans="1:9" x14ac:dyDescent="0.3">
      <c r="A229" t="s">
        <v>15</v>
      </c>
      <c r="B229">
        <v>2021</v>
      </c>
      <c r="C229">
        <v>2</v>
      </c>
      <c r="D229" t="s">
        <v>11</v>
      </c>
      <c r="E229">
        <v>243375</v>
      </c>
      <c r="F229" s="6">
        <v>283709438.53631419</v>
      </c>
      <c r="G229" s="5">
        <v>2976292</v>
      </c>
      <c r="H229">
        <v>143284339</v>
      </c>
      <c r="I229" s="1">
        <v>95.323119685942842</v>
      </c>
    </row>
    <row r="230" spans="1:9" x14ac:dyDescent="0.3">
      <c r="A230" t="s">
        <v>15</v>
      </c>
      <c r="B230">
        <v>2021</v>
      </c>
      <c r="C230">
        <v>2</v>
      </c>
      <c r="D230" t="s">
        <v>12</v>
      </c>
      <c r="E230">
        <v>1582</v>
      </c>
      <c r="F230" s="6">
        <v>2761076.7934988844</v>
      </c>
      <c r="G230" s="5">
        <v>2976292</v>
      </c>
      <c r="H230">
        <v>143284339</v>
      </c>
      <c r="I230" s="1">
        <v>0.92769015724898107</v>
      </c>
    </row>
    <row r="231" spans="1:9" x14ac:dyDescent="0.3">
      <c r="A231" t="s">
        <v>15</v>
      </c>
      <c r="B231">
        <v>2021</v>
      </c>
      <c r="C231">
        <v>2</v>
      </c>
      <c r="D231" t="s">
        <v>13</v>
      </c>
      <c r="E231">
        <v>3755</v>
      </c>
      <c r="F231" s="6">
        <v>3415105.3379601175</v>
      </c>
      <c r="G231" s="5">
        <v>2976292</v>
      </c>
      <c r="H231">
        <v>143284339</v>
      </c>
      <c r="I231" s="1">
        <v>1.1474362522091641</v>
      </c>
    </row>
    <row r="232" spans="1:9" x14ac:dyDescent="0.3">
      <c r="A232" t="s">
        <v>15</v>
      </c>
      <c r="B232">
        <v>2021</v>
      </c>
      <c r="C232">
        <v>3</v>
      </c>
      <c r="D232" t="s">
        <v>10</v>
      </c>
      <c r="E232">
        <v>986088</v>
      </c>
      <c r="F232" s="6">
        <v>5033603845.0328846</v>
      </c>
      <c r="G232" s="5">
        <v>3223803</v>
      </c>
      <c r="H232">
        <v>189306194</v>
      </c>
      <c r="I232" s="1">
        <v>1561.3869225361739</v>
      </c>
    </row>
    <row r="233" spans="1:9" x14ac:dyDescent="0.3">
      <c r="A233" t="s">
        <v>15</v>
      </c>
      <c r="B233">
        <v>2021</v>
      </c>
      <c r="C233">
        <v>3</v>
      </c>
      <c r="D233" t="s">
        <v>9</v>
      </c>
      <c r="E233">
        <v>600102</v>
      </c>
      <c r="F233" s="6">
        <v>187390578.30403775</v>
      </c>
      <c r="G233" s="5">
        <v>3223803</v>
      </c>
      <c r="H233">
        <v>189306194</v>
      </c>
      <c r="I233" s="1">
        <v>58.127180322134372</v>
      </c>
    </row>
    <row r="234" spans="1:9" x14ac:dyDescent="0.3">
      <c r="A234" t="s">
        <v>15</v>
      </c>
      <c r="B234">
        <v>2021</v>
      </c>
      <c r="C234">
        <v>3</v>
      </c>
      <c r="D234" t="s">
        <v>11</v>
      </c>
      <c r="E234">
        <v>314658</v>
      </c>
      <c r="F234" s="6">
        <v>449869060.78426212</v>
      </c>
      <c r="G234" s="5">
        <v>3223803</v>
      </c>
      <c r="H234">
        <v>189306194</v>
      </c>
      <c r="I234" s="1">
        <v>139.54607672499284</v>
      </c>
    </row>
    <row r="235" spans="1:9" x14ac:dyDescent="0.3">
      <c r="A235" t="s">
        <v>15</v>
      </c>
      <c r="B235">
        <v>2021</v>
      </c>
      <c r="C235">
        <v>3</v>
      </c>
      <c r="D235" t="s">
        <v>12</v>
      </c>
      <c r="E235">
        <v>1934</v>
      </c>
      <c r="F235" s="6">
        <v>3348547.8272713376</v>
      </c>
      <c r="G235" s="5">
        <v>3223803</v>
      </c>
      <c r="H235">
        <v>189306194</v>
      </c>
      <c r="I235" s="1">
        <v>1.0386949287134908</v>
      </c>
    </row>
    <row r="236" spans="1:9" x14ac:dyDescent="0.3">
      <c r="A236" t="s">
        <v>15</v>
      </c>
      <c r="B236">
        <v>2021</v>
      </c>
      <c r="C236">
        <v>3</v>
      </c>
      <c r="D236" t="s">
        <v>13</v>
      </c>
      <c r="E236">
        <v>4185</v>
      </c>
      <c r="F236" s="6">
        <v>3912143.3503634185</v>
      </c>
      <c r="G236" s="5">
        <v>3223803</v>
      </c>
      <c r="H236">
        <v>189306194</v>
      </c>
      <c r="I236" s="1">
        <v>1.2135181183103987</v>
      </c>
    </row>
    <row r="237" spans="1:9" x14ac:dyDescent="0.3">
      <c r="A237" t="s">
        <v>15</v>
      </c>
      <c r="B237">
        <v>2021</v>
      </c>
      <c r="C237">
        <v>4</v>
      </c>
      <c r="D237" t="s">
        <v>10</v>
      </c>
      <c r="E237">
        <v>1227616</v>
      </c>
      <c r="F237" s="6">
        <v>6022733378.1200819</v>
      </c>
      <c r="G237" s="5">
        <v>3464384</v>
      </c>
      <c r="H237">
        <v>123533245</v>
      </c>
      <c r="I237" s="1">
        <v>1738.4716527151961</v>
      </c>
    </row>
    <row r="238" spans="1:9" x14ac:dyDescent="0.3">
      <c r="A238" t="s">
        <v>15</v>
      </c>
      <c r="B238">
        <v>2021</v>
      </c>
      <c r="C238">
        <v>4</v>
      </c>
      <c r="D238" t="s">
        <v>9</v>
      </c>
      <c r="E238">
        <v>633248</v>
      </c>
      <c r="F238" s="6">
        <v>207784816.33218512</v>
      </c>
      <c r="G238" s="5">
        <v>3464384</v>
      </c>
      <c r="H238">
        <v>123533245</v>
      </c>
      <c r="I238" s="1">
        <v>59.977420612779966</v>
      </c>
    </row>
    <row r="239" spans="1:9" x14ac:dyDescent="0.3">
      <c r="A239" t="s">
        <v>15</v>
      </c>
      <c r="B239">
        <v>2021</v>
      </c>
      <c r="C239">
        <v>4</v>
      </c>
      <c r="D239" t="s">
        <v>11</v>
      </c>
      <c r="E239">
        <v>521447</v>
      </c>
      <c r="F239" s="6">
        <v>704195694.99391866</v>
      </c>
      <c r="G239" s="5">
        <v>3464384</v>
      </c>
      <c r="H239">
        <v>123533245</v>
      </c>
      <c r="I239" s="1">
        <v>203.26721720049471</v>
      </c>
    </row>
    <row r="240" spans="1:9" x14ac:dyDescent="0.3">
      <c r="A240" t="s">
        <v>15</v>
      </c>
      <c r="B240">
        <v>2021</v>
      </c>
      <c r="C240">
        <v>4</v>
      </c>
      <c r="D240" t="s">
        <v>12</v>
      </c>
      <c r="E240">
        <v>2386</v>
      </c>
      <c r="F240" s="6">
        <v>3933557.2795471298</v>
      </c>
      <c r="G240" s="5">
        <v>3464384</v>
      </c>
      <c r="H240">
        <v>123533245</v>
      </c>
      <c r="I240" s="1">
        <v>1.1354276199021616</v>
      </c>
    </row>
    <row r="241" spans="1:9" x14ac:dyDescent="0.3">
      <c r="A241" t="s">
        <v>15</v>
      </c>
      <c r="B241">
        <v>2021</v>
      </c>
      <c r="C241">
        <v>4</v>
      </c>
      <c r="D241" t="s">
        <v>13</v>
      </c>
      <c r="E241">
        <v>5901</v>
      </c>
      <c r="F241" s="6">
        <v>4862905.8856150554</v>
      </c>
      <c r="G241" s="5">
        <v>3464384</v>
      </c>
      <c r="H241">
        <v>123533245</v>
      </c>
      <c r="I241" s="1">
        <v>1.4036855861287476</v>
      </c>
    </row>
    <row r="242" spans="1:9" x14ac:dyDescent="0.3">
      <c r="A242" t="s">
        <v>16</v>
      </c>
      <c r="B242">
        <v>2018</v>
      </c>
      <c r="C242">
        <v>1</v>
      </c>
      <c r="D242" t="s">
        <v>9</v>
      </c>
      <c r="E242">
        <v>632092</v>
      </c>
      <c r="F242" s="6">
        <v>93491181.140563786</v>
      </c>
      <c r="G242" s="5">
        <v>4237607</v>
      </c>
      <c r="H242">
        <v>0</v>
      </c>
      <c r="I242" s="1">
        <v>22.0622585200949</v>
      </c>
    </row>
    <row r="243" spans="1:9" x14ac:dyDescent="0.3">
      <c r="A243" t="s">
        <v>16</v>
      </c>
      <c r="B243">
        <v>2018</v>
      </c>
      <c r="C243">
        <v>1</v>
      </c>
      <c r="D243" t="s">
        <v>10</v>
      </c>
      <c r="E243">
        <v>318025</v>
      </c>
      <c r="F243" s="6">
        <v>993525195.98186553</v>
      </c>
      <c r="G243" s="5">
        <v>4237607</v>
      </c>
      <c r="H243">
        <v>0</v>
      </c>
      <c r="I243" s="1">
        <v>234.45430309650365</v>
      </c>
    </row>
    <row r="244" spans="1:9" x14ac:dyDescent="0.3">
      <c r="A244" t="s">
        <v>16</v>
      </c>
      <c r="B244">
        <v>2018</v>
      </c>
      <c r="C244">
        <v>1</v>
      </c>
      <c r="D244" t="s">
        <v>11</v>
      </c>
      <c r="E244">
        <v>40482</v>
      </c>
      <c r="F244" s="6">
        <v>34501622.892667547</v>
      </c>
      <c r="G244" s="5">
        <v>4237607</v>
      </c>
      <c r="H244">
        <v>0</v>
      </c>
      <c r="I244" s="1">
        <v>8.1417703181695575</v>
      </c>
    </row>
    <row r="245" spans="1:9" x14ac:dyDescent="0.3">
      <c r="A245" t="s">
        <v>16</v>
      </c>
      <c r="B245">
        <v>2018</v>
      </c>
      <c r="C245">
        <v>1</v>
      </c>
      <c r="D245" t="s">
        <v>12</v>
      </c>
      <c r="E245">
        <v>18172</v>
      </c>
      <c r="F245" s="6">
        <v>4936862.2006885624</v>
      </c>
      <c r="G245" s="5">
        <v>4237607</v>
      </c>
      <c r="H245">
        <v>0</v>
      </c>
      <c r="I245" s="1">
        <v>1.1650118098937825</v>
      </c>
    </row>
    <row r="246" spans="1:9" x14ac:dyDescent="0.3">
      <c r="A246" t="s">
        <v>16</v>
      </c>
      <c r="B246">
        <v>2018</v>
      </c>
      <c r="C246">
        <v>1</v>
      </c>
      <c r="D246" t="s">
        <v>13</v>
      </c>
      <c r="E246">
        <v>48110</v>
      </c>
      <c r="F246" s="6">
        <v>31349593.99668264</v>
      </c>
      <c r="G246" s="5">
        <v>4237607</v>
      </c>
      <c r="H246">
        <v>0</v>
      </c>
      <c r="I246" s="1">
        <v>7.3979474728738746</v>
      </c>
    </row>
    <row r="247" spans="1:9" x14ac:dyDescent="0.3">
      <c r="A247" t="s">
        <v>16</v>
      </c>
      <c r="B247">
        <v>2018</v>
      </c>
      <c r="C247">
        <v>2</v>
      </c>
      <c r="D247" t="s">
        <v>9</v>
      </c>
      <c r="E247">
        <v>984160</v>
      </c>
      <c r="F247" s="6">
        <v>174427478.21340805</v>
      </c>
      <c r="G247" s="5">
        <v>6281506</v>
      </c>
      <c r="H247">
        <v>0</v>
      </c>
      <c r="I247" s="1">
        <v>27.768417034610497</v>
      </c>
    </row>
    <row r="248" spans="1:9" x14ac:dyDescent="0.3">
      <c r="A248" t="s">
        <v>16</v>
      </c>
      <c r="B248">
        <v>2018</v>
      </c>
      <c r="C248">
        <v>2</v>
      </c>
      <c r="D248" t="s">
        <v>10</v>
      </c>
      <c r="E248">
        <v>530781</v>
      </c>
      <c r="F248" s="6">
        <v>2064314053.1339972</v>
      </c>
      <c r="G248" s="5">
        <v>6281506</v>
      </c>
      <c r="H248">
        <v>0</v>
      </c>
      <c r="I248" s="1">
        <v>328.63361957052928</v>
      </c>
    </row>
    <row r="249" spans="1:9" x14ac:dyDescent="0.3">
      <c r="A249" t="s">
        <v>16</v>
      </c>
      <c r="B249">
        <v>2018</v>
      </c>
      <c r="C249">
        <v>2</v>
      </c>
      <c r="D249" t="s">
        <v>11</v>
      </c>
      <c r="E249">
        <v>79307</v>
      </c>
      <c r="F249" s="6">
        <v>73366344.807392254</v>
      </c>
      <c r="G249" s="5">
        <v>6281506</v>
      </c>
      <c r="H249">
        <v>0</v>
      </c>
      <c r="I249" s="1">
        <v>11.679738076727501</v>
      </c>
    </row>
    <row r="250" spans="1:9" x14ac:dyDescent="0.3">
      <c r="A250" t="s">
        <v>16</v>
      </c>
      <c r="B250">
        <v>2018</v>
      </c>
      <c r="C250">
        <v>2</v>
      </c>
      <c r="D250" t="s">
        <v>12</v>
      </c>
      <c r="E250">
        <v>22773</v>
      </c>
      <c r="F250" s="6">
        <v>7051504.6576111019</v>
      </c>
      <c r="G250" s="5">
        <v>6281506</v>
      </c>
      <c r="H250">
        <v>0</v>
      </c>
      <c r="I250" s="1">
        <v>1.1225818549900457</v>
      </c>
    </row>
    <row r="251" spans="1:9" x14ac:dyDescent="0.3">
      <c r="A251" t="s">
        <v>16</v>
      </c>
      <c r="B251">
        <v>2018</v>
      </c>
      <c r="C251">
        <v>2</v>
      </c>
      <c r="D251" t="s">
        <v>13</v>
      </c>
      <c r="E251">
        <v>46852</v>
      </c>
      <c r="F251" s="6">
        <v>31425754.725386057</v>
      </c>
      <c r="G251" s="5">
        <v>6281506</v>
      </c>
      <c r="H251">
        <v>0</v>
      </c>
      <c r="I251" s="1">
        <v>5.0029013305704169</v>
      </c>
    </row>
    <row r="252" spans="1:9" x14ac:dyDescent="0.3">
      <c r="A252" t="s">
        <v>16</v>
      </c>
      <c r="B252">
        <v>2018</v>
      </c>
      <c r="C252">
        <v>3</v>
      </c>
      <c r="D252" t="s">
        <v>9</v>
      </c>
      <c r="E252">
        <v>1275136</v>
      </c>
      <c r="F252" s="6">
        <v>254569069.32411742</v>
      </c>
      <c r="G252" s="5">
        <v>8632822</v>
      </c>
      <c r="H252">
        <v>0</v>
      </c>
      <c r="I252" s="1">
        <v>29.488511326205664</v>
      </c>
    </row>
    <row r="253" spans="1:9" x14ac:dyDescent="0.3">
      <c r="A253" t="s">
        <v>16</v>
      </c>
      <c r="B253">
        <v>2018</v>
      </c>
      <c r="C253">
        <v>3</v>
      </c>
      <c r="D253" t="s">
        <v>10</v>
      </c>
      <c r="E253">
        <v>843571</v>
      </c>
      <c r="F253" s="6">
        <v>3424136709.5088205</v>
      </c>
      <c r="G253" s="5">
        <v>8632822</v>
      </c>
      <c r="H253">
        <v>0</v>
      </c>
      <c r="I253" s="1">
        <v>396.64164389220821</v>
      </c>
    </row>
    <row r="254" spans="1:9" x14ac:dyDescent="0.3">
      <c r="A254" t="s">
        <v>16</v>
      </c>
      <c r="B254">
        <v>2018</v>
      </c>
      <c r="C254">
        <v>3</v>
      </c>
      <c r="D254" t="s">
        <v>11</v>
      </c>
      <c r="E254">
        <v>159532</v>
      </c>
      <c r="F254" s="6">
        <v>96783839.374669418</v>
      </c>
      <c r="G254" s="5">
        <v>8632822</v>
      </c>
      <c r="H254">
        <v>0</v>
      </c>
      <c r="I254" s="1">
        <v>11.211147336834863</v>
      </c>
    </row>
    <row r="255" spans="1:9" x14ac:dyDescent="0.3">
      <c r="A255" t="s">
        <v>16</v>
      </c>
      <c r="B255">
        <v>2018</v>
      </c>
      <c r="C255">
        <v>3</v>
      </c>
      <c r="D255" t="s">
        <v>12</v>
      </c>
      <c r="E255">
        <v>22677</v>
      </c>
      <c r="F255" s="6">
        <v>4741123.8218801152</v>
      </c>
      <c r="G255" s="5">
        <v>8632822</v>
      </c>
      <c r="H255">
        <v>0</v>
      </c>
      <c r="I255" s="1">
        <v>0.54919744920955338</v>
      </c>
    </row>
    <row r="256" spans="1:9" x14ac:dyDescent="0.3">
      <c r="A256" t="s">
        <v>16</v>
      </c>
      <c r="B256">
        <v>2018</v>
      </c>
      <c r="C256">
        <v>3</v>
      </c>
      <c r="D256" t="s">
        <v>13</v>
      </c>
      <c r="E256">
        <v>50935</v>
      </c>
      <c r="F256" s="6">
        <v>30904247.884785894</v>
      </c>
      <c r="G256" s="5">
        <v>8632822</v>
      </c>
      <c r="H256">
        <v>0</v>
      </c>
      <c r="I256" s="1">
        <v>3.5798546390491888</v>
      </c>
    </row>
    <row r="257" spans="1:9" x14ac:dyDescent="0.3">
      <c r="A257" t="s">
        <v>16</v>
      </c>
      <c r="B257">
        <v>2018</v>
      </c>
      <c r="C257">
        <v>4</v>
      </c>
      <c r="D257" t="s">
        <v>9</v>
      </c>
      <c r="E257">
        <v>1703488</v>
      </c>
      <c r="F257" s="6">
        <v>317661277.34709972</v>
      </c>
      <c r="G257" s="5">
        <v>11431431</v>
      </c>
      <c r="H257">
        <v>0</v>
      </c>
      <c r="I257" s="1">
        <v>27.788408760644202</v>
      </c>
    </row>
    <row r="258" spans="1:9" x14ac:dyDescent="0.3">
      <c r="A258" t="s">
        <v>16</v>
      </c>
      <c r="B258">
        <v>2018</v>
      </c>
      <c r="C258">
        <v>4</v>
      </c>
      <c r="D258" t="s">
        <v>10</v>
      </c>
      <c r="E258">
        <v>1279089</v>
      </c>
      <c r="F258" s="6">
        <v>5284776455.0707836</v>
      </c>
      <c r="G258" s="5">
        <v>11431431</v>
      </c>
      <c r="H258">
        <v>0</v>
      </c>
      <c r="I258" s="1">
        <v>462.3022660129588</v>
      </c>
    </row>
    <row r="259" spans="1:9" x14ac:dyDescent="0.3">
      <c r="A259" t="s">
        <v>16</v>
      </c>
      <c r="B259">
        <v>2018</v>
      </c>
      <c r="C259">
        <v>4</v>
      </c>
      <c r="D259" t="s">
        <v>11</v>
      </c>
      <c r="E259">
        <v>667293</v>
      </c>
      <c r="F259" s="6">
        <v>240563395.27779391</v>
      </c>
      <c r="G259" s="5">
        <v>11431431</v>
      </c>
      <c r="H259">
        <v>0</v>
      </c>
      <c r="I259" s="1">
        <v>21.044031607048488</v>
      </c>
    </row>
    <row r="260" spans="1:9" x14ac:dyDescent="0.3">
      <c r="A260" t="s">
        <v>16</v>
      </c>
      <c r="B260">
        <v>2018</v>
      </c>
      <c r="C260">
        <v>4</v>
      </c>
      <c r="D260" t="s">
        <v>12</v>
      </c>
      <c r="E260">
        <v>28035</v>
      </c>
      <c r="F260" s="6">
        <v>6331912.5265525198</v>
      </c>
      <c r="G260" s="5">
        <v>11431431</v>
      </c>
      <c r="H260">
        <v>0</v>
      </c>
      <c r="I260" s="1">
        <v>0.55390375243069045</v>
      </c>
    </row>
    <row r="261" spans="1:9" x14ac:dyDescent="0.3">
      <c r="A261" t="s">
        <v>16</v>
      </c>
      <c r="B261">
        <v>2018</v>
      </c>
      <c r="C261">
        <v>4</v>
      </c>
      <c r="D261" t="s">
        <v>13</v>
      </c>
      <c r="E261">
        <v>56267</v>
      </c>
      <c r="F261" s="6">
        <v>38689818.790878206</v>
      </c>
      <c r="G261" s="5">
        <v>11431431</v>
      </c>
      <c r="H261">
        <v>0</v>
      </c>
      <c r="I261" s="1">
        <v>3.3845122969187504</v>
      </c>
    </row>
    <row r="262" spans="1:9" x14ac:dyDescent="0.3">
      <c r="A262" t="s">
        <v>16</v>
      </c>
      <c r="B262">
        <v>2019</v>
      </c>
      <c r="C262">
        <v>1</v>
      </c>
      <c r="D262" t="s">
        <v>9</v>
      </c>
      <c r="E262">
        <v>1993220</v>
      </c>
      <c r="F262" s="6">
        <v>400281677.94382846</v>
      </c>
      <c r="G262" s="5">
        <v>13849935</v>
      </c>
      <c r="H262">
        <v>0</v>
      </c>
      <c r="I262" s="1">
        <v>28.90133982172685</v>
      </c>
    </row>
    <row r="263" spans="1:9" x14ac:dyDescent="0.3">
      <c r="A263" t="s">
        <v>16</v>
      </c>
      <c r="B263">
        <v>2019</v>
      </c>
      <c r="C263">
        <v>1</v>
      </c>
      <c r="D263" t="s">
        <v>10</v>
      </c>
      <c r="E263">
        <v>1976310</v>
      </c>
      <c r="F263" s="6">
        <v>7291433300.7002468</v>
      </c>
      <c r="G263" s="5">
        <v>13849935</v>
      </c>
      <c r="H263">
        <v>0</v>
      </c>
      <c r="I263" s="1">
        <v>526.45974877862216</v>
      </c>
    </row>
    <row r="264" spans="1:9" x14ac:dyDescent="0.3">
      <c r="A264" t="s">
        <v>16</v>
      </c>
      <c r="B264">
        <v>2019</v>
      </c>
      <c r="C264">
        <v>1</v>
      </c>
      <c r="D264" t="s">
        <v>11</v>
      </c>
      <c r="E264">
        <v>494871</v>
      </c>
      <c r="F264" s="6">
        <v>266644645.74929428</v>
      </c>
      <c r="G264" s="5">
        <v>13849935</v>
      </c>
      <c r="H264">
        <v>0</v>
      </c>
      <c r="I264" s="1">
        <v>19.252411347005907</v>
      </c>
    </row>
    <row r="265" spans="1:9" x14ac:dyDescent="0.3">
      <c r="A265" t="s">
        <v>16</v>
      </c>
      <c r="B265">
        <v>2019</v>
      </c>
      <c r="C265">
        <v>1</v>
      </c>
      <c r="D265" t="s">
        <v>12</v>
      </c>
      <c r="E265">
        <v>20162</v>
      </c>
      <c r="F265" s="6">
        <v>4612454.1127945455</v>
      </c>
      <c r="G265" s="5">
        <v>13849935</v>
      </c>
      <c r="H265">
        <v>0</v>
      </c>
      <c r="I265" s="1">
        <v>0.33303074077925604</v>
      </c>
    </row>
    <row r="266" spans="1:9" x14ac:dyDescent="0.3">
      <c r="A266" t="s">
        <v>16</v>
      </c>
      <c r="B266">
        <v>2019</v>
      </c>
      <c r="C266">
        <v>1</v>
      </c>
      <c r="D266" t="s">
        <v>13</v>
      </c>
      <c r="E266">
        <v>48442</v>
      </c>
      <c r="F266" s="6">
        <v>39127457.944687635</v>
      </c>
      <c r="G266" s="5">
        <v>13849935</v>
      </c>
      <c r="H266">
        <v>0</v>
      </c>
      <c r="I266" s="1">
        <v>2.8251004748172202</v>
      </c>
    </row>
    <row r="267" spans="1:9" x14ac:dyDescent="0.3">
      <c r="A267" t="s">
        <v>16</v>
      </c>
      <c r="B267">
        <v>2019</v>
      </c>
      <c r="C267">
        <v>2</v>
      </c>
      <c r="D267" t="s">
        <v>9</v>
      </c>
      <c r="E267">
        <v>2512932</v>
      </c>
      <c r="F267" s="6">
        <v>539315772.86065733</v>
      </c>
      <c r="G267" s="5">
        <v>16501408</v>
      </c>
      <c r="H267">
        <v>80853586</v>
      </c>
      <c r="I267" s="1">
        <v>32.683015465144386</v>
      </c>
    </row>
    <row r="268" spans="1:9" x14ac:dyDescent="0.3">
      <c r="A268" t="s">
        <v>16</v>
      </c>
      <c r="B268">
        <v>2019</v>
      </c>
      <c r="C268">
        <v>2</v>
      </c>
      <c r="D268" t="s">
        <v>10</v>
      </c>
      <c r="E268">
        <v>2293770</v>
      </c>
      <c r="F268" s="6">
        <v>10035232820.852964</v>
      </c>
      <c r="G268" s="5">
        <v>16501408</v>
      </c>
      <c r="H268">
        <v>80853586</v>
      </c>
      <c r="I268" s="1">
        <v>608.14403357901119</v>
      </c>
    </row>
    <row r="269" spans="1:9" x14ac:dyDescent="0.3">
      <c r="A269" t="s">
        <v>16</v>
      </c>
      <c r="B269">
        <v>2019</v>
      </c>
      <c r="C269">
        <v>2</v>
      </c>
      <c r="D269" t="s">
        <v>11</v>
      </c>
      <c r="E269">
        <v>573646</v>
      </c>
      <c r="F269" s="6">
        <v>326844709.5879724</v>
      </c>
      <c r="G269" s="5">
        <v>16501408</v>
      </c>
      <c r="H269">
        <v>80853586</v>
      </c>
      <c r="I269" s="1">
        <v>19.807080073892628</v>
      </c>
    </row>
    <row r="270" spans="1:9" x14ac:dyDescent="0.3">
      <c r="A270" t="s">
        <v>16</v>
      </c>
      <c r="B270">
        <v>2019</v>
      </c>
      <c r="C270">
        <v>2</v>
      </c>
      <c r="D270" t="s">
        <v>12</v>
      </c>
      <c r="E270">
        <v>13654</v>
      </c>
      <c r="F270" s="6">
        <v>4037222.4142405642</v>
      </c>
      <c r="G270" s="5">
        <v>16501408</v>
      </c>
      <c r="H270">
        <v>80853586</v>
      </c>
      <c r="I270" s="1">
        <v>0.24465926872667862</v>
      </c>
    </row>
    <row r="271" spans="1:9" x14ac:dyDescent="0.3">
      <c r="A271" t="s">
        <v>16</v>
      </c>
      <c r="B271">
        <v>2019</v>
      </c>
      <c r="C271">
        <v>2</v>
      </c>
      <c r="D271" t="s">
        <v>13</v>
      </c>
      <c r="E271">
        <v>60927</v>
      </c>
      <c r="F271" s="6">
        <v>49538663.410375819</v>
      </c>
      <c r="G271" s="5">
        <v>16501408</v>
      </c>
      <c r="H271">
        <v>80853586</v>
      </c>
      <c r="I271" s="1">
        <v>3.0020870588967812</v>
      </c>
    </row>
    <row r="272" spans="1:9" x14ac:dyDescent="0.3">
      <c r="A272" t="s">
        <v>16</v>
      </c>
      <c r="B272">
        <v>2019</v>
      </c>
      <c r="C272">
        <v>3</v>
      </c>
      <c r="D272" t="s">
        <v>10</v>
      </c>
      <c r="E272">
        <v>2713539</v>
      </c>
      <c r="F272" s="6">
        <v>11835800855.176552</v>
      </c>
      <c r="G272" s="5">
        <v>19046753</v>
      </c>
      <c r="H272">
        <v>279330403</v>
      </c>
      <c r="I272" s="1">
        <v>621.40779875585895</v>
      </c>
    </row>
    <row r="273" spans="1:9" x14ac:dyDescent="0.3">
      <c r="A273" t="s">
        <v>16</v>
      </c>
      <c r="B273">
        <v>2019</v>
      </c>
      <c r="C273">
        <v>3</v>
      </c>
      <c r="D273" t="s">
        <v>9</v>
      </c>
      <c r="E273">
        <v>2645302</v>
      </c>
      <c r="F273" s="6">
        <v>639885372.74809051</v>
      </c>
      <c r="G273" s="5">
        <v>19046753</v>
      </c>
      <c r="H273">
        <v>279330403</v>
      </c>
      <c r="I273" s="1">
        <v>33.59550957310627</v>
      </c>
    </row>
    <row r="274" spans="1:9" x14ac:dyDescent="0.3">
      <c r="A274" t="s">
        <v>16</v>
      </c>
      <c r="B274">
        <v>2019</v>
      </c>
      <c r="C274">
        <v>3</v>
      </c>
      <c r="D274" t="s">
        <v>11</v>
      </c>
      <c r="E274">
        <v>513728</v>
      </c>
      <c r="F274" s="6">
        <v>421380275.42074293</v>
      </c>
      <c r="G274" s="5">
        <v>19046753</v>
      </c>
      <c r="H274">
        <v>279330403</v>
      </c>
      <c r="I274" s="1">
        <v>22.123470358477526</v>
      </c>
    </row>
    <row r="275" spans="1:9" x14ac:dyDescent="0.3">
      <c r="A275" t="s">
        <v>16</v>
      </c>
      <c r="B275">
        <v>2019</v>
      </c>
      <c r="C275">
        <v>3</v>
      </c>
      <c r="D275" t="s">
        <v>12</v>
      </c>
      <c r="E275">
        <v>8606</v>
      </c>
      <c r="F275" s="6">
        <v>6403456.3447687859</v>
      </c>
      <c r="G275" s="5">
        <v>19046753</v>
      </c>
      <c r="H275">
        <v>279330403</v>
      </c>
      <c r="I275" s="1">
        <v>0.33619674412582479</v>
      </c>
    </row>
    <row r="276" spans="1:9" x14ac:dyDescent="0.3">
      <c r="A276" t="s">
        <v>16</v>
      </c>
      <c r="B276">
        <v>2019</v>
      </c>
      <c r="C276">
        <v>3</v>
      </c>
      <c r="D276" t="s">
        <v>13</v>
      </c>
      <c r="E276">
        <v>61396</v>
      </c>
      <c r="F276" s="6">
        <v>46973660.736343533</v>
      </c>
      <c r="G276" s="5">
        <v>19046753</v>
      </c>
      <c r="H276">
        <v>279330403</v>
      </c>
      <c r="I276" s="1">
        <v>2.4662293219397307</v>
      </c>
    </row>
    <row r="277" spans="1:9" x14ac:dyDescent="0.3">
      <c r="A277" t="s">
        <v>16</v>
      </c>
      <c r="B277">
        <v>2019</v>
      </c>
      <c r="C277">
        <v>4</v>
      </c>
      <c r="D277" t="s">
        <v>10</v>
      </c>
      <c r="E277">
        <v>3222143</v>
      </c>
      <c r="F277" s="6">
        <v>14083346879.361855</v>
      </c>
      <c r="G277" s="5">
        <v>21353420</v>
      </c>
      <c r="H277">
        <v>292593939</v>
      </c>
      <c r="I277" s="1">
        <v>659.53589070799217</v>
      </c>
    </row>
    <row r="278" spans="1:9" x14ac:dyDescent="0.3">
      <c r="A278" t="s">
        <v>16</v>
      </c>
      <c r="B278">
        <v>2019</v>
      </c>
      <c r="C278">
        <v>4</v>
      </c>
      <c r="D278" t="s">
        <v>9</v>
      </c>
      <c r="E278">
        <v>2937800</v>
      </c>
      <c r="F278" s="6">
        <v>704118873.97209406</v>
      </c>
      <c r="G278" s="5">
        <v>21353420</v>
      </c>
      <c r="H278">
        <v>292593939</v>
      </c>
      <c r="I278" s="1">
        <v>32.974524641584068</v>
      </c>
    </row>
    <row r="279" spans="1:9" x14ac:dyDescent="0.3">
      <c r="A279" t="s">
        <v>16</v>
      </c>
      <c r="B279">
        <v>2019</v>
      </c>
      <c r="C279">
        <v>4</v>
      </c>
      <c r="D279" t="s">
        <v>11</v>
      </c>
      <c r="E279">
        <v>544053</v>
      </c>
      <c r="F279" s="6">
        <v>456318130.082201</v>
      </c>
      <c r="G279" s="5">
        <v>21353420</v>
      </c>
      <c r="H279">
        <v>292593939</v>
      </c>
      <c r="I279" s="1">
        <v>21.369791353431957</v>
      </c>
    </row>
    <row r="280" spans="1:9" x14ac:dyDescent="0.3">
      <c r="A280" t="s">
        <v>16</v>
      </c>
      <c r="B280">
        <v>2019</v>
      </c>
      <c r="C280">
        <v>4</v>
      </c>
      <c r="D280" t="s">
        <v>12</v>
      </c>
      <c r="E280">
        <v>9621</v>
      </c>
      <c r="F280" s="6">
        <v>3492255.0860687294</v>
      </c>
      <c r="G280" s="5">
        <v>21353420</v>
      </c>
      <c r="H280">
        <v>292593939</v>
      </c>
      <c r="I280" s="1">
        <v>0.16354546887893037</v>
      </c>
    </row>
    <row r="281" spans="1:9" x14ac:dyDescent="0.3">
      <c r="A281" t="s">
        <v>16</v>
      </c>
      <c r="B281">
        <v>2019</v>
      </c>
      <c r="C281">
        <v>4</v>
      </c>
      <c r="D281" t="s">
        <v>13</v>
      </c>
      <c r="E281">
        <v>46893</v>
      </c>
      <c r="F281" s="6">
        <v>34707757.009855896</v>
      </c>
      <c r="G281" s="5">
        <v>21353420</v>
      </c>
      <c r="H281">
        <v>292593939</v>
      </c>
      <c r="I281" s="1">
        <v>1.6253956981999087</v>
      </c>
    </row>
    <row r="282" spans="1:9" x14ac:dyDescent="0.3">
      <c r="A282" t="s">
        <v>16</v>
      </c>
      <c r="B282">
        <v>2020</v>
      </c>
      <c r="C282">
        <v>1</v>
      </c>
      <c r="D282" t="s">
        <v>10</v>
      </c>
      <c r="E282">
        <v>4058740</v>
      </c>
      <c r="F282" s="6">
        <v>18977446151.768826</v>
      </c>
      <c r="G282" s="5">
        <v>24045318</v>
      </c>
      <c r="H282">
        <v>364076812</v>
      </c>
      <c r="I282" s="1">
        <v>789.2366468918741</v>
      </c>
    </row>
    <row r="283" spans="1:9" x14ac:dyDescent="0.3">
      <c r="A283" t="s">
        <v>16</v>
      </c>
      <c r="B283">
        <v>2020</v>
      </c>
      <c r="C283">
        <v>1</v>
      </c>
      <c r="D283" t="s">
        <v>9</v>
      </c>
      <c r="E283">
        <v>3897975</v>
      </c>
      <c r="F283" s="6">
        <v>971722606.15794683</v>
      </c>
      <c r="G283" s="5">
        <v>24045318</v>
      </c>
      <c r="H283">
        <v>364076812</v>
      </c>
      <c r="I283" s="1">
        <v>40.412133711766543</v>
      </c>
    </row>
    <row r="284" spans="1:9" x14ac:dyDescent="0.3">
      <c r="A284" t="s">
        <v>16</v>
      </c>
      <c r="B284">
        <v>2020</v>
      </c>
      <c r="C284">
        <v>1</v>
      </c>
      <c r="D284" t="s">
        <v>11</v>
      </c>
      <c r="E284">
        <v>792646</v>
      </c>
      <c r="F284" s="6">
        <v>675423852.95127487</v>
      </c>
      <c r="G284" s="5">
        <v>24045318</v>
      </c>
      <c r="H284">
        <v>364076812</v>
      </c>
      <c r="I284" s="1">
        <v>28.089620314078395</v>
      </c>
    </row>
    <row r="285" spans="1:9" x14ac:dyDescent="0.3">
      <c r="A285" t="s">
        <v>16</v>
      </c>
      <c r="B285">
        <v>2020</v>
      </c>
      <c r="C285">
        <v>1</v>
      </c>
      <c r="D285" t="s">
        <v>12</v>
      </c>
      <c r="E285">
        <v>10173</v>
      </c>
      <c r="F285" s="6">
        <v>7054325.5075156558</v>
      </c>
      <c r="G285" s="5">
        <v>24045318</v>
      </c>
      <c r="H285">
        <v>364076812</v>
      </c>
      <c r="I285" s="1">
        <v>0.29337626175356285</v>
      </c>
    </row>
    <row r="286" spans="1:9" x14ac:dyDescent="0.3">
      <c r="A286" t="s">
        <v>16</v>
      </c>
      <c r="B286">
        <v>2020</v>
      </c>
      <c r="C286">
        <v>1</v>
      </c>
      <c r="D286" t="s">
        <v>13</v>
      </c>
      <c r="E286">
        <v>49326</v>
      </c>
      <c r="F286" s="6">
        <v>36781411.343680352</v>
      </c>
      <c r="G286" s="5">
        <v>24045318</v>
      </c>
      <c r="H286">
        <v>364076812</v>
      </c>
      <c r="I286" s="1">
        <v>1.5296704058428485</v>
      </c>
    </row>
    <row r="287" spans="1:9" x14ac:dyDescent="0.3">
      <c r="A287" t="s">
        <v>16</v>
      </c>
      <c r="B287">
        <v>2020</v>
      </c>
      <c r="C287">
        <v>2</v>
      </c>
      <c r="D287" t="s">
        <v>9</v>
      </c>
      <c r="E287">
        <v>6045321</v>
      </c>
      <c r="F287" s="6">
        <v>1612522828.7163475</v>
      </c>
      <c r="G287" s="5">
        <v>28059713</v>
      </c>
      <c r="H287">
        <v>432354164</v>
      </c>
      <c r="I287" s="1">
        <v>57.467545327935014</v>
      </c>
    </row>
    <row r="288" spans="1:9" x14ac:dyDescent="0.3">
      <c r="A288" t="s">
        <v>16</v>
      </c>
      <c r="B288">
        <v>2020</v>
      </c>
      <c r="C288">
        <v>2</v>
      </c>
      <c r="D288" t="s">
        <v>10</v>
      </c>
      <c r="E288">
        <v>3648386</v>
      </c>
      <c r="F288" s="6">
        <v>17358374071.266159</v>
      </c>
      <c r="G288" s="5">
        <v>28059713</v>
      </c>
      <c r="H288">
        <v>432354164</v>
      </c>
      <c r="I288" s="1">
        <v>618.6226520301957</v>
      </c>
    </row>
    <row r="289" spans="1:9" x14ac:dyDescent="0.3">
      <c r="A289" t="s">
        <v>16</v>
      </c>
      <c r="B289">
        <v>2020</v>
      </c>
      <c r="C289">
        <v>2</v>
      </c>
      <c r="D289" t="s">
        <v>11</v>
      </c>
      <c r="E289">
        <v>742400</v>
      </c>
      <c r="F289" s="6">
        <v>749018053.24005842</v>
      </c>
      <c r="G289" s="5">
        <v>28059713</v>
      </c>
      <c r="H289">
        <v>432354164</v>
      </c>
      <c r="I289" s="1">
        <v>26.693717545865791</v>
      </c>
    </row>
    <row r="290" spans="1:9" x14ac:dyDescent="0.3">
      <c r="A290" t="s">
        <v>16</v>
      </c>
      <c r="B290">
        <v>2020</v>
      </c>
      <c r="C290">
        <v>2</v>
      </c>
      <c r="D290" t="s">
        <v>12</v>
      </c>
      <c r="E290">
        <v>19814</v>
      </c>
      <c r="F290" s="6">
        <v>18130004.687672265</v>
      </c>
      <c r="G290" s="5">
        <v>28059713</v>
      </c>
      <c r="H290">
        <v>432354164</v>
      </c>
      <c r="I290" s="1">
        <v>0.64612224250733663</v>
      </c>
    </row>
    <row r="291" spans="1:9" x14ac:dyDescent="0.3">
      <c r="A291" t="s">
        <v>16</v>
      </c>
      <c r="B291">
        <v>2020</v>
      </c>
      <c r="C291">
        <v>2</v>
      </c>
      <c r="D291" t="s">
        <v>13</v>
      </c>
      <c r="E291">
        <v>49278</v>
      </c>
      <c r="F291" s="6">
        <v>28255168.009208795</v>
      </c>
      <c r="G291" s="5">
        <v>28059713</v>
      </c>
      <c r="H291">
        <v>432354164</v>
      </c>
      <c r="I291" s="1">
        <v>1.0069656809821539</v>
      </c>
    </row>
    <row r="292" spans="1:9" x14ac:dyDescent="0.3">
      <c r="A292" t="s">
        <v>16</v>
      </c>
      <c r="B292">
        <v>2020</v>
      </c>
      <c r="C292">
        <v>3</v>
      </c>
      <c r="D292" t="s">
        <v>10</v>
      </c>
      <c r="E292">
        <v>5637893</v>
      </c>
      <c r="F292" s="6">
        <v>26646565777.43919</v>
      </c>
      <c r="G292" s="5">
        <v>31130121</v>
      </c>
      <c r="H292">
        <v>460628058</v>
      </c>
      <c r="I292" s="1">
        <v>855.97372966970443</v>
      </c>
    </row>
    <row r="293" spans="1:9" x14ac:dyDescent="0.3">
      <c r="A293" t="s">
        <v>16</v>
      </c>
      <c r="B293">
        <v>2020</v>
      </c>
      <c r="C293">
        <v>3</v>
      </c>
      <c r="D293" t="s">
        <v>9</v>
      </c>
      <c r="E293">
        <v>5292154</v>
      </c>
      <c r="F293" s="6">
        <v>1627282415.9451878</v>
      </c>
      <c r="G293" s="5">
        <v>31130121</v>
      </c>
      <c r="H293">
        <v>460628058</v>
      </c>
      <c r="I293" s="1">
        <v>52.273565398129605</v>
      </c>
    </row>
    <row r="294" spans="1:9" x14ac:dyDescent="0.3">
      <c r="A294" t="s">
        <v>16</v>
      </c>
      <c r="B294">
        <v>2020</v>
      </c>
      <c r="C294">
        <v>3</v>
      </c>
      <c r="D294" t="s">
        <v>11</v>
      </c>
      <c r="E294">
        <v>1383230</v>
      </c>
      <c r="F294" s="6">
        <v>1492484153.3873158</v>
      </c>
      <c r="G294" s="5">
        <v>31130121</v>
      </c>
      <c r="H294">
        <v>460628058</v>
      </c>
      <c r="I294" s="1">
        <v>47.94340996577931</v>
      </c>
    </row>
    <row r="295" spans="1:9" x14ac:dyDescent="0.3">
      <c r="A295" t="s">
        <v>16</v>
      </c>
      <c r="B295">
        <v>2020</v>
      </c>
      <c r="C295">
        <v>3</v>
      </c>
      <c r="D295" t="s">
        <v>12</v>
      </c>
      <c r="E295">
        <v>24954</v>
      </c>
      <c r="F295" s="6">
        <v>28452966.026372254</v>
      </c>
      <c r="G295" s="5">
        <v>31130121</v>
      </c>
      <c r="H295">
        <v>460628058</v>
      </c>
      <c r="I295" s="1">
        <v>0.91400113820220141</v>
      </c>
    </row>
    <row r="296" spans="1:9" x14ac:dyDescent="0.3">
      <c r="A296" t="s">
        <v>16</v>
      </c>
      <c r="B296">
        <v>2020</v>
      </c>
      <c r="C296">
        <v>3</v>
      </c>
      <c r="D296" t="s">
        <v>13</v>
      </c>
      <c r="E296">
        <v>59480</v>
      </c>
      <c r="F296" s="6">
        <v>36605946.746002689</v>
      </c>
      <c r="G296" s="5">
        <v>31130121</v>
      </c>
      <c r="H296">
        <v>460628058</v>
      </c>
      <c r="I296" s="1">
        <v>1.1759012034036966</v>
      </c>
    </row>
    <row r="297" spans="1:9" x14ac:dyDescent="0.3">
      <c r="A297" t="s">
        <v>16</v>
      </c>
      <c r="B297">
        <v>2020</v>
      </c>
      <c r="C297">
        <v>4</v>
      </c>
      <c r="D297" t="s">
        <v>10</v>
      </c>
      <c r="E297">
        <v>7538478</v>
      </c>
      <c r="F297" s="6">
        <v>36013292450.814384</v>
      </c>
      <c r="G297" s="5">
        <v>34167683</v>
      </c>
      <c r="H297">
        <v>542539954</v>
      </c>
      <c r="I297" s="1">
        <v>1054.0162307995654</v>
      </c>
    </row>
    <row r="298" spans="1:9" x14ac:dyDescent="0.3">
      <c r="A298" t="s">
        <v>16</v>
      </c>
      <c r="B298">
        <v>2020</v>
      </c>
      <c r="C298">
        <v>4</v>
      </c>
      <c r="D298" t="s">
        <v>9</v>
      </c>
      <c r="E298">
        <v>5383505</v>
      </c>
      <c r="F298" s="6">
        <v>1662189124.4177454</v>
      </c>
      <c r="G298" s="5">
        <v>34167683</v>
      </c>
      <c r="H298">
        <v>542539954</v>
      </c>
      <c r="I298" s="1">
        <v>48.647990688093934</v>
      </c>
    </row>
    <row r="299" spans="1:9" x14ac:dyDescent="0.3">
      <c r="A299" t="s">
        <v>16</v>
      </c>
      <c r="B299">
        <v>2020</v>
      </c>
      <c r="C299">
        <v>4</v>
      </c>
      <c r="D299" t="s">
        <v>11</v>
      </c>
      <c r="E299">
        <v>2392184</v>
      </c>
      <c r="F299" s="6">
        <v>2466913305.5903902</v>
      </c>
      <c r="G299" s="5">
        <v>34167683</v>
      </c>
      <c r="H299">
        <v>542539954</v>
      </c>
      <c r="I299" s="1">
        <v>72.200192959832549</v>
      </c>
    </row>
    <row r="300" spans="1:9" x14ac:dyDescent="0.3">
      <c r="A300" t="s">
        <v>16</v>
      </c>
      <c r="B300">
        <v>2020</v>
      </c>
      <c r="C300">
        <v>4</v>
      </c>
      <c r="D300" t="s">
        <v>12</v>
      </c>
      <c r="E300">
        <v>29764</v>
      </c>
      <c r="F300" s="6">
        <v>32314809.975261033</v>
      </c>
      <c r="G300" s="5">
        <v>34167683</v>
      </c>
      <c r="H300">
        <v>542539954</v>
      </c>
      <c r="I300" s="1">
        <v>0.94577118311654418</v>
      </c>
    </row>
    <row r="301" spans="1:9" x14ac:dyDescent="0.3">
      <c r="A301" t="s">
        <v>16</v>
      </c>
      <c r="B301">
        <v>2020</v>
      </c>
      <c r="C301">
        <v>4</v>
      </c>
      <c r="D301" t="s">
        <v>13</v>
      </c>
      <c r="E301">
        <v>79523</v>
      </c>
      <c r="F301" s="6">
        <v>51901628.466430493</v>
      </c>
      <c r="G301" s="5">
        <v>34167683</v>
      </c>
      <c r="H301">
        <v>542539954</v>
      </c>
      <c r="I301" s="1">
        <v>1.5190268671841312</v>
      </c>
    </row>
    <row r="302" spans="1:9" x14ac:dyDescent="0.3">
      <c r="A302" t="s">
        <v>16</v>
      </c>
      <c r="B302">
        <v>2021</v>
      </c>
      <c r="C302">
        <v>1</v>
      </c>
      <c r="D302" t="s">
        <v>10</v>
      </c>
      <c r="E302">
        <v>9449096</v>
      </c>
      <c r="F302" s="6">
        <v>45476079487.104637</v>
      </c>
      <c r="G302" s="5">
        <v>36942928</v>
      </c>
      <c r="H302">
        <v>624276004</v>
      </c>
      <c r="I302" s="1">
        <v>1230.9820024851479</v>
      </c>
    </row>
    <row r="303" spans="1:9" x14ac:dyDescent="0.3">
      <c r="A303" t="s">
        <v>16</v>
      </c>
      <c r="B303">
        <v>2021</v>
      </c>
      <c r="C303">
        <v>1</v>
      </c>
      <c r="D303" t="s">
        <v>9</v>
      </c>
      <c r="E303">
        <v>6494111</v>
      </c>
      <c r="F303" s="6">
        <v>2103017761.5465331</v>
      </c>
      <c r="G303" s="5">
        <v>36942928</v>
      </c>
      <c r="H303">
        <v>624276004</v>
      </c>
      <c r="I303" s="1">
        <v>56.926125659193367</v>
      </c>
    </row>
    <row r="304" spans="1:9" x14ac:dyDescent="0.3">
      <c r="A304" t="s">
        <v>16</v>
      </c>
      <c r="B304">
        <v>2021</v>
      </c>
      <c r="C304">
        <v>1</v>
      </c>
      <c r="D304" t="s">
        <v>11</v>
      </c>
      <c r="E304">
        <v>3459132</v>
      </c>
      <c r="F304" s="6">
        <v>3657261586.2001615</v>
      </c>
      <c r="G304" s="5">
        <v>36942928</v>
      </c>
      <c r="H304">
        <v>624276004</v>
      </c>
      <c r="I304" s="1">
        <v>98.997610211084549</v>
      </c>
    </row>
    <row r="305" spans="1:9" x14ac:dyDescent="0.3">
      <c r="A305" t="s">
        <v>16</v>
      </c>
      <c r="B305">
        <v>2021</v>
      </c>
      <c r="C305">
        <v>1</v>
      </c>
      <c r="D305" t="s">
        <v>12</v>
      </c>
      <c r="E305">
        <v>34049</v>
      </c>
      <c r="F305" s="6">
        <v>41291047.383212402</v>
      </c>
      <c r="G305" s="5">
        <v>36942928</v>
      </c>
      <c r="H305">
        <v>624276004</v>
      </c>
      <c r="I305" s="1">
        <v>1.1176982881057074</v>
      </c>
    </row>
    <row r="306" spans="1:9" x14ac:dyDescent="0.3">
      <c r="A306" t="s">
        <v>16</v>
      </c>
      <c r="B306">
        <v>2021</v>
      </c>
      <c r="C306">
        <v>1</v>
      </c>
      <c r="D306" t="s">
        <v>13</v>
      </c>
      <c r="E306">
        <v>75672</v>
      </c>
      <c r="F306" s="6">
        <v>48814663.887828268</v>
      </c>
      <c r="G306" s="5">
        <v>36942928</v>
      </c>
      <c r="H306">
        <v>624276004</v>
      </c>
      <c r="I306" s="1">
        <v>1.3213534099903579</v>
      </c>
    </row>
    <row r="307" spans="1:9" x14ac:dyDescent="0.3">
      <c r="A307" t="s">
        <v>16</v>
      </c>
      <c r="B307">
        <v>2021</v>
      </c>
      <c r="C307">
        <v>2</v>
      </c>
      <c r="D307" t="s">
        <v>10</v>
      </c>
      <c r="E307">
        <v>11668399</v>
      </c>
      <c r="F307" s="6">
        <v>51521387890.612534</v>
      </c>
      <c r="G307" s="5">
        <v>39787616</v>
      </c>
      <c r="H307">
        <v>1122042790</v>
      </c>
      <c r="I307" s="1">
        <v>1294.9101522094847</v>
      </c>
    </row>
    <row r="308" spans="1:9" x14ac:dyDescent="0.3">
      <c r="A308" t="s">
        <v>16</v>
      </c>
      <c r="B308">
        <v>2021</v>
      </c>
      <c r="C308">
        <v>2</v>
      </c>
      <c r="D308" t="s">
        <v>9</v>
      </c>
      <c r="E308">
        <v>9058005</v>
      </c>
      <c r="F308" s="6">
        <v>2657676415.2458973</v>
      </c>
      <c r="G308" s="5">
        <v>39787616</v>
      </c>
      <c r="H308">
        <v>1122042790</v>
      </c>
      <c r="I308" s="1">
        <v>66.796573467631163</v>
      </c>
    </row>
    <row r="309" spans="1:9" x14ac:dyDescent="0.3">
      <c r="A309" t="s">
        <v>16</v>
      </c>
      <c r="B309">
        <v>2021</v>
      </c>
      <c r="C309">
        <v>2</v>
      </c>
      <c r="D309" t="s">
        <v>11</v>
      </c>
      <c r="E309">
        <v>4562669</v>
      </c>
      <c r="F309" s="6">
        <v>4914753140.0401011</v>
      </c>
      <c r="G309" s="5">
        <v>39787616</v>
      </c>
      <c r="H309">
        <v>1122042790</v>
      </c>
      <c r="I309" s="1">
        <v>123.52469522275727</v>
      </c>
    </row>
    <row r="310" spans="1:9" x14ac:dyDescent="0.3">
      <c r="A310" t="s">
        <v>16</v>
      </c>
      <c r="B310">
        <v>2021</v>
      </c>
      <c r="C310">
        <v>2</v>
      </c>
      <c r="D310" t="s">
        <v>12</v>
      </c>
      <c r="E310">
        <v>49671</v>
      </c>
      <c r="F310" s="6">
        <v>46106001.498141706</v>
      </c>
      <c r="G310" s="5">
        <v>39787616</v>
      </c>
      <c r="H310">
        <v>1122042790</v>
      </c>
      <c r="I310" s="1">
        <v>1.1588028168901023</v>
      </c>
    </row>
    <row r="311" spans="1:9" x14ac:dyDescent="0.3">
      <c r="A311" t="s">
        <v>16</v>
      </c>
      <c r="B311">
        <v>2021</v>
      </c>
      <c r="C311">
        <v>2</v>
      </c>
      <c r="D311" t="s">
        <v>13</v>
      </c>
      <c r="E311">
        <v>94161</v>
      </c>
      <c r="F311" s="6">
        <v>52549929.267157935</v>
      </c>
      <c r="G311" s="5">
        <v>39787616</v>
      </c>
      <c r="H311">
        <v>1122042790</v>
      </c>
      <c r="I311" s="1">
        <v>1.3207609439871424</v>
      </c>
    </row>
    <row r="312" spans="1:9" x14ac:dyDescent="0.3">
      <c r="A312" t="s">
        <v>16</v>
      </c>
      <c r="B312">
        <v>2021</v>
      </c>
      <c r="C312">
        <v>3</v>
      </c>
      <c r="D312" t="s">
        <v>10</v>
      </c>
      <c r="E312">
        <v>15617592</v>
      </c>
      <c r="F312" s="6">
        <v>64131823895.235466</v>
      </c>
      <c r="G312" s="5">
        <v>43103280</v>
      </c>
      <c r="H312">
        <v>1488174941</v>
      </c>
      <c r="I312" s="1">
        <v>1487.864122990999</v>
      </c>
    </row>
    <row r="313" spans="1:9" x14ac:dyDescent="0.3">
      <c r="A313" t="s">
        <v>16</v>
      </c>
      <c r="B313">
        <v>2021</v>
      </c>
      <c r="C313">
        <v>3</v>
      </c>
      <c r="D313" t="s">
        <v>9</v>
      </c>
      <c r="E313">
        <v>10284267</v>
      </c>
      <c r="F313" s="6">
        <v>3248364164.1984267</v>
      </c>
      <c r="G313" s="5">
        <v>43103280</v>
      </c>
      <c r="H313">
        <v>1488174941</v>
      </c>
      <c r="I313" s="1">
        <v>75.362342823989891</v>
      </c>
    </row>
    <row r="314" spans="1:9" x14ac:dyDescent="0.3">
      <c r="A314" t="s">
        <v>16</v>
      </c>
      <c r="B314">
        <v>2021</v>
      </c>
      <c r="C314">
        <v>3</v>
      </c>
      <c r="D314" t="s">
        <v>11</v>
      </c>
      <c r="E314">
        <v>7431371</v>
      </c>
      <c r="F314" s="6">
        <v>8208706348.034584</v>
      </c>
      <c r="G314" s="5">
        <v>43103280</v>
      </c>
      <c r="H314">
        <v>1488174941</v>
      </c>
      <c r="I314" s="1">
        <v>190.44273076282326</v>
      </c>
    </row>
    <row r="315" spans="1:9" x14ac:dyDescent="0.3">
      <c r="A315" t="s">
        <v>16</v>
      </c>
      <c r="B315">
        <v>2021</v>
      </c>
      <c r="C315">
        <v>3</v>
      </c>
      <c r="D315" t="s">
        <v>12</v>
      </c>
      <c r="E315">
        <v>39479</v>
      </c>
      <c r="F315" s="6">
        <v>43889820.495989755</v>
      </c>
      <c r="G315" s="5">
        <v>43103280</v>
      </c>
      <c r="H315">
        <v>1488174941</v>
      </c>
      <c r="I315" s="1">
        <v>1.0182478107464155</v>
      </c>
    </row>
    <row r="316" spans="1:9" x14ac:dyDescent="0.3">
      <c r="A316" t="s">
        <v>16</v>
      </c>
      <c r="B316">
        <v>2021</v>
      </c>
      <c r="C316">
        <v>3</v>
      </c>
      <c r="D316" t="s">
        <v>13</v>
      </c>
      <c r="E316">
        <v>131732</v>
      </c>
      <c r="F316" s="6">
        <v>67715045.343172163</v>
      </c>
      <c r="G316" s="5">
        <v>43103280</v>
      </c>
      <c r="H316">
        <v>1488174941</v>
      </c>
      <c r="I316" s="1">
        <v>1.5709951851267969</v>
      </c>
    </row>
    <row r="317" spans="1:9" x14ac:dyDescent="0.3">
      <c r="A317" t="s">
        <v>16</v>
      </c>
      <c r="B317">
        <v>2021</v>
      </c>
      <c r="C317">
        <v>4</v>
      </c>
      <c r="D317" t="s">
        <v>10</v>
      </c>
      <c r="E317">
        <v>21393962</v>
      </c>
      <c r="F317" s="6">
        <v>86801625126.534988</v>
      </c>
      <c r="G317" s="5">
        <v>46305501</v>
      </c>
      <c r="H317">
        <v>1436604785</v>
      </c>
      <c r="I317" s="1">
        <v>1874.542403213281</v>
      </c>
    </row>
    <row r="318" spans="1:9" x14ac:dyDescent="0.3">
      <c r="A318" t="s">
        <v>16</v>
      </c>
      <c r="B318">
        <v>2021</v>
      </c>
      <c r="C318">
        <v>4</v>
      </c>
      <c r="D318" t="s">
        <v>11</v>
      </c>
      <c r="E318">
        <v>12895755</v>
      </c>
      <c r="F318" s="6">
        <v>13378765005.905182</v>
      </c>
      <c r="G318" s="5">
        <v>46305501</v>
      </c>
      <c r="H318">
        <v>1436604785</v>
      </c>
      <c r="I318" s="1">
        <v>288.92387981948804</v>
      </c>
    </row>
    <row r="319" spans="1:9" x14ac:dyDescent="0.3">
      <c r="A319" t="s">
        <v>16</v>
      </c>
      <c r="B319">
        <v>2021</v>
      </c>
      <c r="C319">
        <v>4</v>
      </c>
      <c r="D319" t="s">
        <v>9</v>
      </c>
      <c r="E319">
        <v>11484376</v>
      </c>
      <c r="F319" s="6">
        <v>3842004488.3733196</v>
      </c>
      <c r="G319" s="5">
        <v>46305501</v>
      </c>
      <c r="H319">
        <v>1436604785</v>
      </c>
      <c r="I319" s="1">
        <v>82.970800561542774</v>
      </c>
    </row>
    <row r="320" spans="1:9" x14ac:dyDescent="0.3">
      <c r="A320" t="s">
        <v>16</v>
      </c>
      <c r="B320">
        <v>2021</v>
      </c>
      <c r="C320">
        <v>4</v>
      </c>
      <c r="D320" t="s">
        <v>12</v>
      </c>
      <c r="E320">
        <v>60724</v>
      </c>
      <c r="F320" s="6">
        <v>65456475.826191336</v>
      </c>
      <c r="G320" s="5">
        <v>46305501</v>
      </c>
      <c r="H320">
        <v>1436604785</v>
      </c>
      <c r="I320" s="1">
        <v>1.4135788278414554</v>
      </c>
    </row>
    <row r="321" spans="1:9" x14ac:dyDescent="0.3">
      <c r="A321" t="s">
        <v>16</v>
      </c>
      <c r="B321">
        <v>2021</v>
      </c>
      <c r="C321">
        <v>4</v>
      </c>
      <c r="D321" t="s">
        <v>13</v>
      </c>
      <c r="E321">
        <v>185544</v>
      </c>
      <c r="F321" s="6">
        <v>97116796.57575196</v>
      </c>
      <c r="G321" s="5">
        <v>46305501</v>
      </c>
      <c r="H321">
        <v>1436604785</v>
      </c>
      <c r="I321" s="1">
        <v>2.0973058163381486</v>
      </c>
    </row>
    <row r="322" spans="1:9" x14ac:dyDescent="0.3">
      <c r="A322" t="s">
        <v>17</v>
      </c>
      <c r="B322">
        <v>2018</v>
      </c>
      <c r="C322">
        <v>1</v>
      </c>
      <c r="D322" t="s">
        <v>9</v>
      </c>
      <c r="E322">
        <v>3159922</v>
      </c>
      <c r="F322" s="6">
        <v>375559206.77275932</v>
      </c>
      <c r="G322" s="5">
        <v>23471844</v>
      </c>
      <c r="H322">
        <v>0</v>
      </c>
      <c r="I322" s="1">
        <v>16.000413379228291</v>
      </c>
    </row>
    <row r="323" spans="1:9" x14ac:dyDescent="0.3">
      <c r="A323" t="s">
        <v>17</v>
      </c>
      <c r="B323">
        <v>2018</v>
      </c>
      <c r="C323">
        <v>1</v>
      </c>
      <c r="D323" t="s">
        <v>10</v>
      </c>
      <c r="E323">
        <v>2052089</v>
      </c>
      <c r="F323" s="6">
        <v>5295346761.4508305</v>
      </c>
      <c r="G323" s="5">
        <v>23471844</v>
      </c>
      <c r="H323">
        <v>0</v>
      </c>
      <c r="I323" s="1">
        <v>225.60420738357115</v>
      </c>
    </row>
    <row r="324" spans="1:9" x14ac:dyDescent="0.3">
      <c r="A324" t="s">
        <v>17</v>
      </c>
      <c r="B324">
        <v>2018</v>
      </c>
      <c r="C324">
        <v>1</v>
      </c>
      <c r="D324" t="s">
        <v>12</v>
      </c>
      <c r="E324">
        <v>194295</v>
      </c>
      <c r="F324" s="6">
        <v>33999413.877399519</v>
      </c>
      <c r="G324" s="5">
        <v>23471844</v>
      </c>
      <c r="H324">
        <v>0</v>
      </c>
      <c r="I324" s="1">
        <v>1.4485190800262442</v>
      </c>
    </row>
    <row r="325" spans="1:9" x14ac:dyDescent="0.3">
      <c r="A325" t="s">
        <v>17</v>
      </c>
      <c r="B325">
        <v>2018</v>
      </c>
      <c r="C325">
        <v>1</v>
      </c>
      <c r="D325" t="s">
        <v>11</v>
      </c>
      <c r="E325">
        <v>138885</v>
      </c>
      <c r="F325" s="6">
        <v>139827755.73655012</v>
      </c>
      <c r="G325" s="5">
        <v>23471844</v>
      </c>
      <c r="H325">
        <v>0</v>
      </c>
      <c r="I325" s="1">
        <v>5.9572548171566799</v>
      </c>
    </row>
    <row r="326" spans="1:9" x14ac:dyDescent="0.3">
      <c r="A326" t="s">
        <v>17</v>
      </c>
      <c r="B326">
        <v>2018</v>
      </c>
      <c r="C326">
        <v>1</v>
      </c>
      <c r="D326" t="s">
        <v>13</v>
      </c>
      <c r="E326">
        <v>279111</v>
      </c>
      <c r="F326" s="6">
        <v>201025034.17960182</v>
      </c>
      <c r="G326" s="5">
        <v>23471844</v>
      </c>
      <c r="H326">
        <v>0</v>
      </c>
      <c r="I326" s="1">
        <v>8.5645181596981388</v>
      </c>
    </row>
    <row r="327" spans="1:9" x14ac:dyDescent="0.3">
      <c r="A327" t="s">
        <v>17</v>
      </c>
      <c r="B327">
        <v>2018</v>
      </c>
      <c r="C327">
        <v>2</v>
      </c>
      <c r="D327" t="s">
        <v>9</v>
      </c>
      <c r="E327">
        <v>4346849</v>
      </c>
      <c r="F327" s="6">
        <v>700649777.06029689</v>
      </c>
      <c r="G327" s="5">
        <v>33064592</v>
      </c>
      <c r="H327">
        <v>0</v>
      </c>
      <c r="I327" s="1">
        <v>21.190334877269827</v>
      </c>
    </row>
    <row r="328" spans="1:9" x14ac:dyDescent="0.3">
      <c r="A328" t="s">
        <v>17</v>
      </c>
      <c r="B328">
        <v>2018</v>
      </c>
      <c r="C328">
        <v>2</v>
      </c>
      <c r="D328" t="s">
        <v>10</v>
      </c>
      <c r="E328">
        <v>3447898</v>
      </c>
      <c r="F328" s="6">
        <v>12141448845.077621</v>
      </c>
      <c r="G328" s="5">
        <v>33064592</v>
      </c>
      <c r="H328">
        <v>0</v>
      </c>
      <c r="I328" s="1">
        <v>367.20395174020661</v>
      </c>
    </row>
    <row r="329" spans="1:9" x14ac:dyDescent="0.3">
      <c r="A329" t="s">
        <v>17</v>
      </c>
      <c r="B329">
        <v>2018</v>
      </c>
      <c r="C329">
        <v>2</v>
      </c>
      <c r="D329" t="s">
        <v>11</v>
      </c>
      <c r="E329">
        <v>311487</v>
      </c>
      <c r="F329" s="6">
        <v>318571872.82165271</v>
      </c>
      <c r="G329" s="5">
        <v>33064592</v>
      </c>
      <c r="H329">
        <v>0</v>
      </c>
      <c r="I329" s="1">
        <v>9.6348345330150362</v>
      </c>
    </row>
    <row r="330" spans="1:9" x14ac:dyDescent="0.3">
      <c r="A330" t="s">
        <v>17</v>
      </c>
      <c r="B330">
        <v>2018</v>
      </c>
      <c r="C330">
        <v>2</v>
      </c>
      <c r="D330" t="s">
        <v>12</v>
      </c>
      <c r="E330">
        <v>267433</v>
      </c>
      <c r="F330" s="6">
        <v>45332532.096432865</v>
      </c>
      <c r="G330" s="5">
        <v>33064592</v>
      </c>
      <c r="H330">
        <v>0</v>
      </c>
      <c r="I330" s="1">
        <v>1.3710295320272776</v>
      </c>
    </row>
    <row r="331" spans="1:9" x14ac:dyDescent="0.3">
      <c r="A331" t="s">
        <v>17</v>
      </c>
      <c r="B331">
        <v>2018</v>
      </c>
      <c r="C331">
        <v>2</v>
      </c>
      <c r="D331" t="s">
        <v>13</v>
      </c>
      <c r="E331">
        <v>258711</v>
      </c>
      <c r="F331" s="6">
        <v>300128082.61604577</v>
      </c>
      <c r="G331" s="5">
        <v>33064592</v>
      </c>
      <c r="H331">
        <v>0</v>
      </c>
      <c r="I331" s="1">
        <v>9.0770236214027911</v>
      </c>
    </row>
    <row r="332" spans="1:9" x14ac:dyDescent="0.3">
      <c r="A332" t="s">
        <v>17</v>
      </c>
      <c r="B332">
        <v>2018</v>
      </c>
      <c r="C332">
        <v>3</v>
      </c>
      <c r="D332" t="s">
        <v>10</v>
      </c>
      <c r="E332">
        <v>8893764</v>
      </c>
      <c r="F332" s="6">
        <v>18695889187.894321</v>
      </c>
      <c r="G332" s="5">
        <v>41629885</v>
      </c>
      <c r="H332">
        <v>0</v>
      </c>
      <c r="I332" s="1">
        <v>449.09778607109581</v>
      </c>
    </row>
    <row r="333" spans="1:9" x14ac:dyDescent="0.3">
      <c r="A333" t="s">
        <v>17</v>
      </c>
      <c r="B333">
        <v>2018</v>
      </c>
      <c r="C333">
        <v>3</v>
      </c>
      <c r="D333" t="s">
        <v>9</v>
      </c>
      <c r="E333">
        <v>4401439</v>
      </c>
      <c r="F333" s="6">
        <v>804061398.5166465</v>
      </c>
      <c r="G333" s="5">
        <v>41629885</v>
      </c>
      <c r="H333">
        <v>0</v>
      </c>
      <c r="I333" s="1">
        <v>19.314523653299702</v>
      </c>
    </row>
    <row r="334" spans="1:9" x14ac:dyDescent="0.3">
      <c r="A334" t="s">
        <v>17</v>
      </c>
      <c r="B334">
        <v>2018</v>
      </c>
      <c r="C334">
        <v>3</v>
      </c>
      <c r="D334" t="s">
        <v>11</v>
      </c>
      <c r="E334">
        <v>586862</v>
      </c>
      <c r="F334" s="6">
        <v>367608510.72617811</v>
      </c>
      <c r="G334" s="5">
        <v>41629885</v>
      </c>
      <c r="H334">
        <v>0</v>
      </c>
      <c r="I334" s="1">
        <v>8.8303993807856571</v>
      </c>
    </row>
    <row r="335" spans="1:9" x14ac:dyDescent="0.3">
      <c r="A335" t="s">
        <v>17</v>
      </c>
      <c r="B335">
        <v>2018</v>
      </c>
      <c r="C335">
        <v>3</v>
      </c>
      <c r="D335" t="s">
        <v>12</v>
      </c>
      <c r="E335">
        <v>274510</v>
      </c>
      <c r="F335" s="6">
        <v>33276460.452133462</v>
      </c>
      <c r="G335" s="5">
        <v>41629885</v>
      </c>
      <c r="H335">
        <v>0</v>
      </c>
      <c r="I335" s="1">
        <v>0.79934067682707899</v>
      </c>
    </row>
    <row r="336" spans="1:9" x14ac:dyDescent="0.3">
      <c r="A336" t="s">
        <v>17</v>
      </c>
      <c r="B336">
        <v>2018</v>
      </c>
      <c r="C336">
        <v>3</v>
      </c>
      <c r="D336" t="s">
        <v>13</v>
      </c>
      <c r="E336">
        <v>211229</v>
      </c>
      <c r="F336" s="6">
        <v>234968821.31206354</v>
      </c>
      <c r="G336" s="5">
        <v>41629885</v>
      </c>
      <c r="H336">
        <v>0</v>
      </c>
      <c r="I336" s="1">
        <v>5.6442342156857634</v>
      </c>
    </row>
    <row r="337" spans="1:9" x14ac:dyDescent="0.3">
      <c r="A337" t="s">
        <v>17</v>
      </c>
      <c r="B337">
        <v>2018</v>
      </c>
      <c r="C337">
        <v>4</v>
      </c>
      <c r="D337" t="s">
        <v>10</v>
      </c>
      <c r="E337">
        <v>8094296</v>
      </c>
      <c r="F337" s="6">
        <v>26224303882.803989</v>
      </c>
      <c r="G337" s="5">
        <v>52543315</v>
      </c>
      <c r="H337">
        <v>0</v>
      </c>
      <c r="I337" s="1">
        <v>499.09876989687439</v>
      </c>
    </row>
    <row r="338" spans="1:9" x14ac:dyDescent="0.3">
      <c r="A338" t="s">
        <v>17</v>
      </c>
      <c r="B338">
        <v>2018</v>
      </c>
      <c r="C338">
        <v>4</v>
      </c>
      <c r="D338" t="s">
        <v>9</v>
      </c>
      <c r="E338">
        <v>5469096</v>
      </c>
      <c r="F338" s="6">
        <v>986310785.00937021</v>
      </c>
      <c r="G338" s="5">
        <v>52543315</v>
      </c>
      <c r="H338">
        <v>0</v>
      </c>
      <c r="I338" s="1">
        <v>18.771384809073624</v>
      </c>
    </row>
    <row r="339" spans="1:9" x14ac:dyDescent="0.3">
      <c r="A339" t="s">
        <v>17</v>
      </c>
      <c r="B339">
        <v>2018</v>
      </c>
      <c r="C339">
        <v>4</v>
      </c>
      <c r="D339" t="s">
        <v>11</v>
      </c>
      <c r="E339">
        <v>1680664</v>
      </c>
      <c r="F339" s="6">
        <v>848968693.06656241</v>
      </c>
      <c r="G339" s="5">
        <v>52543315</v>
      </c>
      <c r="H339">
        <v>0</v>
      </c>
      <c r="I339" s="1">
        <v>16.157501540710982</v>
      </c>
    </row>
    <row r="340" spans="1:9" x14ac:dyDescent="0.3">
      <c r="A340" t="s">
        <v>17</v>
      </c>
      <c r="B340">
        <v>2018</v>
      </c>
      <c r="C340">
        <v>4</v>
      </c>
      <c r="D340" t="s">
        <v>12</v>
      </c>
      <c r="E340">
        <v>237247</v>
      </c>
      <c r="F340" s="6">
        <v>36199427.513187692</v>
      </c>
      <c r="G340" s="5">
        <v>52543315</v>
      </c>
      <c r="H340">
        <v>0</v>
      </c>
      <c r="I340" s="1">
        <v>0.68894449299949367</v>
      </c>
    </row>
    <row r="341" spans="1:9" x14ac:dyDescent="0.3">
      <c r="A341" t="s">
        <v>17</v>
      </c>
      <c r="B341">
        <v>2018</v>
      </c>
      <c r="C341">
        <v>4</v>
      </c>
      <c r="D341" t="s">
        <v>13</v>
      </c>
      <c r="E341">
        <v>251098</v>
      </c>
      <c r="F341" s="6">
        <v>302214380.18458414</v>
      </c>
      <c r="G341" s="5">
        <v>52543315</v>
      </c>
      <c r="H341">
        <v>0</v>
      </c>
      <c r="I341" s="1">
        <v>5.7517189424493704</v>
      </c>
    </row>
    <row r="342" spans="1:9" x14ac:dyDescent="0.3">
      <c r="A342" t="s">
        <v>17</v>
      </c>
      <c r="B342">
        <v>2019</v>
      </c>
      <c r="C342">
        <v>1</v>
      </c>
      <c r="D342" t="s">
        <v>10</v>
      </c>
      <c r="E342">
        <v>16807040</v>
      </c>
      <c r="F342" s="6">
        <v>38824078062.32093</v>
      </c>
      <c r="G342" s="5">
        <v>63196287</v>
      </c>
      <c r="H342">
        <v>0</v>
      </c>
      <c r="I342" s="1">
        <v>614.34112517276424</v>
      </c>
    </row>
    <row r="343" spans="1:9" x14ac:dyDescent="0.3">
      <c r="A343" t="s">
        <v>17</v>
      </c>
      <c r="B343">
        <v>2019</v>
      </c>
      <c r="C343">
        <v>1</v>
      </c>
      <c r="D343" t="s">
        <v>9</v>
      </c>
      <c r="E343">
        <v>7036367</v>
      </c>
      <c r="F343" s="6">
        <v>1333688182.5386746</v>
      </c>
      <c r="G343" s="5">
        <v>63196287</v>
      </c>
      <c r="H343">
        <v>0</v>
      </c>
      <c r="I343" s="1">
        <v>21.103900970300273</v>
      </c>
    </row>
    <row r="344" spans="1:9" x14ac:dyDescent="0.3">
      <c r="A344" t="s">
        <v>17</v>
      </c>
      <c r="B344">
        <v>2019</v>
      </c>
      <c r="C344">
        <v>1</v>
      </c>
      <c r="D344" t="s">
        <v>11</v>
      </c>
      <c r="E344">
        <v>2055267</v>
      </c>
      <c r="F344" s="6">
        <v>1024996999.5279309</v>
      </c>
      <c r="G344" s="5">
        <v>63196287</v>
      </c>
      <c r="H344">
        <v>0</v>
      </c>
      <c r="I344" s="1">
        <v>16.219259836071238</v>
      </c>
    </row>
    <row r="345" spans="1:9" x14ac:dyDescent="0.3">
      <c r="A345" t="s">
        <v>17</v>
      </c>
      <c r="B345">
        <v>2019</v>
      </c>
      <c r="C345">
        <v>1</v>
      </c>
      <c r="D345" t="s">
        <v>12</v>
      </c>
      <c r="E345">
        <v>204689</v>
      </c>
      <c r="F345" s="6">
        <v>28599535.734409343</v>
      </c>
      <c r="G345" s="5">
        <v>63196287</v>
      </c>
      <c r="H345">
        <v>0</v>
      </c>
      <c r="I345" s="1">
        <v>0.45255088695969342</v>
      </c>
    </row>
    <row r="346" spans="1:9" x14ac:dyDescent="0.3">
      <c r="A346" t="s">
        <v>17</v>
      </c>
      <c r="B346">
        <v>2019</v>
      </c>
      <c r="C346">
        <v>1</v>
      </c>
      <c r="D346" t="s">
        <v>13</v>
      </c>
      <c r="E346">
        <v>252871</v>
      </c>
      <c r="F346" s="6">
        <v>291464734.40431058</v>
      </c>
      <c r="G346" s="5">
        <v>63196287</v>
      </c>
      <c r="H346">
        <v>0</v>
      </c>
      <c r="I346" s="1">
        <v>4.6120547304355171</v>
      </c>
    </row>
    <row r="347" spans="1:9" x14ac:dyDescent="0.3">
      <c r="A347" t="s">
        <v>17</v>
      </c>
      <c r="B347">
        <v>2019</v>
      </c>
      <c r="C347">
        <v>2</v>
      </c>
      <c r="D347" t="s">
        <v>10</v>
      </c>
      <c r="E347">
        <v>15837449</v>
      </c>
      <c r="F347" s="6">
        <v>58381285240.80835</v>
      </c>
      <c r="G347" s="5">
        <v>72487349</v>
      </c>
      <c r="H347">
        <v>435677242</v>
      </c>
      <c r="I347" s="1">
        <v>805.39964623079743</v>
      </c>
    </row>
    <row r="348" spans="1:9" x14ac:dyDescent="0.3">
      <c r="A348" t="s">
        <v>17</v>
      </c>
      <c r="B348">
        <v>2019</v>
      </c>
      <c r="C348">
        <v>2</v>
      </c>
      <c r="D348" t="s">
        <v>9</v>
      </c>
      <c r="E348">
        <v>9279442</v>
      </c>
      <c r="F348" s="6">
        <v>1996804238.2749753</v>
      </c>
      <c r="G348" s="5">
        <v>72487349</v>
      </c>
      <c r="H348">
        <v>435677242</v>
      </c>
      <c r="I348" s="1">
        <v>27.546934269523021</v>
      </c>
    </row>
    <row r="349" spans="1:9" x14ac:dyDescent="0.3">
      <c r="A349" t="s">
        <v>17</v>
      </c>
      <c r="B349">
        <v>2019</v>
      </c>
      <c r="C349">
        <v>2</v>
      </c>
      <c r="D349" t="s">
        <v>11</v>
      </c>
      <c r="E349">
        <v>4365465</v>
      </c>
      <c r="F349" s="6">
        <v>2308145849.8442569</v>
      </c>
      <c r="G349" s="5">
        <v>72487349</v>
      </c>
      <c r="H349">
        <v>435677242</v>
      </c>
      <c r="I349" s="1">
        <v>31.84205080867638</v>
      </c>
    </row>
    <row r="350" spans="1:9" x14ac:dyDescent="0.3">
      <c r="A350" t="s">
        <v>17</v>
      </c>
      <c r="B350">
        <v>2019</v>
      </c>
      <c r="C350">
        <v>2</v>
      </c>
      <c r="D350" t="s">
        <v>12</v>
      </c>
      <c r="E350">
        <v>129603</v>
      </c>
      <c r="F350" s="6">
        <v>63338108.537554339</v>
      </c>
      <c r="G350" s="5">
        <v>72487349</v>
      </c>
      <c r="H350">
        <v>435677242</v>
      </c>
      <c r="I350" s="1">
        <v>0.87378155514494449</v>
      </c>
    </row>
    <row r="351" spans="1:9" x14ac:dyDescent="0.3">
      <c r="A351" t="s">
        <v>17</v>
      </c>
      <c r="B351">
        <v>2019</v>
      </c>
      <c r="C351">
        <v>2</v>
      </c>
      <c r="D351" t="s">
        <v>13</v>
      </c>
      <c r="E351">
        <v>348520</v>
      </c>
      <c r="F351" s="6">
        <v>382864846.07675749</v>
      </c>
      <c r="G351" s="5">
        <v>72487349</v>
      </c>
      <c r="H351">
        <v>435677242</v>
      </c>
      <c r="I351" s="1">
        <v>5.2818160873390125</v>
      </c>
    </row>
    <row r="352" spans="1:9" x14ac:dyDescent="0.3">
      <c r="A352" t="s">
        <v>17</v>
      </c>
      <c r="B352">
        <v>2019</v>
      </c>
      <c r="C352">
        <v>3</v>
      </c>
      <c r="D352" t="s">
        <v>10</v>
      </c>
      <c r="E352">
        <v>15446119</v>
      </c>
      <c r="F352" s="6">
        <v>61831776093.09613</v>
      </c>
      <c r="G352" s="5">
        <v>81182915</v>
      </c>
      <c r="H352">
        <v>1391734278</v>
      </c>
      <c r="I352" s="1">
        <v>761.63532798860615</v>
      </c>
    </row>
    <row r="353" spans="1:9" x14ac:dyDescent="0.3">
      <c r="A353" t="s">
        <v>17</v>
      </c>
      <c r="B353">
        <v>2019</v>
      </c>
      <c r="C353">
        <v>3</v>
      </c>
      <c r="D353" t="s">
        <v>9</v>
      </c>
      <c r="E353">
        <v>9115040</v>
      </c>
      <c r="F353" s="6">
        <v>2140566974.705637</v>
      </c>
      <c r="G353" s="5">
        <v>81182915</v>
      </c>
      <c r="H353">
        <v>1391734278</v>
      </c>
      <c r="I353" s="1">
        <v>26.367210079924291</v>
      </c>
    </row>
    <row r="354" spans="1:9" x14ac:dyDescent="0.3">
      <c r="A354" t="s">
        <v>17</v>
      </c>
      <c r="B354">
        <v>2019</v>
      </c>
      <c r="C354">
        <v>3</v>
      </c>
      <c r="D354" t="s">
        <v>11</v>
      </c>
      <c r="E354">
        <v>7206001</v>
      </c>
      <c r="F354" s="6">
        <v>3413490288.3137074</v>
      </c>
      <c r="G354" s="5">
        <v>81182915</v>
      </c>
      <c r="H354">
        <v>1391734278</v>
      </c>
      <c r="I354" s="1">
        <v>42.046904675863232</v>
      </c>
    </row>
    <row r="355" spans="1:9" x14ac:dyDescent="0.3">
      <c r="A355" t="s">
        <v>17</v>
      </c>
      <c r="B355">
        <v>2019</v>
      </c>
      <c r="C355">
        <v>3</v>
      </c>
      <c r="D355" t="s">
        <v>12</v>
      </c>
      <c r="E355">
        <v>89997</v>
      </c>
      <c r="F355" s="6">
        <v>20145460.42764103</v>
      </c>
      <c r="G355" s="5">
        <v>81182915</v>
      </c>
      <c r="H355">
        <v>1391734278</v>
      </c>
      <c r="I355" s="1">
        <v>0.2481490154380516</v>
      </c>
    </row>
    <row r="356" spans="1:9" x14ac:dyDescent="0.3">
      <c r="A356" t="s">
        <v>17</v>
      </c>
      <c r="B356">
        <v>2019</v>
      </c>
      <c r="C356">
        <v>3</v>
      </c>
      <c r="D356" t="s">
        <v>13</v>
      </c>
      <c r="E356">
        <v>282743</v>
      </c>
      <c r="F356" s="6">
        <v>286804437.73580331</v>
      </c>
      <c r="G356" s="5">
        <v>81182915</v>
      </c>
      <c r="H356">
        <v>1391734278</v>
      </c>
      <c r="I356" s="1">
        <v>3.5328176838168881</v>
      </c>
    </row>
    <row r="357" spans="1:9" x14ac:dyDescent="0.3">
      <c r="A357" t="s">
        <v>17</v>
      </c>
      <c r="B357">
        <v>2019</v>
      </c>
      <c r="C357">
        <v>4</v>
      </c>
      <c r="D357" t="s">
        <v>10</v>
      </c>
      <c r="E357">
        <v>26337842</v>
      </c>
      <c r="F357" s="6">
        <v>86340631422.246063</v>
      </c>
      <c r="G357" s="5">
        <v>91765014</v>
      </c>
      <c r="H357">
        <v>1803979067</v>
      </c>
      <c r="I357" s="1">
        <v>940.8883370545343</v>
      </c>
    </row>
    <row r="358" spans="1:9" x14ac:dyDescent="0.3">
      <c r="A358" t="s">
        <v>17</v>
      </c>
      <c r="B358">
        <v>2019</v>
      </c>
      <c r="C358">
        <v>4</v>
      </c>
      <c r="D358" t="s">
        <v>9</v>
      </c>
      <c r="E358">
        <v>11358597</v>
      </c>
      <c r="F358" s="6">
        <v>2649616529.8301458</v>
      </c>
      <c r="G358" s="5">
        <v>91765014</v>
      </c>
      <c r="H358">
        <v>1803979067</v>
      </c>
      <c r="I358" s="1">
        <v>28.873929336840135</v>
      </c>
    </row>
    <row r="359" spans="1:9" x14ac:dyDescent="0.3">
      <c r="A359" t="s">
        <v>17</v>
      </c>
      <c r="B359">
        <v>2019</v>
      </c>
      <c r="C359">
        <v>4</v>
      </c>
      <c r="D359" t="s">
        <v>11</v>
      </c>
      <c r="E359">
        <v>5519582</v>
      </c>
      <c r="F359" s="6">
        <v>4177574379.0405855</v>
      </c>
      <c r="G359" s="5">
        <v>91765014</v>
      </c>
      <c r="H359">
        <v>1803979067</v>
      </c>
      <c r="I359" s="1">
        <v>45.524696144443304</v>
      </c>
    </row>
    <row r="360" spans="1:9" x14ac:dyDescent="0.3">
      <c r="A360" t="s">
        <v>17</v>
      </c>
      <c r="B360">
        <v>2019</v>
      </c>
      <c r="C360">
        <v>4</v>
      </c>
      <c r="D360" t="s">
        <v>12</v>
      </c>
      <c r="E360">
        <v>100192</v>
      </c>
      <c r="F360" s="6">
        <v>18815964.761792127</v>
      </c>
      <c r="G360" s="5">
        <v>91765014</v>
      </c>
      <c r="H360">
        <v>1803979067</v>
      </c>
      <c r="I360" s="1">
        <v>0.20504508136174998</v>
      </c>
    </row>
    <row r="361" spans="1:9" x14ac:dyDescent="0.3">
      <c r="A361" t="s">
        <v>17</v>
      </c>
      <c r="B361">
        <v>2019</v>
      </c>
      <c r="C361">
        <v>4</v>
      </c>
      <c r="D361" t="s">
        <v>13</v>
      </c>
      <c r="E361">
        <v>214101</v>
      </c>
      <c r="F361" s="6">
        <v>126788281.9306988</v>
      </c>
      <c r="G361" s="5">
        <v>91765014</v>
      </c>
      <c r="H361">
        <v>1803979067</v>
      </c>
      <c r="I361" s="1">
        <v>1.3816625356881522</v>
      </c>
    </row>
    <row r="362" spans="1:9" x14ac:dyDescent="0.3">
      <c r="A362" t="s">
        <v>17</v>
      </c>
      <c r="B362">
        <v>2020</v>
      </c>
      <c r="C362">
        <v>1</v>
      </c>
      <c r="D362" t="s">
        <v>10</v>
      </c>
      <c r="E362">
        <v>23163922</v>
      </c>
      <c r="F362" s="6">
        <v>99873688132.903107</v>
      </c>
      <c r="G362" s="5">
        <v>102863574</v>
      </c>
      <c r="H362">
        <v>2022553555</v>
      </c>
      <c r="I362" s="1">
        <v>970.93348256500508</v>
      </c>
    </row>
    <row r="363" spans="1:9" x14ac:dyDescent="0.3">
      <c r="A363" t="s">
        <v>17</v>
      </c>
      <c r="B363">
        <v>2020</v>
      </c>
      <c r="C363">
        <v>1</v>
      </c>
      <c r="D363" t="s">
        <v>9</v>
      </c>
      <c r="E363">
        <v>13837430</v>
      </c>
      <c r="F363" s="6">
        <v>3680590624.9006104</v>
      </c>
      <c r="G363" s="5">
        <v>102863574</v>
      </c>
      <c r="H363">
        <v>2022553555</v>
      </c>
      <c r="I363" s="1">
        <v>35.781282739608194</v>
      </c>
    </row>
    <row r="364" spans="1:9" x14ac:dyDescent="0.3">
      <c r="A364" t="s">
        <v>17</v>
      </c>
      <c r="B364">
        <v>2020</v>
      </c>
      <c r="C364">
        <v>1</v>
      </c>
      <c r="D364" t="s">
        <v>11</v>
      </c>
      <c r="E364">
        <v>7822567</v>
      </c>
      <c r="F364" s="6">
        <v>5562692116.5708065</v>
      </c>
      <c r="G364" s="5">
        <v>102863574</v>
      </c>
      <c r="H364">
        <v>2022553555</v>
      </c>
      <c r="I364" s="1">
        <v>54.078347662417471</v>
      </c>
    </row>
    <row r="365" spans="1:9" x14ac:dyDescent="0.3">
      <c r="A365" t="s">
        <v>17</v>
      </c>
      <c r="B365">
        <v>2020</v>
      </c>
      <c r="C365">
        <v>1</v>
      </c>
      <c r="D365" t="s">
        <v>12</v>
      </c>
      <c r="E365">
        <v>57233</v>
      </c>
      <c r="F365" s="6">
        <v>23954789.407903705</v>
      </c>
      <c r="G365" s="5">
        <v>102863574</v>
      </c>
      <c r="H365">
        <v>2022553555</v>
      </c>
      <c r="I365" s="1">
        <v>0.23287922513662324</v>
      </c>
    </row>
    <row r="366" spans="1:9" x14ac:dyDescent="0.3">
      <c r="A366" t="s">
        <v>17</v>
      </c>
      <c r="B366">
        <v>2020</v>
      </c>
      <c r="C366">
        <v>1</v>
      </c>
      <c r="D366" t="s">
        <v>13</v>
      </c>
      <c r="E366">
        <v>200663</v>
      </c>
      <c r="F366" s="6">
        <v>115927863.46366584</v>
      </c>
      <c r="G366" s="5">
        <v>102863574</v>
      </c>
      <c r="H366">
        <v>2022553555</v>
      </c>
      <c r="I366" s="1">
        <v>1.1270059842920279</v>
      </c>
    </row>
    <row r="367" spans="1:9" x14ac:dyDescent="0.3">
      <c r="A367" t="s">
        <v>17</v>
      </c>
      <c r="B367">
        <v>2020</v>
      </c>
      <c r="C367">
        <v>2</v>
      </c>
      <c r="D367" t="s">
        <v>10</v>
      </c>
      <c r="E367">
        <v>26572651</v>
      </c>
      <c r="F367" s="6">
        <v>116244368941.33606</v>
      </c>
      <c r="G367" s="5">
        <v>116641437</v>
      </c>
      <c r="H367">
        <v>2402785385</v>
      </c>
      <c r="I367" s="1">
        <v>996.59582332937191</v>
      </c>
    </row>
    <row r="368" spans="1:9" x14ac:dyDescent="0.3">
      <c r="A368" t="s">
        <v>17</v>
      </c>
      <c r="B368">
        <v>2020</v>
      </c>
      <c r="C368">
        <v>2</v>
      </c>
      <c r="D368" t="s">
        <v>9</v>
      </c>
      <c r="E368">
        <v>19522564</v>
      </c>
      <c r="F368" s="6">
        <v>5642294772.4535513</v>
      </c>
      <c r="G368" s="5">
        <v>116641437</v>
      </c>
      <c r="H368">
        <v>2402785385</v>
      </c>
      <c r="I368" s="1">
        <v>48.372987486887283</v>
      </c>
    </row>
    <row r="369" spans="1:9" x14ac:dyDescent="0.3">
      <c r="A369" t="s">
        <v>17</v>
      </c>
      <c r="B369">
        <v>2020</v>
      </c>
      <c r="C369">
        <v>2</v>
      </c>
      <c r="D369" t="s">
        <v>11</v>
      </c>
      <c r="E369">
        <v>7011681</v>
      </c>
      <c r="F369" s="6">
        <v>6760404421.6229601</v>
      </c>
      <c r="G369" s="5">
        <v>116641437</v>
      </c>
      <c r="H369">
        <v>2402785385</v>
      </c>
      <c r="I369" s="1">
        <v>57.958857465233045</v>
      </c>
    </row>
    <row r="370" spans="1:9" x14ac:dyDescent="0.3">
      <c r="A370" t="s">
        <v>17</v>
      </c>
      <c r="B370">
        <v>2020</v>
      </c>
      <c r="C370">
        <v>2</v>
      </c>
      <c r="D370" t="s">
        <v>12</v>
      </c>
      <c r="E370">
        <v>73119</v>
      </c>
      <c r="F370" s="6">
        <v>54077813.260680601</v>
      </c>
      <c r="G370" s="5">
        <v>116641437</v>
      </c>
      <c r="H370">
        <v>2402785385</v>
      </c>
      <c r="I370" s="1">
        <v>0.4636243744209067</v>
      </c>
    </row>
    <row r="371" spans="1:9" x14ac:dyDescent="0.3">
      <c r="A371" t="s">
        <v>17</v>
      </c>
      <c r="B371">
        <v>2020</v>
      </c>
      <c r="C371">
        <v>2</v>
      </c>
      <c r="D371" t="s">
        <v>13</v>
      </c>
      <c r="E371">
        <v>206727</v>
      </c>
      <c r="F371" s="6">
        <v>105377680.17075577</v>
      </c>
      <c r="G371" s="5">
        <v>116641437</v>
      </c>
      <c r="H371">
        <v>2402785385</v>
      </c>
      <c r="I371" s="1">
        <v>0.9034326297845231</v>
      </c>
    </row>
    <row r="372" spans="1:9" x14ac:dyDescent="0.3">
      <c r="A372" t="s">
        <v>17</v>
      </c>
      <c r="B372">
        <v>2020</v>
      </c>
      <c r="C372">
        <v>3</v>
      </c>
      <c r="D372" t="s">
        <v>10</v>
      </c>
      <c r="E372">
        <v>37294332</v>
      </c>
      <c r="F372" s="6">
        <v>153664683751.53278</v>
      </c>
      <c r="G372" s="5">
        <v>129395343</v>
      </c>
      <c r="H372">
        <v>2933179084</v>
      </c>
      <c r="I372" s="1">
        <v>1187.5596152755882</v>
      </c>
    </row>
    <row r="373" spans="1:9" x14ac:dyDescent="0.3">
      <c r="A373" t="s">
        <v>17</v>
      </c>
      <c r="B373">
        <v>2020</v>
      </c>
      <c r="C373">
        <v>3</v>
      </c>
      <c r="D373" t="s">
        <v>9</v>
      </c>
      <c r="E373">
        <v>19027978</v>
      </c>
      <c r="F373" s="6">
        <v>6313780616.6018286</v>
      </c>
      <c r="G373" s="5">
        <v>129395343</v>
      </c>
      <c r="H373">
        <v>2933179084</v>
      </c>
      <c r="I373" s="1">
        <v>48.794496542289224</v>
      </c>
    </row>
    <row r="374" spans="1:9" x14ac:dyDescent="0.3">
      <c r="A374" t="s">
        <v>17</v>
      </c>
      <c r="B374">
        <v>2020</v>
      </c>
      <c r="C374">
        <v>3</v>
      </c>
      <c r="D374" t="s">
        <v>11</v>
      </c>
      <c r="E374">
        <v>14777337</v>
      </c>
      <c r="F374" s="6">
        <v>13111735855.027691</v>
      </c>
      <c r="G374" s="5">
        <v>129395343</v>
      </c>
      <c r="H374">
        <v>2933179084</v>
      </c>
      <c r="I374" s="1">
        <v>101.33081725381486</v>
      </c>
    </row>
    <row r="375" spans="1:9" x14ac:dyDescent="0.3">
      <c r="A375" t="s">
        <v>17</v>
      </c>
      <c r="B375">
        <v>2020</v>
      </c>
      <c r="C375">
        <v>3</v>
      </c>
      <c r="D375" t="s">
        <v>12</v>
      </c>
      <c r="E375">
        <v>104135</v>
      </c>
      <c r="F375" s="6">
        <v>81355476.163670227</v>
      </c>
      <c r="G375" s="5">
        <v>129395343</v>
      </c>
      <c r="H375">
        <v>2933179084</v>
      </c>
      <c r="I375" s="1">
        <v>0.62873573559498375</v>
      </c>
    </row>
    <row r="376" spans="1:9" x14ac:dyDescent="0.3">
      <c r="A376" t="s">
        <v>17</v>
      </c>
      <c r="B376">
        <v>2020</v>
      </c>
      <c r="C376">
        <v>3</v>
      </c>
      <c r="D376" t="s">
        <v>13</v>
      </c>
      <c r="E376">
        <v>299966</v>
      </c>
      <c r="F376" s="6">
        <v>157309412.49242482</v>
      </c>
      <c r="G376" s="5">
        <v>129395343</v>
      </c>
      <c r="H376">
        <v>2933179084</v>
      </c>
      <c r="I376" s="1">
        <v>1.2157270025740015</v>
      </c>
    </row>
    <row r="377" spans="1:9" x14ac:dyDescent="0.3">
      <c r="A377" t="s">
        <v>17</v>
      </c>
      <c r="B377">
        <v>2020</v>
      </c>
      <c r="C377">
        <v>4</v>
      </c>
      <c r="D377" t="s">
        <v>10</v>
      </c>
      <c r="E377">
        <v>49432098</v>
      </c>
      <c r="F377" s="6">
        <v>208484557891.42865</v>
      </c>
      <c r="G377" s="5">
        <v>141788163</v>
      </c>
      <c r="H377">
        <v>3487622600</v>
      </c>
      <c r="I377" s="1">
        <v>1470.3946611638423</v>
      </c>
    </row>
    <row r="378" spans="1:9" x14ac:dyDescent="0.3">
      <c r="A378" t="s">
        <v>17</v>
      </c>
      <c r="B378">
        <v>2020</v>
      </c>
      <c r="C378">
        <v>4</v>
      </c>
      <c r="D378" t="s">
        <v>11</v>
      </c>
      <c r="E378">
        <v>26750991</v>
      </c>
      <c r="F378" s="6">
        <v>23185594534.305222</v>
      </c>
      <c r="G378" s="5">
        <v>141788163</v>
      </c>
      <c r="H378">
        <v>3487622600</v>
      </c>
      <c r="I378" s="1">
        <v>163.5227796434969</v>
      </c>
    </row>
    <row r="379" spans="1:9" x14ac:dyDescent="0.3">
      <c r="A379" t="s">
        <v>17</v>
      </c>
      <c r="B379">
        <v>2020</v>
      </c>
      <c r="C379">
        <v>4</v>
      </c>
      <c r="D379" t="s">
        <v>9</v>
      </c>
      <c r="E379">
        <v>19908687</v>
      </c>
      <c r="F379" s="6">
        <v>6926960996.688756</v>
      </c>
      <c r="G379" s="5">
        <v>141788163</v>
      </c>
      <c r="H379">
        <v>3487622600</v>
      </c>
      <c r="I379" s="1">
        <v>48.854296791254399</v>
      </c>
    </row>
    <row r="380" spans="1:9" x14ac:dyDescent="0.3">
      <c r="A380" t="s">
        <v>17</v>
      </c>
      <c r="B380">
        <v>2020</v>
      </c>
      <c r="C380">
        <v>4</v>
      </c>
      <c r="D380" t="s">
        <v>12</v>
      </c>
      <c r="E380">
        <v>119416</v>
      </c>
      <c r="F380" s="6">
        <v>100785736.00790763</v>
      </c>
      <c r="G380" s="5">
        <v>141788163</v>
      </c>
      <c r="H380">
        <v>3487622600</v>
      </c>
      <c r="I380" s="1">
        <v>0.71081911123926211</v>
      </c>
    </row>
    <row r="381" spans="1:9" x14ac:dyDescent="0.3">
      <c r="A381" t="s">
        <v>17</v>
      </c>
      <c r="B381">
        <v>2020</v>
      </c>
      <c r="C381">
        <v>4</v>
      </c>
      <c r="D381" t="s">
        <v>13</v>
      </c>
      <c r="E381">
        <v>380481</v>
      </c>
      <c r="F381" s="6">
        <v>207713978.04223877</v>
      </c>
      <c r="G381" s="5">
        <v>141788163</v>
      </c>
      <c r="H381">
        <v>3487622600</v>
      </c>
      <c r="I381" s="1">
        <v>1.4649599349293974</v>
      </c>
    </row>
    <row r="382" spans="1:9" x14ac:dyDescent="0.3">
      <c r="A382" t="s">
        <v>17</v>
      </c>
      <c r="B382">
        <v>2021</v>
      </c>
      <c r="C382">
        <v>1</v>
      </c>
      <c r="D382" t="s">
        <v>10</v>
      </c>
      <c r="E382">
        <v>58566582</v>
      </c>
      <c r="F382" s="6">
        <v>242013312361.31104</v>
      </c>
      <c r="G382" s="5">
        <v>153409168</v>
      </c>
      <c r="H382">
        <v>3913718688</v>
      </c>
      <c r="I382" s="1">
        <v>1577.5674655983471</v>
      </c>
    </row>
    <row r="383" spans="1:9" x14ac:dyDescent="0.3">
      <c r="A383" t="s">
        <v>17</v>
      </c>
      <c r="B383">
        <v>2021</v>
      </c>
      <c r="C383">
        <v>1</v>
      </c>
      <c r="D383" t="s">
        <v>11</v>
      </c>
      <c r="E383">
        <v>33959313</v>
      </c>
      <c r="F383" s="6">
        <v>30171144593.369873</v>
      </c>
      <c r="G383" s="5">
        <v>153409168</v>
      </c>
      <c r="H383">
        <v>3913718688</v>
      </c>
      <c r="I383" s="1">
        <v>196.6710659259287</v>
      </c>
    </row>
    <row r="384" spans="1:9" x14ac:dyDescent="0.3">
      <c r="A384" t="s">
        <v>17</v>
      </c>
      <c r="B384">
        <v>2021</v>
      </c>
      <c r="C384">
        <v>1</v>
      </c>
      <c r="D384" t="s">
        <v>9</v>
      </c>
      <c r="E384">
        <v>21974086</v>
      </c>
      <c r="F384" s="6">
        <v>8505455545.4487638</v>
      </c>
      <c r="G384" s="5">
        <v>153409168</v>
      </c>
      <c r="H384">
        <v>3913718688</v>
      </c>
      <c r="I384" s="1">
        <v>55.442941620338907</v>
      </c>
    </row>
    <row r="385" spans="1:9" x14ac:dyDescent="0.3">
      <c r="A385" t="s">
        <v>17</v>
      </c>
      <c r="B385">
        <v>2021</v>
      </c>
      <c r="C385">
        <v>1</v>
      </c>
      <c r="D385" t="s">
        <v>12</v>
      </c>
      <c r="E385">
        <v>124277</v>
      </c>
      <c r="F385" s="6">
        <v>112949858.25028673</v>
      </c>
      <c r="G385" s="5">
        <v>153409168</v>
      </c>
      <c r="H385">
        <v>3913718688</v>
      </c>
      <c r="I385" s="1">
        <v>0.73626537268155134</v>
      </c>
    </row>
    <row r="386" spans="1:9" x14ac:dyDescent="0.3">
      <c r="A386" t="s">
        <v>17</v>
      </c>
      <c r="B386">
        <v>2021</v>
      </c>
      <c r="C386">
        <v>1</v>
      </c>
      <c r="D386" t="s">
        <v>13</v>
      </c>
      <c r="E386">
        <v>308219</v>
      </c>
      <c r="F386" s="6">
        <v>170787342.84811789</v>
      </c>
      <c r="G386" s="5">
        <v>153409168</v>
      </c>
      <c r="H386">
        <v>3913718688</v>
      </c>
      <c r="I386" s="1">
        <v>1.1132798976402629</v>
      </c>
    </row>
    <row r="387" spans="1:9" x14ac:dyDescent="0.3">
      <c r="A387" t="s">
        <v>17</v>
      </c>
      <c r="B387">
        <v>2021</v>
      </c>
      <c r="C387">
        <v>2</v>
      </c>
      <c r="D387" t="s">
        <v>10</v>
      </c>
      <c r="E387">
        <v>78694099</v>
      </c>
      <c r="F387" s="6">
        <v>319758683264.15344</v>
      </c>
      <c r="G387" s="5">
        <v>164693474</v>
      </c>
      <c r="H387">
        <v>4083185260</v>
      </c>
      <c r="I387" s="1">
        <v>1941.5382740918651</v>
      </c>
    </row>
    <row r="388" spans="1:9" x14ac:dyDescent="0.3">
      <c r="A388" t="s">
        <v>17</v>
      </c>
      <c r="B388">
        <v>2021</v>
      </c>
      <c r="C388">
        <v>2</v>
      </c>
      <c r="D388" t="s">
        <v>11</v>
      </c>
      <c r="E388">
        <v>44686786</v>
      </c>
      <c r="F388" s="6">
        <v>43458914639.771378</v>
      </c>
      <c r="G388" s="5">
        <v>164693474</v>
      </c>
      <c r="H388">
        <v>4083185260</v>
      </c>
      <c r="I388" s="1">
        <v>263.87757562131077</v>
      </c>
    </row>
    <row r="389" spans="1:9" x14ac:dyDescent="0.3">
      <c r="A389" t="s">
        <v>17</v>
      </c>
      <c r="B389">
        <v>2021</v>
      </c>
      <c r="C389">
        <v>2</v>
      </c>
      <c r="D389" t="s">
        <v>9</v>
      </c>
      <c r="E389">
        <v>31646149</v>
      </c>
      <c r="F389" s="6">
        <v>11030849713.502428</v>
      </c>
      <c r="G389" s="5">
        <v>164693474</v>
      </c>
      <c r="H389">
        <v>4083185260</v>
      </c>
      <c r="I389" s="1">
        <v>66.978062005677458</v>
      </c>
    </row>
    <row r="390" spans="1:9" x14ac:dyDescent="0.3">
      <c r="A390" t="s">
        <v>17</v>
      </c>
      <c r="B390">
        <v>2021</v>
      </c>
      <c r="C390">
        <v>2</v>
      </c>
      <c r="D390" t="s">
        <v>12</v>
      </c>
      <c r="E390">
        <v>149791</v>
      </c>
      <c r="F390" s="6">
        <v>116086345.91301711</v>
      </c>
      <c r="G390" s="5">
        <v>164693474</v>
      </c>
      <c r="H390">
        <v>4083185260</v>
      </c>
      <c r="I390" s="1">
        <v>0.70486305919454406</v>
      </c>
    </row>
    <row r="391" spans="1:9" x14ac:dyDescent="0.3">
      <c r="A391" t="s">
        <v>17</v>
      </c>
      <c r="B391">
        <v>2021</v>
      </c>
      <c r="C391">
        <v>2</v>
      </c>
      <c r="D391" t="s">
        <v>13</v>
      </c>
      <c r="E391">
        <v>426797</v>
      </c>
      <c r="F391" s="6">
        <v>215721223.23864049</v>
      </c>
      <c r="G391" s="5">
        <v>164693474</v>
      </c>
      <c r="H391">
        <v>4083185260</v>
      </c>
      <c r="I391" s="1">
        <v>1.3098346765011495</v>
      </c>
    </row>
    <row r="392" spans="1:9" x14ac:dyDescent="0.3">
      <c r="A392" t="s">
        <v>17</v>
      </c>
      <c r="B392">
        <v>2021</v>
      </c>
      <c r="C392">
        <v>3</v>
      </c>
      <c r="D392" t="s">
        <v>10</v>
      </c>
      <c r="E392">
        <v>92785704</v>
      </c>
      <c r="F392" s="6">
        <v>331514102784.26312</v>
      </c>
      <c r="G392" s="5">
        <v>177768481</v>
      </c>
      <c r="H392">
        <v>4639815169</v>
      </c>
      <c r="I392" s="1">
        <v>1864.864350077127</v>
      </c>
    </row>
    <row r="393" spans="1:9" x14ac:dyDescent="0.3">
      <c r="A393" t="s">
        <v>17</v>
      </c>
      <c r="B393">
        <v>2021</v>
      </c>
      <c r="C393">
        <v>3</v>
      </c>
      <c r="D393" t="s">
        <v>11</v>
      </c>
      <c r="E393">
        <v>64094961</v>
      </c>
      <c r="F393" s="6">
        <v>53849745604.964302</v>
      </c>
      <c r="G393" s="5">
        <v>177768481</v>
      </c>
      <c r="H393">
        <v>4639815169</v>
      </c>
      <c r="I393" s="1">
        <v>302.9206600745174</v>
      </c>
    </row>
    <row r="394" spans="1:9" x14ac:dyDescent="0.3">
      <c r="A394" t="s">
        <v>17</v>
      </c>
      <c r="B394">
        <v>2021</v>
      </c>
      <c r="C394">
        <v>3</v>
      </c>
      <c r="D394" t="s">
        <v>9</v>
      </c>
      <c r="E394">
        <v>30081746</v>
      </c>
      <c r="F394" s="6">
        <v>11327303470.019915</v>
      </c>
      <c r="G394" s="5">
        <v>177768481</v>
      </c>
      <c r="H394">
        <v>4639815169</v>
      </c>
      <c r="I394" s="1">
        <v>63.719414185802229</v>
      </c>
    </row>
    <row r="395" spans="1:9" x14ac:dyDescent="0.3">
      <c r="A395" t="s">
        <v>17</v>
      </c>
      <c r="B395">
        <v>2021</v>
      </c>
      <c r="C395">
        <v>3</v>
      </c>
      <c r="D395" t="s">
        <v>12</v>
      </c>
      <c r="E395">
        <v>135748</v>
      </c>
      <c r="F395" s="6">
        <v>130349071.61901987</v>
      </c>
      <c r="G395" s="5">
        <v>177768481</v>
      </c>
      <c r="H395">
        <v>4639815169</v>
      </c>
      <c r="I395" s="1">
        <v>0.73325187280539272</v>
      </c>
    </row>
    <row r="396" spans="1:9" x14ac:dyDescent="0.3">
      <c r="A396" t="s">
        <v>17</v>
      </c>
      <c r="B396">
        <v>2021</v>
      </c>
      <c r="C396">
        <v>3</v>
      </c>
      <c r="D396" t="s">
        <v>13</v>
      </c>
      <c r="E396">
        <v>572954</v>
      </c>
      <c r="F396" s="6">
        <v>241260025.54569885</v>
      </c>
      <c r="G396" s="5">
        <v>177768481</v>
      </c>
      <c r="H396">
        <v>4639815169</v>
      </c>
      <c r="I396" s="1">
        <v>1.3571586154561273</v>
      </c>
    </row>
    <row r="397" spans="1:9" x14ac:dyDescent="0.3">
      <c r="A397" t="s">
        <v>17</v>
      </c>
      <c r="B397">
        <v>2021</v>
      </c>
      <c r="C397">
        <v>4</v>
      </c>
      <c r="D397" t="s">
        <v>10</v>
      </c>
      <c r="E397">
        <v>117340712</v>
      </c>
      <c r="F397" s="6">
        <v>423665098014.27917</v>
      </c>
      <c r="G397" s="5">
        <v>190695791</v>
      </c>
      <c r="H397">
        <v>7121409218</v>
      </c>
      <c r="I397" s="1">
        <v>2221.680383151609</v>
      </c>
    </row>
    <row r="398" spans="1:9" x14ac:dyDescent="0.3">
      <c r="A398" t="s">
        <v>17</v>
      </c>
      <c r="B398">
        <v>2021</v>
      </c>
      <c r="C398">
        <v>4</v>
      </c>
      <c r="D398" t="s">
        <v>11</v>
      </c>
      <c r="E398">
        <v>95992559</v>
      </c>
      <c r="F398" s="6">
        <v>81729122295.53772</v>
      </c>
      <c r="G398" s="5">
        <v>190695791</v>
      </c>
      <c r="H398">
        <v>7121409218</v>
      </c>
      <c r="I398" s="1">
        <v>428.58377663688299</v>
      </c>
    </row>
    <row r="399" spans="1:9" x14ac:dyDescent="0.3">
      <c r="A399" t="s">
        <v>17</v>
      </c>
      <c r="B399">
        <v>2021</v>
      </c>
      <c r="C399">
        <v>4</v>
      </c>
      <c r="D399" t="s">
        <v>9</v>
      </c>
      <c r="E399">
        <v>30824177</v>
      </c>
      <c r="F399" s="6">
        <v>13438634948.212643</v>
      </c>
      <c r="G399" s="5">
        <v>190695791</v>
      </c>
      <c r="H399">
        <v>7121409218</v>
      </c>
      <c r="I399" s="1">
        <v>70.471586592137442</v>
      </c>
    </row>
    <row r="400" spans="1:9" x14ac:dyDescent="0.3">
      <c r="A400" t="s">
        <v>17</v>
      </c>
      <c r="B400">
        <v>2021</v>
      </c>
      <c r="C400">
        <v>4</v>
      </c>
      <c r="D400" t="s">
        <v>12</v>
      </c>
      <c r="E400">
        <v>186298</v>
      </c>
      <c r="F400" s="6">
        <v>173358268.82083318</v>
      </c>
      <c r="G400" s="5">
        <v>190695791</v>
      </c>
      <c r="H400">
        <v>7121409218</v>
      </c>
      <c r="I400" s="1">
        <v>0.9090828272178969</v>
      </c>
    </row>
    <row r="401" spans="1:9" x14ac:dyDescent="0.3">
      <c r="A401" t="s">
        <v>17</v>
      </c>
      <c r="B401">
        <v>2021</v>
      </c>
      <c r="C401">
        <v>4</v>
      </c>
      <c r="D401" t="s">
        <v>13</v>
      </c>
      <c r="E401">
        <v>783199</v>
      </c>
      <c r="F401" s="6">
        <v>365400541.9114517</v>
      </c>
      <c r="G401" s="5">
        <v>190695791</v>
      </c>
      <c r="H401">
        <v>7121409218</v>
      </c>
      <c r="I401" s="1">
        <v>1.9161437176736202</v>
      </c>
    </row>
    <row r="402" spans="1:9" x14ac:dyDescent="0.3">
      <c r="A402" t="s">
        <v>18</v>
      </c>
      <c r="B402">
        <v>2018</v>
      </c>
      <c r="C402">
        <v>1</v>
      </c>
      <c r="D402" t="s">
        <v>9</v>
      </c>
      <c r="E402">
        <v>201262</v>
      </c>
      <c r="F402" s="6">
        <v>47479581.162644163</v>
      </c>
      <c r="G402" s="5">
        <v>948948</v>
      </c>
      <c r="H402">
        <v>0</v>
      </c>
      <c r="I402" s="1">
        <v>50.03391246163558</v>
      </c>
    </row>
    <row r="403" spans="1:9" x14ac:dyDescent="0.3">
      <c r="A403" t="s">
        <v>18</v>
      </c>
      <c r="B403">
        <v>2018</v>
      </c>
      <c r="C403">
        <v>1</v>
      </c>
      <c r="D403" t="s">
        <v>10</v>
      </c>
      <c r="E403">
        <v>135136</v>
      </c>
      <c r="F403" s="6">
        <v>527998849.34055936</v>
      </c>
      <c r="G403" s="5">
        <v>948948</v>
      </c>
      <c r="H403">
        <v>0</v>
      </c>
      <c r="I403" s="1">
        <v>556.40440713354087</v>
      </c>
    </row>
    <row r="404" spans="1:9" x14ac:dyDescent="0.3">
      <c r="A404" t="s">
        <v>18</v>
      </c>
      <c r="B404">
        <v>2018</v>
      </c>
      <c r="C404">
        <v>1</v>
      </c>
      <c r="D404" t="s">
        <v>11</v>
      </c>
      <c r="E404">
        <v>21431</v>
      </c>
      <c r="F404" s="6">
        <v>19477066.533276718</v>
      </c>
      <c r="G404" s="5">
        <v>948948</v>
      </c>
      <c r="H404">
        <v>0</v>
      </c>
      <c r="I404" s="1">
        <v>20.524903928641734</v>
      </c>
    </row>
    <row r="405" spans="1:9" x14ac:dyDescent="0.3">
      <c r="A405" t="s">
        <v>18</v>
      </c>
      <c r="B405">
        <v>2018</v>
      </c>
      <c r="C405">
        <v>1</v>
      </c>
      <c r="D405" t="s">
        <v>12</v>
      </c>
      <c r="E405">
        <v>8473</v>
      </c>
      <c r="F405" s="6">
        <v>1865618.249949839</v>
      </c>
      <c r="G405" s="5">
        <v>948948</v>
      </c>
      <c r="H405">
        <v>0</v>
      </c>
      <c r="I405" s="1">
        <v>1.9659857546987178</v>
      </c>
    </row>
    <row r="406" spans="1:9" x14ac:dyDescent="0.3">
      <c r="A406" t="s">
        <v>18</v>
      </c>
      <c r="B406">
        <v>2018</v>
      </c>
      <c r="C406">
        <v>1</v>
      </c>
      <c r="D406" t="s">
        <v>13</v>
      </c>
      <c r="E406">
        <v>15593</v>
      </c>
      <c r="F406" s="6">
        <v>16614305.581193211</v>
      </c>
      <c r="G406" s="5">
        <v>948948</v>
      </c>
      <c r="H406">
        <v>0</v>
      </c>
      <c r="I406" s="1">
        <v>17.508130668058957</v>
      </c>
    </row>
    <row r="407" spans="1:9" x14ac:dyDescent="0.3">
      <c r="A407" t="s">
        <v>18</v>
      </c>
      <c r="B407">
        <v>2018</v>
      </c>
      <c r="C407">
        <v>2</v>
      </c>
      <c r="D407" t="s">
        <v>9</v>
      </c>
      <c r="E407">
        <v>224548</v>
      </c>
      <c r="F407" s="6">
        <v>76722906.678719521</v>
      </c>
      <c r="G407" s="5">
        <v>1267409</v>
      </c>
      <c r="H407">
        <v>0</v>
      </c>
      <c r="I407" s="1">
        <v>60.535238962891633</v>
      </c>
    </row>
    <row r="408" spans="1:9" x14ac:dyDescent="0.3">
      <c r="A408" t="s">
        <v>18</v>
      </c>
      <c r="B408">
        <v>2018</v>
      </c>
      <c r="C408">
        <v>2</v>
      </c>
      <c r="D408" t="s">
        <v>10</v>
      </c>
      <c r="E408">
        <v>194627</v>
      </c>
      <c r="F408" s="6">
        <v>835296156.42202044</v>
      </c>
      <c r="G408" s="5">
        <v>1267409</v>
      </c>
      <c r="H408">
        <v>0</v>
      </c>
      <c r="I408" s="1">
        <v>659.05809128862143</v>
      </c>
    </row>
    <row r="409" spans="1:9" x14ac:dyDescent="0.3">
      <c r="A409" t="s">
        <v>18</v>
      </c>
      <c r="B409">
        <v>2018</v>
      </c>
      <c r="C409">
        <v>2</v>
      </c>
      <c r="D409" t="s">
        <v>11</v>
      </c>
      <c r="E409">
        <v>34606</v>
      </c>
      <c r="F409" s="6">
        <v>29408471.506333277</v>
      </c>
      <c r="G409" s="5">
        <v>1267409</v>
      </c>
      <c r="H409">
        <v>0</v>
      </c>
      <c r="I409" s="1">
        <v>23.20361580699938</v>
      </c>
    </row>
    <row r="410" spans="1:9" x14ac:dyDescent="0.3">
      <c r="A410" t="s">
        <v>18</v>
      </c>
      <c r="B410">
        <v>2018</v>
      </c>
      <c r="C410">
        <v>2</v>
      </c>
      <c r="D410" t="s">
        <v>12</v>
      </c>
      <c r="E410">
        <v>11927</v>
      </c>
      <c r="F410" s="6">
        <v>3679451.8635118967</v>
      </c>
      <c r="G410" s="5">
        <v>1267409</v>
      </c>
      <c r="H410">
        <v>0</v>
      </c>
      <c r="I410" s="1">
        <v>2.9031290321529171</v>
      </c>
    </row>
    <row r="411" spans="1:9" x14ac:dyDescent="0.3">
      <c r="A411" t="s">
        <v>18</v>
      </c>
      <c r="B411">
        <v>2018</v>
      </c>
      <c r="C411">
        <v>2</v>
      </c>
      <c r="D411" t="s">
        <v>13</v>
      </c>
      <c r="E411">
        <v>13376</v>
      </c>
      <c r="F411" s="6">
        <v>16116275.274144217</v>
      </c>
      <c r="G411" s="5">
        <v>1267409</v>
      </c>
      <c r="H411">
        <v>0</v>
      </c>
      <c r="I411" s="1">
        <v>12.715923016282998</v>
      </c>
    </row>
    <row r="412" spans="1:9" x14ac:dyDescent="0.3">
      <c r="A412" t="s">
        <v>18</v>
      </c>
      <c r="B412">
        <v>2018</v>
      </c>
      <c r="C412">
        <v>3</v>
      </c>
      <c r="D412" t="s">
        <v>10</v>
      </c>
      <c r="E412">
        <v>295358</v>
      </c>
      <c r="F412" s="6">
        <v>1217617705.9681761</v>
      </c>
      <c r="G412" s="5">
        <v>1582823</v>
      </c>
      <c r="H412">
        <v>0</v>
      </c>
      <c r="I412" s="1">
        <v>769.26965678927843</v>
      </c>
    </row>
    <row r="413" spans="1:9" x14ac:dyDescent="0.3">
      <c r="A413" t="s">
        <v>18</v>
      </c>
      <c r="B413">
        <v>2018</v>
      </c>
      <c r="C413">
        <v>3</v>
      </c>
      <c r="D413" t="s">
        <v>9</v>
      </c>
      <c r="E413">
        <v>236445</v>
      </c>
      <c r="F413" s="6">
        <v>100639674.6708905</v>
      </c>
      <c r="G413" s="5">
        <v>1582823</v>
      </c>
      <c r="H413">
        <v>0</v>
      </c>
      <c r="I413" s="1">
        <v>63.582393401467186</v>
      </c>
    </row>
    <row r="414" spans="1:9" x14ac:dyDescent="0.3">
      <c r="A414" t="s">
        <v>18</v>
      </c>
      <c r="B414">
        <v>2018</v>
      </c>
      <c r="C414">
        <v>3</v>
      </c>
      <c r="D414" t="s">
        <v>11</v>
      </c>
      <c r="E414">
        <v>64998</v>
      </c>
      <c r="F414" s="6">
        <v>37560565.97386869</v>
      </c>
      <c r="G414" s="5">
        <v>1582823</v>
      </c>
      <c r="H414">
        <v>0</v>
      </c>
      <c r="I414" s="1">
        <v>23.730111309899268</v>
      </c>
    </row>
    <row r="415" spans="1:9" x14ac:dyDescent="0.3">
      <c r="A415" t="s">
        <v>18</v>
      </c>
      <c r="B415">
        <v>2018</v>
      </c>
      <c r="C415">
        <v>3</v>
      </c>
      <c r="D415" t="s">
        <v>12</v>
      </c>
      <c r="E415">
        <v>7642</v>
      </c>
      <c r="F415" s="6">
        <v>1302311.5967954171</v>
      </c>
      <c r="G415" s="5">
        <v>1582823</v>
      </c>
      <c r="H415">
        <v>0</v>
      </c>
      <c r="I415" s="1">
        <v>0.82277778172001359</v>
      </c>
    </row>
    <row r="416" spans="1:9" x14ac:dyDescent="0.3">
      <c r="A416" t="s">
        <v>18</v>
      </c>
      <c r="B416">
        <v>2018</v>
      </c>
      <c r="C416">
        <v>3</v>
      </c>
      <c r="D416" t="s">
        <v>13</v>
      </c>
      <c r="E416">
        <v>12493</v>
      </c>
      <c r="F416" s="6">
        <v>12234189.324580798</v>
      </c>
      <c r="G416" s="5">
        <v>1582823</v>
      </c>
      <c r="H416">
        <v>0</v>
      </c>
      <c r="I416" s="1">
        <v>7.7293477063327973</v>
      </c>
    </row>
    <row r="417" spans="1:9" x14ac:dyDescent="0.3">
      <c r="A417" t="s">
        <v>18</v>
      </c>
      <c r="B417">
        <v>2018</v>
      </c>
      <c r="C417">
        <v>4</v>
      </c>
      <c r="D417" t="s">
        <v>10</v>
      </c>
      <c r="E417">
        <v>431461</v>
      </c>
      <c r="F417" s="6">
        <v>1793871702.3196409</v>
      </c>
      <c r="G417" s="5">
        <v>1955217</v>
      </c>
      <c r="H417">
        <v>0</v>
      </c>
      <c r="I417" s="1">
        <v>917.47959552297311</v>
      </c>
    </row>
    <row r="418" spans="1:9" x14ac:dyDescent="0.3">
      <c r="A418" t="s">
        <v>18</v>
      </c>
      <c r="B418">
        <v>2018</v>
      </c>
      <c r="C418">
        <v>4</v>
      </c>
      <c r="D418" t="s">
        <v>9</v>
      </c>
      <c r="E418">
        <v>310527</v>
      </c>
      <c r="F418" s="6">
        <v>128130475.99274208</v>
      </c>
      <c r="G418" s="5">
        <v>1955217</v>
      </c>
      <c r="H418">
        <v>0</v>
      </c>
      <c r="I418" s="1">
        <v>65.532611466012256</v>
      </c>
    </row>
    <row r="419" spans="1:9" x14ac:dyDescent="0.3">
      <c r="A419" t="s">
        <v>18</v>
      </c>
      <c r="B419">
        <v>2018</v>
      </c>
      <c r="C419">
        <v>4</v>
      </c>
      <c r="D419" t="s">
        <v>11</v>
      </c>
      <c r="E419">
        <v>135266</v>
      </c>
      <c r="F419" s="6">
        <v>94010713.606160268</v>
      </c>
      <c r="G419" s="5">
        <v>1955217</v>
      </c>
      <c r="H419">
        <v>0</v>
      </c>
      <c r="I419" s="1">
        <v>48.081984560363516</v>
      </c>
    </row>
    <row r="420" spans="1:9" x14ac:dyDescent="0.3">
      <c r="A420" t="s">
        <v>18</v>
      </c>
      <c r="B420">
        <v>2018</v>
      </c>
      <c r="C420">
        <v>4</v>
      </c>
      <c r="D420" t="s">
        <v>12</v>
      </c>
      <c r="E420">
        <v>10008</v>
      </c>
      <c r="F420" s="6">
        <v>2039811.3372037038</v>
      </c>
      <c r="G420" s="5">
        <v>1955217</v>
      </c>
      <c r="H420">
        <v>0</v>
      </c>
      <c r="I420" s="1">
        <v>1.0432659583072896</v>
      </c>
    </row>
    <row r="421" spans="1:9" x14ac:dyDescent="0.3">
      <c r="A421" t="s">
        <v>18</v>
      </c>
      <c r="B421">
        <v>2018</v>
      </c>
      <c r="C421">
        <v>4</v>
      </c>
      <c r="D421" t="s">
        <v>13</v>
      </c>
      <c r="E421">
        <v>17854</v>
      </c>
      <c r="F421" s="6">
        <v>14538888.524227699</v>
      </c>
      <c r="G421" s="5">
        <v>1955217</v>
      </c>
      <c r="H421">
        <v>0</v>
      </c>
      <c r="I421" s="1">
        <v>7.4359462526296056</v>
      </c>
    </row>
    <row r="422" spans="1:9" x14ac:dyDescent="0.3">
      <c r="A422" t="s">
        <v>18</v>
      </c>
      <c r="B422">
        <v>2019</v>
      </c>
      <c r="C422">
        <v>1</v>
      </c>
      <c r="D422" t="s">
        <v>10</v>
      </c>
      <c r="E422">
        <v>689400</v>
      </c>
      <c r="F422" s="6">
        <v>2123866601.6513758</v>
      </c>
      <c r="G422" s="5">
        <v>2300925</v>
      </c>
      <c r="H422">
        <v>0</v>
      </c>
      <c r="I422" s="1">
        <v>923.04903534507889</v>
      </c>
    </row>
    <row r="423" spans="1:9" x14ac:dyDescent="0.3">
      <c r="A423" t="s">
        <v>18</v>
      </c>
      <c r="B423">
        <v>2019</v>
      </c>
      <c r="C423">
        <v>1</v>
      </c>
      <c r="D423" t="s">
        <v>9</v>
      </c>
      <c r="E423">
        <v>390610</v>
      </c>
      <c r="F423" s="6">
        <v>161414934.10238376</v>
      </c>
      <c r="G423" s="5">
        <v>2300925</v>
      </c>
      <c r="H423">
        <v>0</v>
      </c>
      <c r="I423" s="1">
        <v>70.152192749604509</v>
      </c>
    </row>
    <row r="424" spans="1:9" x14ac:dyDescent="0.3">
      <c r="A424" t="s">
        <v>18</v>
      </c>
      <c r="B424">
        <v>2019</v>
      </c>
      <c r="C424">
        <v>1</v>
      </c>
      <c r="D424" t="s">
        <v>11</v>
      </c>
      <c r="E424">
        <v>169984</v>
      </c>
      <c r="F424" s="6">
        <v>97230471.44089967</v>
      </c>
      <c r="G424" s="5">
        <v>2300925</v>
      </c>
      <c r="H424">
        <v>0</v>
      </c>
      <c r="I424" s="1">
        <v>42.257123305148873</v>
      </c>
    </row>
    <row r="425" spans="1:9" x14ac:dyDescent="0.3">
      <c r="A425" t="s">
        <v>18</v>
      </c>
      <c r="B425">
        <v>2019</v>
      </c>
      <c r="C425">
        <v>1</v>
      </c>
      <c r="D425" t="s">
        <v>12</v>
      </c>
      <c r="E425">
        <v>7412</v>
      </c>
      <c r="F425" s="6">
        <v>917030.90667607856</v>
      </c>
      <c r="G425" s="5">
        <v>2300925</v>
      </c>
      <c r="H425">
        <v>0</v>
      </c>
      <c r="I425" s="1">
        <v>0.39854880392715042</v>
      </c>
    </row>
    <row r="426" spans="1:9" x14ac:dyDescent="0.3">
      <c r="A426" t="s">
        <v>18</v>
      </c>
      <c r="B426">
        <v>2019</v>
      </c>
      <c r="C426">
        <v>1</v>
      </c>
      <c r="D426" t="s">
        <v>13</v>
      </c>
      <c r="E426">
        <v>17070</v>
      </c>
      <c r="F426" s="6">
        <v>12603012.342693318</v>
      </c>
      <c r="G426" s="5">
        <v>2300925</v>
      </c>
      <c r="H426">
        <v>0</v>
      </c>
      <c r="I426" s="1">
        <v>5.4773677293668062</v>
      </c>
    </row>
    <row r="427" spans="1:9" x14ac:dyDescent="0.3">
      <c r="A427" t="s">
        <v>18</v>
      </c>
      <c r="B427">
        <v>2019</v>
      </c>
      <c r="C427">
        <v>2</v>
      </c>
      <c r="D427" t="s">
        <v>10</v>
      </c>
      <c r="E427">
        <v>604849</v>
      </c>
      <c r="F427" s="6">
        <v>2339922407.5233479</v>
      </c>
      <c r="G427" s="5">
        <v>2644829</v>
      </c>
      <c r="H427">
        <v>13421936</v>
      </c>
      <c r="I427" s="1">
        <v>884.71595234449853</v>
      </c>
    </row>
    <row r="428" spans="1:9" x14ac:dyDescent="0.3">
      <c r="A428" t="s">
        <v>18</v>
      </c>
      <c r="B428">
        <v>2019</v>
      </c>
      <c r="C428">
        <v>2</v>
      </c>
      <c r="D428" t="s">
        <v>9</v>
      </c>
      <c r="E428">
        <v>342294</v>
      </c>
      <c r="F428" s="6">
        <v>185659011.54417655</v>
      </c>
      <c r="G428" s="5">
        <v>2644829</v>
      </c>
      <c r="H428">
        <v>13421936</v>
      </c>
      <c r="I428" s="1">
        <v>70.196981182593106</v>
      </c>
    </row>
    <row r="429" spans="1:9" x14ac:dyDescent="0.3">
      <c r="A429" t="s">
        <v>18</v>
      </c>
      <c r="B429">
        <v>2019</v>
      </c>
      <c r="C429">
        <v>2</v>
      </c>
      <c r="D429" t="s">
        <v>11</v>
      </c>
      <c r="E429">
        <v>277811</v>
      </c>
      <c r="F429" s="6">
        <v>152766864.66190332</v>
      </c>
      <c r="G429" s="5">
        <v>2644829</v>
      </c>
      <c r="H429">
        <v>13421936</v>
      </c>
      <c r="I429" s="1">
        <v>57.760582881503232</v>
      </c>
    </row>
    <row r="430" spans="1:9" x14ac:dyDescent="0.3">
      <c r="A430" t="s">
        <v>18</v>
      </c>
      <c r="B430">
        <v>2019</v>
      </c>
      <c r="C430">
        <v>2</v>
      </c>
      <c r="D430" t="s">
        <v>12</v>
      </c>
      <c r="E430">
        <v>5590</v>
      </c>
      <c r="F430" s="6">
        <v>839765.16135158204</v>
      </c>
      <c r="G430" s="5">
        <v>2644829</v>
      </c>
      <c r="H430">
        <v>13421936</v>
      </c>
      <c r="I430" s="1">
        <v>0.31751208163234068</v>
      </c>
    </row>
    <row r="431" spans="1:9" x14ac:dyDescent="0.3">
      <c r="A431" t="s">
        <v>18</v>
      </c>
      <c r="B431">
        <v>2019</v>
      </c>
      <c r="C431">
        <v>2</v>
      </c>
      <c r="D431" t="s">
        <v>13</v>
      </c>
      <c r="E431">
        <v>21926</v>
      </c>
      <c r="F431" s="6">
        <v>13928050.053676538</v>
      </c>
      <c r="G431" s="5">
        <v>2644829</v>
      </c>
      <c r="H431">
        <v>13421936</v>
      </c>
      <c r="I431" s="1">
        <v>5.2661438806352088</v>
      </c>
    </row>
    <row r="432" spans="1:9" x14ac:dyDescent="0.3">
      <c r="A432" t="s">
        <v>18</v>
      </c>
      <c r="B432">
        <v>2019</v>
      </c>
      <c r="C432">
        <v>3</v>
      </c>
      <c r="D432" t="s">
        <v>10</v>
      </c>
      <c r="E432">
        <v>722233</v>
      </c>
      <c r="F432" s="6">
        <v>2815184152.8041325</v>
      </c>
      <c r="G432" s="5">
        <v>2940707</v>
      </c>
      <c r="H432">
        <v>50877156</v>
      </c>
      <c r="I432" s="1">
        <v>957.31541864052849</v>
      </c>
    </row>
    <row r="433" spans="1:9" x14ac:dyDescent="0.3">
      <c r="A433" t="s">
        <v>18</v>
      </c>
      <c r="B433">
        <v>2019</v>
      </c>
      <c r="C433">
        <v>3</v>
      </c>
      <c r="D433" t="s">
        <v>11</v>
      </c>
      <c r="E433">
        <v>447069</v>
      </c>
      <c r="F433" s="6">
        <v>226535908.83557189</v>
      </c>
      <c r="G433" s="5">
        <v>2940707</v>
      </c>
      <c r="H433">
        <v>50877156</v>
      </c>
      <c r="I433" s="1">
        <v>77.034505251822736</v>
      </c>
    </row>
    <row r="434" spans="1:9" x14ac:dyDescent="0.3">
      <c r="A434" t="s">
        <v>18</v>
      </c>
      <c r="B434">
        <v>2019</v>
      </c>
      <c r="C434">
        <v>3</v>
      </c>
      <c r="D434" t="s">
        <v>9</v>
      </c>
      <c r="E434">
        <v>308219</v>
      </c>
      <c r="F434" s="6">
        <v>213884900.47217816</v>
      </c>
      <c r="G434" s="5">
        <v>2940707</v>
      </c>
      <c r="H434">
        <v>50877156</v>
      </c>
      <c r="I434" s="1">
        <v>72.732475718314731</v>
      </c>
    </row>
    <row r="435" spans="1:9" x14ac:dyDescent="0.3">
      <c r="A435" t="s">
        <v>18</v>
      </c>
      <c r="B435">
        <v>2019</v>
      </c>
      <c r="C435">
        <v>3</v>
      </c>
      <c r="D435" t="s">
        <v>12</v>
      </c>
      <c r="E435">
        <v>2447</v>
      </c>
      <c r="F435" s="6">
        <v>794918.67498147802</v>
      </c>
      <c r="G435" s="5">
        <v>2940707</v>
      </c>
      <c r="H435">
        <v>50877156</v>
      </c>
      <c r="I435" s="1">
        <v>0.27031549725337412</v>
      </c>
    </row>
    <row r="436" spans="1:9" x14ac:dyDescent="0.3">
      <c r="A436" t="s">
        <v>18</v>
      </c>
      <c r="B436">
        <v>2019</v>
      </c>
      <c r="C436">
        <v>3</v>
      </c>
      <c r="D436" t="s">
        <v>13</v>
      </c>
      <c r="E436">
        <v>26575</v>
      </c>
      <c r="F436" s="6">
        <v>13282206.873976795</v>
      </c>
      <c r="G436" s="5">
        <v>2940707</v>
      </c>
      <c r="H436">
        <v>50877156</v>
      </c>
      <c r="I436" s="1">
        <v>4.5166712882231366</v>
      </c>
    </row>
    <row r="437" spans="1:9" x14ac:dyDescent="0.3">
      <c r="A437" t="s">
        <v>18</v>
      </c>
      <c r="B437">
        <v>2019</v>
      </c>
      <c r="C437">
        <v>4</v>
      </c>
      <c r="D437" t="s">
        <v>10</v>
      </c>
      <c r="E437">
        <v>927850</v>
      </c>
      <c r="F437" s="6">
        <v>3586763928.6423693</v>
      </c>
      <c r="G437" s="5">
        <v>3185490</v>
      </c>
      <c r="H437">
        <v>54564851</v>
      </c>
      <c r="I437" s="1">
        <v>1125.9692947214933</v>
      </c>
    </row>
    <row r="438" spans="1:9" x14ac:dyDescent="0.3">
      <c r="A438" t="s">
        <v>18</v>
      </c>
      <c r="B438">
        <v>2019</v>
      </c>
      <c r="C438">
        <v>4</v>
      </c>
      <c r="D438" t="s">
        <v>11</v>
      </c>
      <c r="E438">
        <v>561630</v>
      </c>
      <c r="F438" s="6">
        <v>318692521.79224944</v>
      </c>
      <c r="G438" s="5">
        <v>3185490</v>
      </c>
      <c r="H438">
        <v>54564851</v>
      </c>
      <c r="I438" s="1">
        <v>100.04505485568922</v>
      </c>
    </row>
    <row r="439" spans="1:9" x14ac:dyDescent="0.3">
      <c r="A439" t="s">
        <v>18</v>
      </c>
      <c r="B439">
        <v>2019</v>
      </c>
      <c r="C439">
        <v>4</v>
      </c>
      <c r="D439" t="s">
        <v>9</v>
      </c>
      <c r="E439">
        <v>338203</v>
      </c>
      <c r="F439" s="6">
        <v>237695594.96329552</v>
      </c>
      <c r="G439" s="5">
        <v>3185490</v>
      </c>
      <c r="H439">
        <v>54564851</v>
      </c>
      <c r="I439" s="1">
        <v>74.618220419243357</v>
      </c>
    </row>
    <row r="440" spans="1:9" x14ac:dyDescent="0.3">
      <c r="A440" t="s">
        <v>18</v>
      </c>
      <c r="B440">
        <v>2019</v>
      </c>
      <c r="C440">
        <v>4</v>
      </c>
      <c r="D440" t="s">
        <v>12</v>
      </c>
      <c r="E440">
        <v>1911</v>
      </c>
      <c r="F440" s="6">
        <v>654298.67850044649</v>
      </c>
      <c r="G440" s="5">
        <v>3185490</v>
      </c>
      <c r="H440">
        <v>54564851</v>
      </c>
      <c r="I440" s="1">
        <v>0.20539969627920554</v>
      </c>
    </row>
    <row r="441" spans="1:9" x14ac:dyDescent="0.3">
      <c r="A441" t="s">
        <v>18</v>
      </c>
      <c r="B441">
        <v>2019</v>
      </c>
      <c r="C441">
        <v>4</v>
      </c>
      <c r="D441" t="s">
        <v>13</v>
      </c>
      <c r="E441">
        <v>21321</v>
      </c>
      <c r="F441" s="6">
        <v>8707473.8629362695</v>
      </c>
      <c r="G441" s="5">
        <v>3185490</v>
      </c>
      <c r="H441">
        <v>54564851</v>
      </c>
      <c r="I441" s="1">
        <v>2.7334802064788368</v>
      </c>
    </row>
    <row r="442" spans="1:9" x14ac:dyDescent="0.3">
      <c r="A442" t="s">
        <v>18</v>
      </c>
      <c r="B442">
        <v>2020</v>
      </c>
      <c r="C442">
        <v>1</v>
      </c>
      <c r="D442" t="s">
        <v>10</v>
      </c>
      <c r="E442">
        <v>1087401</v>
      </c>
      <c r="F442" s="6">
        <v>4421372542.4680328</v>
      </c>
      <c r="G442" s="5">
        <v>3441757</v>
      </c>
      <c r="H442">
        <v>57213321</v>
      </c>
      <c r="I442" s="1">
        <v>1284.6265853365107</v>
      </c>
    </row>
    <row r="443" spans="1:9" x14ac:dyDescent="0.3">
      <c r="A443" t="s">
        <v>18</v>
      </c>
      <c r="B443">
        <v>2020</v>
      </c>
      <c r="C443">
        <v>1</v>
      </c>
      <c r="D443" t="s">
        <v>11</v>
      </c>
      <c r="E443">
        <v>764832</v>
      </c>
      <c r="F443" s="6">
        <v>438193845.45277047</v>
      </c>
      <c r="G443" s="5">
        <v>3441757</v>
      </c>
      <c r="H443">
        <v>57213321</v>
      </c>
      <c r="I443" s="1">
        <v>127.31690396874924</v>
      </c>
    </row>
    <row r="444" spans="1:9" x14ac:dyDescent="0.3">
      <c r="A444" t="s">
        <v>18</v>
      </c>
      <c r="B444">
        <v>2020</v>
      </c>
      <c r="C444">
        <v>1</v>
      </c>
      <c r="D444" t="s">
        <v>9</v>
      </c>
      <c r="E444">
        <v>389851</v>
      </c>
      <c r="F444" s="6">
        <v>257250007.24455771</v>
      </c>
      <c r="G444" s="5">
        <v>3441757</v>
      </c>
      <c r="H444">
        <v>57213321</v>
      </c>
      <c r="I444" s="1">
        <v>74.743803018213583</v>
      </c>
    </row>
    <row r="445" spans="1:9" x14ac:dyDescent="0.3">
      <c r="A445" t="s">
        <v>18</v>
      </c>
      <c r="B445">
        <v>2020</v>
      </c>
      <c r="C445">
        <v>1</v>
      </c>
      <c r="D445" t="s">
        <v>12</v>
      </c>
      <c r="E445">
        <v>1574</v>
      </c>
      <c r="F445" s="6">
        <v>1406138.1883251297</v>
      </c>
      <c r="G445" s="5">
        <v>3441757</v>
      </c>
      <c r="H445">
        <v>57213321</v>
      </c>
      <c r="I445" s="1">
        <v>0.40855243072800596</v>
      </c>
    </row>
    <row r="446" spans="1:9" x14ac:dyDescent="0.3">
      <c r="A446" t="s">
        <v>18</v>
      </c>
      <c r="B446">
        <v>2020</v>
      </c>
      <c r="C446">
        <v>1</v>
      </c>
      <c r="D446" t="s">
        <v>13</v>
      </c>
      <c r="E446">
        <v>18853</v>
      </c>
      <c r="F446" s="6">
        <v>8230536.662513691</v>
      </c>
      <c r="G446" s="5">
        <v>3441757</v>
      </c>
      <c r="H446">
        <v>57213321</v>
      </c>
      <c r="I446" s="1">
        <v>2.391376457580733</v>
      </c>
    </row>
    <row r="447" spans="1:9" x14ac:dyDescent="0.3">
      <c r="A447" t="s">
        <v>18</v>
      </c>
      <c r="B447">
        <v>2020</v>
      </c>
      <c r="C447">
        <v>2</v>
      </c>
      <c r="D447" t="s">
        <v>10</v>
      </c>
      <c r="E447">
        <v>766698</v>
      </c>
      <c r="F447" s="6">
        <v>3293060119.5471582</v>
      </c>
      <c r="G447" s="5">
        <v>3699861</v>
      </c>
      <c r="H447">
        <v>37963750</v>
      </c>
      <c r="I447" s="1">
        <v>890.04968552795856</v>
      </c>
    </row>
    <row r="448" spans="1:9" x14ac:dyDescent="0.3">
      <c r="A448" t="s">
        <v>18</v>
      </c>
      <c r="B448">
        <v>2020</v>
      </c>
      <c r="C448">
        <v>2</v>
      </c>
      <c r="D448" t="s">
        <v>11</v>
      </c>
      <c r="E448">
        <v>390906</v>
      </c>
      <c r="F448" s="6">
        <v>331423259.00037187</v>
      </c>
      <c r="G448" s="5">
        <v>3699861</v>
      </c>
      <c r="H448">
        <v>37963750</v>
      </c>
      <c r="I448" s="1">
        <v>89.577218982110921</v>
      </c>
    </row>
    <row r="449" spans="1:9" x14ac:dyDescent="0.3">
      <c r="A449" t="s">
        <v>18</v>
      </c>
      <c r="B449">
        <v>2020</v>
      </c>
      <c r="C449">
        <v>2</v>
      </c>
      <c r="D449" t="s">
        <v>9</v>
      </c>
      <c r="E449">
        <v>361577</v>
      </c>
      <c r="F449" s="6">
        <v>214425229.3354035</v>
      </c>
      <c r="G449" s="5">
        <v>3699861</v>
      </c>
      <c r="H449">
        <v>37963750</v>
      </c>
      <c r="I449" s="1">
        <v>57.954941911440322</v>
      </c>
    </row>
    <row r="450" spans="1:9" x14ac:dyDescent="0.3">
      <c r="A450" t="s">
        <v>18</v>
      </c>
      <c r="B450">
        <v>2020</v>
      </c>
      <c r="C450">
        <v>2</v>
      </c>
      <c r="D450" t="s">
        <v>12</v>
      </c>
      <c r="E450">
        <v>1797</v>
      </c>
      <c r="F450" s="6">
        <v>3982005.1176844486</v>
      </c>
      <c r="G450" s="5">
        <v>3699861</v>
      </c>
      <c r="H450">
        <v>37963750</v>
      </c>
      <c r="I450" s="1">
        <v>1.0762580317705039</v>
      </c>
    </row>
    <row r="451" spans="1:9" x14ac:dyDescent="0.3">
      <c r="A451" t="s">
        <v>18</v>
      </c>
      <c r="B451">
        <v>2020</v>
      </c>
      <c r="C451">
        <v>2</v>
      </c>
      <c r="D451" t="s">
        <v>13</v>
      </c>
      <c r="E451">
        <v>7032</v>
      </c>
      <c r="F451" s="6">
        <v>4125116.6894572242</v>
      </c>
      <c r="G451" s="5">
        <v>3699861</v>
      </c>
      <c r="H451">
        <v>37963750</v>
      </c>
      <c r="I451" s="1">
        <v>1.1149382880754775</v>
      </c>
    </row>
    <row r="452" spans="1:9" x14ac:dyDescent="0.3">
      <c r="A452" t="s">
        <v>18</v>
      </c>
      <c r="B452">
        <v>2020</v>
      </c>
      <c r="C452">
        <v>3</v>
      </c>
      <c r="D452" t="s">
        <v>10</v>
      </c>
      <c r="E452">
        <v>981986</v>
      </c>
      <c r="F452" s="6">
        <v>4178346395.4124918</v>
      </c>
      <c r="G452" s="5">
        <v>3988468</v>
      </c>
      <c r="H452">
        <v>53776129</v>
      </c>
      <c r="I452" s="1">
        <v>1047.606849399943</v>
      </c>
    </row>
    <row r="453" spans="1:9" x14ac:dyDescent="0.3">
      <c r="A453" t="s">
        <v>18</v>
      </c>
      <c r="B453">
        <v>2020</v>
      </c>
      <c r="C453">
        <v>3</v>
      </c>
      <c r="D453" t="s">
        <v>11</v>
      </c>
      <c r="E453">
        <v>796634</v>
      </c>
      <c r="F453" s="6">
        <v>604271248.9262259</v>
      </c>
      <c r="G453" s="5">
        <v>3988468</v>
      </c>
      <c r="H453">
        <v>53776129</v>
      </c>
      <c r="I453" s="1">
        <v>151.50459999333728</v>
      </c>
    </row>
    <row r="454" spans="1:9" x14ac:dyDescent="0.3">
      <c r="A454" t="s">
        <v>18</v>
      </c>
      <c r="B454">
        <v>2020</v>
      </c>
      <c r="C454">
        <v>3</v>
      </c>
      <c r="D454" t="s">
        <v>9</v>
      </c>
      <c r="E454">
        <v>366353</v>
      </c>
      <c r="F454" s="6">
        <v>296964794.9657042</v>
      </c>
      <c r="G454" s="5">
        <v>3988468</v>
      </c>
      <c r="H454">
        <v>53776129</v>
      </c>
      <c r="I454" s="1">
        <v>74.455854971308327</v>
      </c>
    </row>
    <row r="455" spans="1:9" x14ac:dyDescent="0.3">
      <c r="A455" t="s">
        <v>18</v>
      </c>
      <c r="B455">
        <v>2020</v>
      </c>
      <c r="C455">
        <v>3</v>
      </c>
      <c r="D455" t="s">
        <v>12</v>
      </c>
      <c r="E455">
        <v>2643</v>
      </c>
      <c r="F455" s="6">
        <v>5254415.4572638767</v>
      </c>
      <c r="G455" s="5">
        <v>3988468</v>
      </c>
      <c r="H455">
        <v>53776129</v>
      </c>
      <c r="I455" s="1">
        <v>1.3174019340919563</v>
      </c>
    </row>
    <row r="456" spans="1:9" x14ac:dyDescent="0.3">
      <c r="A456" t="s">
        <v>18</v>
      </c>
      <c r="B456">
        <v>2020</v>
      </c>
      <c r="C456">
        <v>3</v>
      </c>
      <c r="D456" t="s">
        <v>13</v>
      </c>
      <c r="E456">
        <v>10470</v>
      </c>
      <c r="F456" s="6">
        <v>4972498.6033853283</v>
      </c>
      <c r="G456" s="5">
        <v>3988468</v>
      </c>
      <c r="H456">
        <v>53776129</v>
      </c>
      <c r="I456" s="1">
        <v>1.2467189415548348</v>
      </c>
    </row>
    <row r="457" spans="1:9" x14ac:dyDescent="0.3">
      <c r="A457" t="s">
        <v>18</v>
      </c>
      <c r="B457">
        <v>2020</v>
      </c>
      <c r="C457">
        <v>4</v>
      </c>
      <c r="D457" t="s">
        <v>11</v>
      </c>
      <c r="E457">
        <v>1322026</v>
      </c>
      <c r="F457" s="6">
        <v>939307675.85102057</v>
      </c>
      <c r="G457" s="5">
        <v>4305422</v>
      </c>
      <c r="H457">
        <v>71257714</v>
      </c>
      <c r="I457" s="1">
        <v>218.16855022597565</v>
      </c>
    </row>
    <row r="458" spans="1:9" x14ac:dyDescent="0.3">
      <c r="A458" t="s">
        <v>18</v>
      </c>
      <c r="B458">
        <v>2020</v>
      </c>
      <c r="C458">
        <v>4</v>
      </c>
      <c r="D458" t="s">
        <v>10</v>
      </c>
      <c r="E458">
        <v>1159377</v>
      </c>
      <c r="F458" s="6">
        <v>4872318731.3398428</v>
      </c>
      <c r="G458" s="5">
        <v>4305422</v>
      </c>
      <c r="H458">
        <v>71257714</v>
      </c>
      <c r="I458" s="1">
        <v>1131.6704219330516</v>
      </c>
    </row>
    <row r="459" spans="1:9" x14ac:dyDescent="0.3">
      <c r="A459" t="s">
        <v>18</v>
      </c>
      <c r="B459">
        <v>2020</v>
      </c>
      <c r="C459">
        <v>4</v>
      </c>
      <c r="D459" t="s">
        <v>9</v>
      </c>
      <c r="E459">
        <v>409997</v>
      </c>
      <c r="F459" s="6">
        <v>320731281.94750684</v>
      </c>
      <c r="G459" s="5">
        <v>4305422</v>
      </c>
      <c r="H459">
        <v>71257714</v>
      </c>
      <c r="I459" s="1">
        <v>74.494737553602604</v>
      </c>
    </row>
    <row r="460" spans="1:9" x14ac:dyDescent="0.3">
      <c r="A460" t="s">
        <v>18</v>
      </c>
      <c r="B460">
        <v>2020</v>
      </c>
      <c r="C460">
        <v>4</v>
      </c>
      <c r="D460" t="s">
        <v>12</v>
      </c>
      <c r="E460">
        <v>3346</v>
      </c>
      <c r="F460" s="6">
        <v>4400109.7487523258</v>
      </c>
      <c r="G460" s="5">
        <v>4305422</v>
      </c>
      <c r="H460">
        <v>71257714</v>
      </c>
      <c r="I460" s="1">
        <v>1.0219926754572086</v>
      </c>
    </row>
    <row r="461" spans="1:9" x14ac:dyDescent="0.3">
      <c r="A461" t="s">
        <v>18</v>
      </c>
      <c r="B461">
        <v>2020</v>
      </c>
      <c r="C461">
        <v>4</v>
      </c>
      <c r="D461" t="s">
        <v>13</v>
      </c>
      <c r="E461">
        <v>17970</v>
      </c>
      <c r="F461" s="6">
        <v>10005102.462219946</v>
      </c>
      <c r="G461" s="5">
        <v>4305422</v>
      </c>
      <c r="H461">
        <v>71257714</v>
      </c>
      <c r="I461" s="1">
        <v>2.3238378171105984</v>
      </c>
    </row>
    <row r="462" spans="1:9" x14ac:dyDescent="0.3">
      <c r="A462" t="s">
        <v>18</v>
      </c>
      <c r="B462">
        <v>2021</v>
      </c>
      <c r="C462">
        <v>1</v>
      </c>
      <c r="D462" t="s">
        <v>11</v>
      </c>
      <c r="E462">
        <v>1799072</v>
      </c>
      <c r="F462" s="6">
        <v>1210594490.0981498</v>
      </c>
      <c r="G462" s="5">
        <v>4619978</v>
      </c>
      <c r="H462">
        <v>87114863</v>
      </c>
      <c r="I462" s="1">
        <v>262.03468719940867</v>
      </c>
    </row>
    <row r="463" spans="1:9" x14ac:dyDescent="0.3">
      <c r="A463" t="s">
        <v>18</v>
      </c>
      <c r="B463">
        <v>2021</v>
      </c>
      <c r="C463">
        <v>1</v>
      </c>
      <c r="D463" t="s">
        <v>10</v>
      </c>
      <c r="E463">
        <v>1472084</v>
      </c>
      <c r="F463" s="6">
        <v>5916467167.3032932</v>
      </c>
      <c r="G463" s="5">
        <v>4619978</v>
      </c>
      <c r="H463">
        <v>87114863</v>
      </c>
      <c r="I463" s="1">
        <v>1280.6266972057645</v>
      </c>
    </row>
    <row r="464" spans="1:9" x14ac:dyDescent="0.3">
      <c r="A464" t="s">
        <v>18</v>
      </c>
      <c r="B464">
        <v>2021</v>
      </c>
      <c r="C464">
        <v>1</v>
      </c>
      <c r="D464" t="s">
        <v>9</v>
      </c>
      <c r="E464">
        <v>678396</v>
      </c>
      <c r="F464" s="6">
        <v>451109555.33889335</v>
      </c>
      <c r="G464" s="5">
        <v>4619978</v>
      </c>
      <c r="H464">
        <v>87114863</v>
      </c>
      <c r="I464" s="1">
        <v>97.643225863606574</v>
      </c>
    </row>
    <row r="465" spans="1:9" x14ac:dyDescent="0.3">
      <c r="A465" t="s">
        <v>18</v>
      </c>
      <c r="B465">
        <v>2021</v>
      </c>
      <c r="C465">
        <v>1</v>
      </c>
      <c r="D465" t="s">
        <v>12</v>
      </c>
      <c r="E465">
        <v>5111</v>
      </c>
      <c r="F465" s="6">
        <v>7700394.7615059018</v>
      </c>
      <c r="G465" s="5">
        <v>4619978</v>
      </c>
      <c r="H465">
        <v>87114863</v>
      </c>
      <c r="I465" s="1">
        <v>1.6667600498326836</v>
      </c>
    </row>
    <row r="466" spans="1:9" x14ac:dyDescent="0.3">
      <c r="A466" t="s">
        <v>18</v>
      </c>
      <c r="B466">
        <v>2021</v>
      </c>
      <c r="C466">
        <v>1</v>
      </c>
      <c r="D466" t="s">
        <v>13</v>
      </c>
      <c r="E466">
        <v>15574</v>
      </c>
      <c r="F466" s="6">
        <v>10549252.044153867</v>
      </c>
      <c r="G466" s="5">
        <v>4619978</v>
      </c>
      <c r="H466">
        <v>87114863</v>
      </c>
      <c r="I466" s="1">
        <v>2.2833987616724296</v>
      </c>
    </row>
    <row r="467" spans="1:9" x14ac:dyDescent="0.3">
      <c r="A467" t="s">
        <v>18</v>
      </c>
      <c r="B467">
        <v>2021</v>
      </c>
      <c r="C467">
        <v>2</v>
      </c>
      <c r="D467" t="s">
        <v>11</v>
      </c>
      <c r="E467">
        <v>1926913</v>
      </c>
      <c r="F467" s="6">
        <v>1390989390.7789688</v>
      </c>
      <c r="G467" s="5">
        <v>4934292</v>
      </c>
      <c r="H467">
        <v>52073164</v>
      </c>
      <c r="I467" s="1">
        <v>281.90252842332171</v>
      </c>
    </row>
    <row r="468" spans="1:9" x14ac:dyDescent="0.3">
      <c r="A468" t="s">
        <v>18</v>
      </c>
      <c r="B468">
        <v>2021</v>
      </c>
      <c r="C468">
        <v>2</v>
      </c>
      <c r="D468" t="s">
        <v>10</v>
      </c>
      <c r="E468">
        <v>1663559</v>
      </c>
      <c r="F468" s="6">
        <v>6541132352.9223328</v>
      </c>
      <c r="G468" s="5">
        <v>4934292</v>
      </c>
      <c r="H468">
        <v>52073164</v>
      </c>
      <c r="I468" s="1">
        <v>1325.64760109907</v>
      </c>
    </row>
    <row r="469" spans="1:9" x14ac:dyDescent="0.3">
      <c r="A469" t="s">
        <v>18</v>
      </c>
      <c r="B469">
        <v>2021</v>
      </c>
      <c r="C469">
        <v>2</v>
      </c>
      <c r="D469" t="s">
        <v>9</v>
      </c>
      <c r="E469">
        <v>806710</v>
      </c>
      <c r="F469" s="6">
        <v>467698864.66720557</v>
      </c>
      <c r="G469" s="5">
        <v>4934292</v>
      </c>
      <c r="H469">
        <v>52073164</v>
      </c>
      <c r="I469" s="1">
        <v>94.785404809282781</v>
      </c>
    </row>
    <row r="470" spans="1:9" x14ac:dyDescent="0.3">
      <c r="A470" t="s">
        <v>18</v>
      </c>
      <c r="B470">
        <v>2021</v>
      </c>
      <c r="C470">
        <v>2</v>
      </c>
      <c r="D470" t="s">
        <v>12</v>
      </c>
      <c r="E470">
        <v>5502</v>
      </c>
      <c r="F470" s="6">
        <v>7394941.0328421909</v>
      </c>
      <c r="G470" s="5">
        <v>4934292</v>
      </c>
      <c r="H470">
        <v>52073164</v>
      </c>
      <c r="I470" s="1">
        <v>1.4986833030639839</v>
      </c>
    </row>
    <row r="471" spans="1:9" x14ac:dyDescent="0.3">
      <c r="A471" t="s">
        <v>18</v>
      </c>
      <c r="B471">
        <v>2021</v>
      </c>
      <c r="C471">
        <v>2</v>
      </c>
      <c r="D471" t="s">
        <v>13</v>
      </c>
      <c r="E471">
        <v>14863</v>
      </c>
      <c r="F471" s="6">
        <v>10458390.534755521</v>
      </c>
      <c r="G471" s="5">
        <v>4934292</v>
      </c>
      <c r="H471">
        <v>52073164</v>
      </c>
      <c r="I471" s="1">
        <v>2.1195321506622471</v>
      </c>
    </row>
    <row r="472" spans="1:9" x14ac:dyDescent="0.3">
      <c r="A472" t="s">
        <v>18</v>
      </c>
      <c r="B472">
        <v>2021</v>
      </c>
      <c r="C472">
        <v>3</v>
      </c>
      <c r="D472" t="s">
        <v>11</v>
      </c>
      <c r="E472">
        <v>3179506</v>
      </c>
      <c r="F472" s="6">
        <v>2245390329.2047896</v>
      </c>
      <c r="G472" s="5">
        <v>5285093</v>
      </c>
      <c r="H472">
        <v>70166877</v>
      </c>
      <c r="I472" s="1">
        <v>424.8535133071054</v>
      </c>
    </row>
    <row r="473" spans="1:9" x14ac:dyDescent="0.3">
      <c r="A473" t="s">
        <v>18</v>
      </c>
      <c r="B473">
        <v>2021</v>
      </c>
      <c r="C473">
        <v>3</v>
      </c>
      <c r="D473" t="s">
        <v>10</v>
      </c>
      <c r="E473">
        <v>2434417</v>
      </c>
      <c r="F473" s="6">
        <v>8927868098.3407459</v>
      </c>
      <c r="G473" s="5">
        <v>5285093</v>
      </c>
      <c r="H473">
        <v>70166877</v>
      </c>
      <c r="I473" s="1">
        <v>1689.2546826216201</v>
      </c>
    </row>
    <row r="474" spans="1:9" x14ac:dyDescent="0.3">
      <c r="A474" t="s">
        <v>18</v>
      </c>
      <c r="B474">
        <v>2021</v>
      </c>
      <c r="C474">
        <v>3</v>
      </c>
      <c r="D474" t="s">
        <v>9</v>
      </c>
      <c r="E474">
        <v>1008585</v>
      </c>
      <c r="F474" s="6">
        <v>620437997.38996029</v>
      </c>
      <c r="G474" s="5">
        <v>5285093</v>
      </c>
      <c r="H474">
        <v>70166877</v>
      </c>
      <c r="I474" s="1">
        <v>117.39396021791107</v>
      </c>
    </row>
    <row r="475" spans="1:9" x14ac:dyDescent="0.3">
      <c r="A475" t="s">
        <v>18</v>
      </c>
      <c r="B475">
        <v>2021</v>
      </c>
      <c r="C475">
        <v>3</v>
      </c>
      <c r="D475" t="s">
        <v>12</v>
      </c>
      <c r="E475">
        <v>5700</v>
      </c>
      <c r="F475" s="6">
        <v>7960844.9039718322</v>
      </c>
      <c r="G475" s="5">
        <v>5285093</v>
      </c>
      <c r="H475">
        <v>70166877</v>
      </c>
      <c r="I475" s="1">
        <v>1.5062828419427685</v>
      </c>
    </row>
    <row r="476" spans="1:9" x14ac:dyDescent="0.3">
      <c r="A476" t="s">
        <v>18</v>
      </c>
      <c r="B476">
        <v>2021</v>
      </c>
      <c r="C476">
        <v>3</v>
      </c>
      <c r="D476" t="s">
        <v>13</v>
      </c>
      <c r="E476">
        <v>21170</v>
      </c>
      <c r="F476" s="6">
        <v>14225734.853836158</v>
      </c>
      <c r="G476" s="5">
        <v>5285093</v>
      </c>
      <c r="H476">
        <v>70166877</v>
      </c>
      <c r="I476" s="1">
        <v>2.6916716231551949</v>
      </c>
    </row>
    <row r="477" spans="1:9" x14ac:dyDescent="0.3">
      <c r="A477" t="s">
        <v>18</v>
      </c>
      <c r="B477">
        <v>2021</v>
      </c>
      <c r="C477">
        <v>4</v>
      </c>
      <c r="D477" t="s">
        <v>11</v>
      </c>
      <c r="E477">
        <v>4056249</v>
      </c>
      <c r="F477" s="6">
        <v>3041038519.8233976</v>
      </c>
      <c r="G477" s="5">
        <v>5633012</v>
      </c>
      <c r="H477">
        <v>127643494</v>
      </c>
      <c r="I477" s="1">
        <v>539.86011743333722</v>
      </c>
    </row>
    <row r="478" spans="1:9" x14ac:dyDescent="0.3">
      <c r="A478" t="s">
        <v>18</v>
      </c>
      <c r="B478">
        <v>2021</v>
      </c>
      <c r="C478">
        <v>4</v>
      </c>
      <c r="D478" t="s">
        <v>10</v>
      </c>
      <c r="E478">
        <v>2797561</v>
      </c>
      <c r="F478" s="6">
        <v>10610461952.107159</v>
      </c>
      <c r="G478" s="5">
        <v>5633012</v>
      </c>
      <c r="H478">
        <v>127643494</v>
      </c>
      <c r="I478" s="1">
        <v>1883.6214004349997</v>
      </c>
    </row>
    <row r="479" spans="1:9" x14ac:dyDescent="0.3">
      <c r="A479" t="s">
        <v>18</v>
      </c>
      <c r="B479">
        <v>2021</v>
      </c>
      <c r="C479">
        <v>4</v>
      </c>
      <c r="D479" t="s">
        <v>9</v>
      </c>
      <c r="E479">
        <v>1013153</v>
      </c>
      <c r="F479" s="6">
        <v>693790747.24298549</v>
      </c>
      <c r="G479" s="5">
        <v>5633012</v>
      </c>
      <c r="H479">
        <v>127643494</v>
      </c>
      <c r="I479" s="1">
        <v>123.16514632721987</v>
      </c>
    </row>
    <row r="480" spans="1:9" x14ac:dyDescent="0.3">
      <c r="A480" t="s">
        <v>18</v>
      </c>
      <c r="B480">
        <v>2021</v>
      </c>
      <c r="C480">
        <v>4</v>
      </c>
      <c r="D480" t="s">
        <v>12</v>
      </c>
      <c r="E480">
        <v>7038</v>
      </c>
      <c r="F480" s="6">
        <v>10459431.863661807</v>
      </c>
      <c r="G480" s="5">
        <v>5633012</v>
      </c>
      <c r="H480">
        <v>127643494</v>
      </c>
      <c r="I480" s="1">
        <v>1.8568097961910621</v>
      </c>
    </row>
    <row r="481" spans="1:9" x14ac:dyDescent="0.3">
      <c r="A481" t="s">
        <v>18</v>
      </c>
      <c r="B481">
        <v>2021</v>
      </c>
      <c r="C481">
        <v>4</v>
      </c>
      <c r="D481" t="s">
        <v>13</v>
      </c>
      <c r="E481">
        <v>24902</v>
      </c>
      <c r="F481" s="6">
        <v>17832859.581251591</v>
      </c>
      <c r="G481" s="5">
        <v>5633012</v>
      </c>
      <c r="H481">
        <v>127643494</v>
      </c>
      <c r="I481" s="1">
        <v>3.165776955783441</v>
      </c>
    </row>
    <row r="482" spans="1:9" x14ac:dyDescent="0.3">
      <c r="A482" t="s">
        <v>19</v>
      </c>
      <c r="B482">
        <v>2018</v>
      </c>
      <c r="C482">
        <v>1</v>
      </c>
      <c r="D482" t="s">
        <v>9</v>
      </c>
      <c r="E482">
        <v>1177618</v>
      </c>
      <c r="F482" s="6">
        <v>206518662.81014803</v>
      </c>
      <c r="G482" s="5">
        <v>7471893</v>
      </c>
      <c r="H482">
        <v>0</v>
      </c>
      <c r="I482" s="1">
        <v>27.639403135209246</v>
      </c>
    </row>
    <row r="483" spans="1:9" x14ac:dyDescent="0.3">
      <c r="A483" t="s">
        <v>19</v>
      </c>
      <c r="B483">
        <v>2018</v>
      </c>
      <c r="C483">
        <v>1</v>
      </c>
      <c r="D483" t="s">
        <v>10</v>
      </c>
      <c r="E483">
        <v>550697</v>
      </c>
      <c r="F483" s="6">
        <v>1838238336.1663632</v>
      </c>
      <c r="G483" s="5">
        <v>7471893</v>
      </c>
      <c r="H483">
        <v>0</v>
      </c>
      <c r="I483" s="1">
        <v>246.02043098935749</v>
      </c>
    </row>
    <row r="484" spans="1:9" x14ac:dyDescent="0.3">
      <c r="A484" t="s">
        <v>19</v>
      </c>
      <c r="B484">
        <v>2018</v>
      </c>
      <c r="C484">
        <v>1</v>
      </c>
      <c r="D484" t="s">
        <v>11</v>
      </c>
      <c r="E484">
        <v>42411</v>
      </c>
      <c r="F484" s="6">
        <v>39708474.158690549</v>
      </c>
      <c r="G484" s="5">
        <v>7471893</v>
      </c>
      <c r="H484">
        <v>0</v>
      </c>
      <c r="I484" s="1">
        <v>5.3143793893582991</v>
      </c>
    </row>
    <row r="485" spans="1:9" x14ac:dyDescent="0.3">
      <c r="A485" t="s">
        <v>19</v>
      </c>
      <c r="B485">
        <v>2018</v>
      </c>
      <c r="C485">
        <v>1</v>
      </c>
      <c r="D485" t="s">
        <v>12</v>
      </c>
      <c r="E485">
        <v>33002</v>
      </c>
      <c r="F485" s="6">
        <v>7350624.2744615152</v>
      </c>
      <c r="G485" s="5">
        <v>7471893</v>
      </c>
      <c r="H485">
        <v>0</v>
      </c>
      <c r="I485" s="1">
        <v>0.98377001309594703</v>
      </c>
    </row>
    <row r="486" spans="1:9" x14ac:dyDescent="0.3">
      <c r="A486" t="s">
        <v>19</v>
      </c>
      <c r="B486">
        <v>2018</v>
      </c>
      <c r="C486">
        <v>1</v>
      </c>
      <c r="D486" t="s">
        <v>13</v>
      </c>
      <c r="E486">
        <v>87786</v>
      </c>
      <c r="F486" s="6">
        <v>57339459.827102087</v>
      </c>
      <c r="G486" s="5">
        <v>7471893</v>
      </c>
      <c r="H486">
        <v>0</v>
      </c>
      <c r="I486" s="1">
        <v>7.6740204693913698</v>
      </c>
    </row>
    <row r="487" spans="1:9" x14ac:dyDescent="0.3">
      <c r="A487" t="s">
        <v>19</v>
      </c>
      <c r="B487">
        <v>2018</v>
      </c>
      <c r="C487">
        <v>2</v>
      </c>
      <c r="D487" t="s">
        <v>9</v>
      </c>
      <c r="E487">
        <v>1643461</v>
      </c>
      <c r="F487" s="6">
        <v>351709628.09011692</v>
      </c>
      <c r="G487" s="5">
        <v>10457425</v>
      </c>
      <c r="H487">
        <v>0</v>
      </c>
      <c r="I487" s="1">
        <v>33.632526945219965</v>
      </c>
    </row>
    <row r="488" spans="1:9" x14ac:dyDescent="0.3">
      <c r="A488" t="s">
        <v>19</v>
      </c>
      <c r="B488">
        <v>2018</v>
      </c>
      <c r="C488">
        <v>2</v>
      </c>
      <c r="D488" t="s">
        <v>10</v>
      </c>
      <c r="E488">
        <v>933066</v>
      </c>
      <c r="F488" s="6">
        <v>3703114547.6583509</v>
      </c>
      <c r="G488" s="5">
        <v>10457425</v>
      </c>
      <c r="H488">
        <v>0</v>
      </c>
      <c r="I488" s="1">
        <v>354.11342157924639</v>
      </c>
    </row>
    <row r="489" spans="1:9" x14ac:dyDescent="0.3">
      <c r="A489" t="s">
        <v>19</v>
      </c>
      <c r="B489">
        <v>2018</v>
      </c>
      <c r="C489">
        <v>2</v>
      </c>
      <c r="D489" t="s">
        <v>11</v>
      </c>
      <c r="E489">
        <v>118438</v>
      </c>
      <c r="F489" s="6">
        <v>129967815.18510856</v>
      </c>
      <c r="G489" s="5">
        <v>10457425</v>
      </c>
      <c r="H489">
        <v>0</v>
      </c>
      <c r="I489" s="1">
        <v>12.42828088034182</v>
      </c>
    </row>
    <row r="490" spans="1:9" x14ac:dyDescent="0.3">
      <c r="A490" t="s">
        <v>19</v>
      </c>
      <c r="B490">
        <v>2018</v>
      </c>
      <c r="C490">
        <v>2</v>
      </c>
      <c r="D490" t="s">
        <v>12</v>
      </c>
      <c r="E490">
        <v>40299</v>
      </c>
      <c r="F490" s="6">
        <v>9405941.6270769592</v>
      </c>
      <c r="G490" s="5">
        <v>10457425</v>
      </c>
      <c r="H490">
        <v>0</v>
      </c>
      <c r="I490" s="1">
        <v>0.89945102423177403</v>
      </c>
    </row>
    <row r="491" spans="1:9" x14ac:dyDescent="0.3">
      <c r="A491" t="s">
        <v>19</v>
      </c>
      <c r="B491">
        <v>2018</v>
      </c>
      <c r="C491">
        <v>2</v>
      </c>
      <c r="D491" t="s">
        <v>13</v>
      </c>
      <c r="E491">
        <v>80892</v>
      </c>
      <c r="F491" s="6">
        <v>69972510.600996211</v>
      </c>
      <c r="G491" s="5">
        <v>10457425</v>
      </c>
      <c r="H491">
        <v>0</v>
      </c>
      <c r="I491" s="1">
        <v>6.6911797694935622</v>
      </c>
    </row>
    <row r="492" spans="1:9" x14ac:dyDescent="0.3">
      <c r="A492" t="s">
        <v>19</v>
      </c>
      <c r="B492">
        <v>2018</v>
      </c>
      <c r="C492">
        <v>3</v>
      </c>
      <c r="D492" t="s">
        <v>9</v>
      </c>
      <c r="E492">
        <v>1911374</v>
      </c>
      <c r="F492" s="6">
        <v>443460556.77590346</v>
      </c>
      <c r="G492" s="5">
        <v>13395712</v>
      </c>
      <c r="H492">
        <v>0</v>
      </c>
      <c r="I492" s="1">
        <v>33.104664893952894</v>
      </c>
    </row>
    <row r="493" spans="1:9" x14ac:dyDescent="0.3">
      <c r="A493" t="s">
        <v>19</v>
      </c>
      <c r="B493">
        <v>2018</v>
      </c>
      <c r="C493">
        <v>3</v>
      </c>
      <c r="D493" t="s">
        <v>10</v>
      </c>
      <c r="E493">
        <v>1619886</v>
      </c>
      <c r="F493" s="6">
        <v>5647949187.7479477</v>
      </c>
      <c r="G493" s="5">
        <v>13395712</v>
      </c>
      <c r="H493">
        <v>0</v>
      </c>
      <c r="I493" s="1">
        <v>421.62366492710112</v>
      </c>
    </row>
    <row r="494" spans="1:9" x14ac:dyDescent="0.3">
      <c r="A494" t="s">
        <v>19</v>
      </c>
      <c r="B494">
        <v>2018</v>
      </c>
      <c r="C494">
        <v>3</v>
      </c>
      <c r="D494" t="s">
        <v>11</v>
      </c>
      <c r="E494">
        <v>220572</v>
      </c>
      <c r="F494" s="6">
        <v>145342066.01377475</v>
      </c>
      <c r="G494" s="5">
        <v>13395712</v>
      </c>
      <c r="H494">
        <v>0</v>
      </c>
      <c r="I494" s="1">
        <v>10.849894803185881</v>
      </c>
    </row>
    <row r="495" spans="1:9" x14ac:dyDescent="0.3">
      <c r="A495" t="s">
        <v>19</v>
      </c>
      <c r="B495">
        <v>2018</v>
      </c>
      <c r="C495">
        <v>3</v>
      </c>
      <c r="D495" t="s">
        <v>12</v>
      </c>
      <c r="E495">
        <v>31927</v>
      </c>
      <c r="F495" s="6">
        <v>6195179.1569994465</v>
      </c>
      <c r="G495" s="5">
        <v>13395712</v>
      </c>
      <c r="H495">
        <v>0</v>
      </c>
      <c r="I495" s="1">
        <v>0.46247479469545527</v>
      </c>
    </row>
    <row r="496" spans="1:9" x14ac:dyDescent="0.3">
      <c r="A496" t="s">
        <v>19</v>
      </c>
      <c r="B496">
        <v>2018</v>
      </c>
      <c r="C496">
        <v>3</v>
      </c>
      <c r="D496" t="s">
        <v>13</v>
      </c>
      <c r="E496">
        <v>75845</v>
      </c>
      <c r="F496" s="6">
        <v>59360083.751690038</v>
      </c>
      <c r="G496" s="5">
        <v>13395712</v>
      </c>
      <c r="H496">
        <v>0</v>
      </c>
      <c r="I496" s="1">
        <v>4.4312750043961859</v>
      </c>
    </row>
    <row r="497" spans="1:9" x14ac:dyDescent="0.3">
      <c r="A497" t="s">
        <v>19</v>
      </c>
      <c r="B497">
        <v>2018</v>
      </c>
      <c r="C497">
        <v>4</v>
      </c>
      <c r="D497" t="s">
        <v>9</v>
      </c>
      <c r="E497">
        <v>2438959</v>
      </c>
      <c r="F497" s="6">
        <v>554514488.41219842</v>
      </c>
      <c r="G497" s="5">
        <v>17379978</v>
      </c>
      <c r="H497">
        <v>0</v>
      </c>
      <c r="I497" s="1">
        <v>31.905361929238254</v>
      </c>
    </row>
    <row r="498" spans="1:9" x14ac:dyDescent="0.3">
      <c r="A498" t="s">
        <v>19</v>
      </c>
      <c r="B498">
        <v>2018</v>
      </c>
      <c r="C498">
        <v>4</v>
      </c>
      <c r="D498" t="s">
        <v>10</v>
      </c>
      <c r="E498">
        <v>2342713</v>
      </c>
      <c r="F498" s="6">
        <v>8450105299.4808016</v>
      </c>
      <c r="G498" s="5">
        <v>17379978</v>
      </c>
      <c r="H498">
        <v>0</v>
      </c>
      <c r="I498" s="1">
        <v>486.19769826410607</v>
      </c>
    </row>
    <row r="499" spans="1:9" x14ac:dyDescent="0.3">
      <c r="A499" t="s">
        <v>19</v>
      </c>
      <c r="B499">
        <v>2018</v>
      </c>
      <c r="C499">
        <v>4</v>
      </c>
      <c r="D499" t="s">
        <v>11</v>
      </c>
      <c r="E499">
        <v>458091</v>
      </c>
      <c r="F499" s="6">
        <v>331842964.57864183</v>
      </c>
      <c r="G499" s="5">
        <v>17379978</v>
      </c>
      <c r="H499">
        <v>0</v>
      </c>
      <c r="I499" s="1">
        <v>19.093405329894079</v>
      </c>
    </row>
    <row r="500" spans="1:9" x14ac:dyDescent="0.3">
      <c r="A500" t="s">
        <v>19</v>
      </c>
      <c r="B500">
        <v>2018</v>
      </c>
      <c r="C500">
        <v>4</v>
      </c>
      <c r="D500" t="s">
        <v>12</v>
      </c>
      <c r="E500">
        <v>42199</v>
      </c>
      <c r="F500" s="6">
        <v>9709810.4363437071</v>
      </c>
      <c r="G500" s="5">
        <v>17379978</v>
      </c>
      <c r="H500">
        <v>0</v>
      </c>
      <c r="I500" s="1">
        <v>0.55867794748323085</v>
      </c>
    </row>
    <row r="501" spans="1:9" x14ac:dyDescent="0.3">
      <c r="A501" t="s">
        <v>19</v>
      </c>
      <c r="B501">
        <v>2018</v>
      </c>
      <c r="C501">
        <v>4</v>
      </c>
      <c r="D501" t="s">
        <v>13</v>
      </c>
      <c r="E501">
        <v>83882</v>
      </c>
      <c r="F501" s="6">
        <v>70240102.063499525</v>
      </c>
      <c r="G501" s="5">
        <v>17379978</v>
      </c>
      <c r="H501">
        <v>0</v>
      </c>
      <c r="I501" s="1">
        <v>4.0414379157154015</v>
      </c>
    </row>
    <row r="502" spans="1:9" x14ac:dyDescent="0.3">
      <c r="A502" t="s">
        <v>19</v>
      </c>
      <c r="B502">
        <v>2019</v>
      </c>
      <c r="C502">
        <v>1</v>
      </c>
      <c r="D502" t="s">
        <v>10</v>
      </c>
      <c r="E502">
        <v>4068056</v>
      </c>
      <c r="F502" s="6">
        <v>11417366152.388483</v>
      </c>
      <c r="G502" s="5">
        <v>20997878</v>
      </c>
      <c r="H502">
        <v>0</v>
      </c>
      <c r="I502" s="1">
        <v>543.73904603067433</v>
      </c>
    </row>
    <row r="503" spans="1:9" x14ac:dyDescent="0.3">
      <c r="A503" t="s">
        <v>19</v>
      </c>
      <c r="B503">
        <v>2019</v>
      </c>
      <c r="C503">
        <v>1</v>
      </c>
      <c r="D503" t="s">
        <v>9</v>
      </c>
      <c r="E503">
        <v>2997095</v>
      </c>
      <c r="F503" s="6">
        <v>679458794.54427791</v>
      </c>
      <c r="G503" s="5">
        <v>20997878</v>
      </c>
      <c r="H503">
        <v>0</v>
      </c>
      <c r="I503" s="1">
        <v>32.358450436957391</v>
      </c>
    </row>
    <row r="504" spans="1:9" x14ac:dyDescent="0.3">
      <c r="A504" t="s">
        <v>19</v>
      </c>
      <c r="B504">
        <v>2019</v>
      </c>
      <c r="C504">
        <v>1</v>
      </c>
      <c r="D504" t="s">
        <v>11</v>
      </c>
      <c r="E504">
        <v>710047</v>
      </c>
      <c r="F504" s="6">
        <v>374735986.85082686</v>
      </c>
      <c r="G504" s="5">
        <v>20997878</v>
      </c>
      <c r="H504">
        <v>0</v>
      </c>
      <c r="I504" s="1">
        <v>17.846374136035408</v>
      </c>
    </row>
    <row r="505" spans="1:9" x14ac:dyDescent="0.3">
      <c r="A505" t="s">
        <v>19</v>
      </c>
      <c r="B505">
        <v>2019</v>
      </c>
      <c r="C505">
        <v>1</v>
      </c>
      <c r="D505" t="s">
        <v>12</v>
      </c>
      <c r="E505">
        <v>33835</v>
      </c>
      <c r="F505" s="6">
        <v>5075418.7430071877</v>
      </c>
      <c r="G505" s="5">
        <v>20997878</v>
      </c>
      <c r="H505">
        <v>0</v>
      </c>
      <c r="I505" s="1">
        <v>0.24171103113405973</v>
      </c>
    </row>
    <row r="506" spans="1:9" x14ac:dyDescent="0.3">
      <c r="A506" t="s">
        <v>19</v>
      </c>
      <c r="B506">
        <v>2019</v>
      </c>
      <c r="C506">
        <v>1</v>
      </c>
      <c r="D506" t="s">
        <v>13</v>
      </c>
      <c r="E506">
        <v>78636</v>
      </c>
      <c r="F506" s="6">
        <v>67920032.801846623</v>
      </c>
      <c r="G506" s="5">
        <v>20997878</v>
      </c>
      <c r="H506">
        <v>0</v>
      </c>
      <c r="I506" s="1">
        <v>3.2346141263344146</v>
      </c>
    </row>
    <row r="507" spans="1:9" x14ac:dyDescent="0.3">
      <c r="A507" t="s">
        <v>19</v>
      </c>
      <c r="B507">
        <v>2019</v>
      </c>
      <c r="C507">
        <v>2</v>
      </c>
      <c r="D507" t="s">
        <v>10</v>
      </c>
      <c r="E507">
        <v>4350167</v>
      </c>
      <c r="F507" s="6">
        <v>15410038389.818308</v>
      </c>
      <c r="G507" s="5">
        <v>24101726</v>
      </c>
      <c r="H507">
        <v>145270103</v>
      </c>
      <c r="I507" s="1">
        <v>639.37488916015013</v>
      </c>
    </row>
    <row r="508" spans="1:9" x14ac:dyDescent="0.3">
      <c r="A508" t="s">
        <v>19</v>
      </c>
      <c r="B508">
        <v>2019</v>
      </c>
      <c r="C508">
        <v>2</v>
      </c>
      <c r="D508" t="s">
        <v>9</v>
      </c>
      <c r="E508">
        <v>3435305</v>
      </c>
      <c r="F508" s="6">
        <v>855753107.51046801</v>
      </c>
      <c r="G508" s="5">
        <v>24101726</v>
      </c>
      <c r="H508">
        <v>145270103</v>
      </c>
      <c r="I508" s="1">
        <v>35.505884827935894</v>
      </c>
    </row>
    <row r="509" spans="1:9" x14ac:dyDescent="0.3">
      <c r="A509" t="s">
        <v>19</v>
      </c>
      <c r="B509">
        <v>2019</v>
      </c>
      <c r="C509">
        <v>2</v>
      </c>
      <c r="D509" t="s">
        <v>11</v>
      </c>
      <c r="E509">
        <v>1483870</v>
      </c>
      <c r="F509" s="6">
        <v>654411637.01681149</v>
      </c>
      <c r="G509" s="5">
        <v>24101726</v>
      </c>
      <c r="H509">
        <v>145270103</v>
      </c>
      <c r="I509" s="1">
        <v>27.152065251128136</v>
      </c>
    </row>
    <row r="510" spans="1:9" x14ac:dyDescent="0.3">
      <c r="A510" t="s">
        <v>19</v>
      </c>
      <c r="B510">
        <v>2019</v>
      </c>
      <c r="C510">
        <v>2</v>
      </c>
      <c r="D510" t="s">
        <v>12</v>
      </c>
      <c r="E510">
        <v>22563</v>
      </c>
      <c r="F510" s="6">
        <v>4237631.5544289704</v>
      </c>
      <c r="G510" s="5">
        <v>24101726</v>
      </c>
      <c r="H510">
        <v>145270103</v>
      </c>
      <c r="I510" s="1">
        <v>0.17582274209029555</v>
      </c>
    </row>
    <row r="511" spans="1:9" x14ac:dyDescent="0.3">
      <c r="A511" t="s">
        <v>19</v>
      </c>
      <c r="B511">
        <v>2019</v>
      </c>
      <c r="C511">
        <v>2</v>
      </c>
      <c r="D511" t="s">
        <v>13</v>
      </c>
      <c r="E511">
        <v>98040</v>
      </c>
      <c r="F511" s="6">
        <v>77914922.922278821</v>
      </c>
      <c r="G511" s="5">
        <v>24101726</v>
      </c>
      <c r="H511">
        <v>145270103</v>
      </c>
      <c r="I511" s="1">
        <v>3.2327528294977221</v>
      </c>
    </row>
    <row r="512" spans="1:9" x14ac:dyDescent="0.3">
      <c r="A512" t="s">
        <v>19</v>
      </c>
      <c r="B512">
        <v>2019</v>
      </c>
      <c r="C512">
        <v>3</v>
      </c>
      <c r="D512" t="s">
        <v>10</v>
      </c>
      <c r="E512">
        <v>5021844</v>
      </c>
      <c r="F512" s="6">
        <v>17584630267.779922</v>
      </c>
      <c r="G512" s="5">
        <v>26785638</v>
      </c>
      <c r="H512">
        <v>509985751</v>
      </c>
      <c r="I512" s="1">
        <v>656.49473302745014</v>
      </c>
    </row>
    <row r="513" spans="1:9" x14ac:dyDescent="0.3">
      <c r="A513" t="s">
        <v>19</v>
      </c>
      <c r="B513">
        <v>2019</v>
      </c>
      <c r="C513">
        <v>3</v>
      </c>
      <c r="D513" t="s">
        <v>9</v>
      </c>
      <c r="E513">
        <v>4335851</v>
      </c>
      <c r="F513" s="6">
        <v>1069468753.7262831</v>
      </c>
      <c r="G513" s="5">
        <v>26785638</v>
      </c>
      <c r="H513">
        <v>509985751</v>
      </c>
      <c r="I513" s="1">
        <v>39.926947184393484</v>
      </c>
    </row>
    <row r="514" spans="1:9" x14ac:dyDescent="0.3">
      <c r="A514" t="s">
        <v>19</v>
      </c>
      <c r="B514">
        <v>2019</v>
      </c>
      <c r="C514">
        <v>3</v>
      </c>
      <c r="D514" t="s">
        <v>11</v>
      </c>
      <c r="E514">
        <v>2772084</v>
      </c>
      <c r="F514" s="6">
        <v>1074255588.7227576</v>
      </c>
      <c r="G514" s="5">
        <v>26785638</v>
      </c>
      <c r="H514">
        <v>509985751</v>
      </c>
      <c r="I514" s="1">
        <v>40.105656199891804</v>
      </c>
    </row>
    <row r="515" spans="1:9" x14ac:dyDescent="0.3">
      <c r="A515" t="s">
        <v>19</v>
      </c>
      <c r="B515">
        <v>2019</v>
      </c>
      <c r="C515">
        <v>3</v>
      </c>
      <c r="D515" t="s">
        <v>12</v>
      </c>
      <c r="E515">
        <v>16452</v>
      </c>
      <c r="F515" s="6">
        <v>4542997.9391803248</v>
      </c>
      <c r="G515" s="5">
        <v>26785638</v>
      </c>
      <c r="H515">
        <v>509985751</v>
      </c>
      <c r="I515" s="1">
        <v>0.16960573943321136</v>
      </c>
    </row>
    <row r="516" spans="1:9" x14ac:dyDescent="0.3">
      <c r="A516" t="s">
        <v>19</v>
      </c>
      <c r="B516">
        <v>2019</v>
      </c>
      <c r="C516">
        <v>3</v>
      </c>
      <c r="D516" t="s">
        <v>13</v>
      </c>
      <c r="E516">
        <v>96880</v>
      </c>
      <c r="F516" s="6">
        <v>70361559.285384387</v>
      </c>
      <c r="G516" s="5">
        <v>26785638</v>
      </c>
      <c r="H516">
        <v>509985751</v>
      </c>
      <c r="I516" s="1">
        <v>2.626839027891902</v>
      </c>
    </row>
    <row r="517" spans="1:9" x14ac:dyDescent="0.3">
      <c r="A517" t="s">
        <v>19</v>
      </c>
      <c r="B517">
        <v>2019</v>
      </c>
      <c r="C517">
        <v>4</v>
      </c>
      <c r="D517" t="s">
        <v>10</v>
      </c>
      <c r="E517">
        <v>7241974</v>
      </c>
      <c r="F517" s="6">
        <v>24112075521.017845</v>
      </c>
      <c r="G517" s="5">
        <v>29984900</v>
      </c>
      <c r="H517">
        <v>630068747</v>
      </c>
      <c r="I517" s="1">
        <v>804.14060147000146</v>
      </c>
    </row>
    <row r="518" spans="1:9" x14ac:dyDescent="0.3">
      <c r="A518" t="s">
        <v>19</v>
      </c>
      <c r="B518">
        <v>2019</v>
      </c>
      <c r="C518">
        <v>4</v>
      </c>
      <c r="D518" t="s">
        <v>9</v>
      </c>
      <c r="E518">
        <v>5112337</v>
      </c>
      <c r="F518" s="6">
        <v>1257371454.8604</v>
      </c>
      <c r="G518" s="5">
        <v>29984900</v>
      </c>
      <c r="H518">
        <v>630068747</v>
      </c>
      <c r="I518" s="1">
        <v>41.933488351150075</v>
      </c>
    </row>
    <row r="519" spans="1:9" x14ac:dyDescent="0.3">
      <c r="A519" t="s">
        <v>19</v>
      </c>
      <c r="B519">
        <v>2019</v>
      </c>
      <c r="C519">
        <v>4</v>
      </c>
      <c r="D519" t="s">
        <v>11</v>
      </c>
      <c r="E519">
        <v>3852716</v>
      </c>
      <c r="F519" s="6">
        <v>1720930747.6285615</v>
      </c>
      <c r="G519" s="5">
        <v>29984900</v>
      </c>
      <c r="H519">
        <v>630068747</v>
      </c>
      <c r="I519" s="1">
        <v>57.393246188200109</v>
      </c>
    </row>
    <row r="520" spans="1:9" x14ac:dyDescent="0.3">
      <c r="A520" t="s">
        <v>19</v>
      </c>
      <c r="B520">
        <v>2019</v>
      </c>
      <c r="C520">
        <v>4</v>
      </c>
      <c r="D520" t="s">
        <v>12</v>
      </c>
      <c r="E520">
        <v>14974</v>
      </c>
      <c r="F520" s="6">
        <v>4665759.8042404763</v>
      </c>
      <c r="G520" s="5">
        <v>29984900</v>
      </c>
      <c r="H520">
        <v>630068747</v>
      </c>
      <c r="I520" s="1">
        <v>0.1556036473104955</v>
      </c>
    </row>
    <row r="521" spans="1:9" x14ac:dyDescent="0.3">
      <c r="A521" t="s">
        <v>19</v>
      </c>
      <c r="B521">
        <v>2019</v>
      </c>
      <c r="C521">
        <v>4</v>
      </c>
      <c r="D521" t="s">
        <v>13</v>
      </c>
      <c r="E521">
        <v>83757</v>
      </c>
      <c r="F521" s="6">
        <v>48745253.90234077</v>
      </c>
      <c r="G521" s="5">
        <v>29984900</v>
      </c>
      <c r="H521">
        <v>630068747</v>
      </c>
      <c r="I521" s="1">
        <v>1.6256600456343282</v>
      </c>
    </row>
    <row r="522" spans="1:9" x14ac:dyDescent="0.3">
      <c r="A522" t="s">
        <v>19</v>
      </c>
      <c r="B522">
        <v>2020</v>
      </c>
      <c r="C522">
        <v>1</v>
      </c>
      <c r="D522" t="s">
        <v>10</v>
      </c>
      <c r="E522">
        <v>8109789</v>
      </c>
      <c r="F522" s="6">
        <v>28723854868.846924</v>
      </c>
      <c r="G522" s="5">
        <v>33181357</v>
      </c>
      <c r="H522">
        <v>706465111</v>
      </c>
      <c r="I522" s="1">
        <v>865.66245222722273</v>
      </c>
    </row>
    <row r="523" spans="1:9" x14ac:dyDescent="0.3">
      <c r="A523" t="s">
        <v>19</v>
      </c>
      <c r="B523">
        <v>2020</v>
      </c>
      <c r="C523">
        <v>1</v>
      </c>
      <c r="D523" t="s">
        <v>9</v>
      </c>
      <c r="E523">
        <v>6400067</v>
      </c>
      <c r="F523" s="6">
        <v>1688995018.2209015</v>
      </c>
      <c r="G523" s="5">
        <v>33181357</v>
      </c>
      <c r="H523">
        <v>706465111</v>
      </c>
      <c r="I523" s="1">
        <v>50.90192719426458</v>
      </c>
    </row>
    <row r="524" spans="1:9" x14ac:dyDescent="0.3">
      <c r="A524" t="s">
        <v>19</v>
      </c>
      <c r="B524">
        <v>2020</v>
      </c>
      <c r="C524">
        <v>1</v>
      </c>
      <c r="D524" t="s">
        <v>11</v>
      </c>
      <c r="E524">
        <v>4923214</v>
      </c>
      <c r="F524" s="6">
        <v>2393811867.3887434</v>
      </c>
      <c r="G524" s="5">
        <v>33181357</v>
      </c>
      <c r="H524">
        <v>706465111</v>
      </c>
      <c r="I524" s="1">
        <v>72.143278148291017</v>
      </c>
    </row>
    <row r="525" spans="1:9" x14ac:dyDescent="0.3">
      <c r="A525" t="s">
        <v>19</v>
      </c>
      <c r="B525">
        <v>2020</v>
      </c>
      <c r="C525">
        <v>1</v>
      </c>
      <c r="D525" t="s">
        <v>12</v>
      </c>
      <c r="E525">
        <v>12424</v>
      </c>
      <c r="F525" s="6">
        <v>7378557.2230602857</v>
      </c>
      <c r="G525" s="5">
        <v>33181357</v>
      </c>
      <c r="H525">
        <v>706465111</v>
      </c>
      <c r="I525" s="1">
        <v>0.22237056860152782</v>
      </c>
    </row>
    <row r="526" spans="1:9" x14ac:dyDescent="0.3">
      <c r="A526" t="s">
        <v>19</v>
      </c>
      <c r="B526">
        <v>2020</v>
      </c>
      <c r="C526">
        <v>1</v>
      </c>
      <c r="D526" t="s">
        <v>13</v>
      </c>
      <c r="E526">
        <v>78497</v>
      </c>
      <c r="F526" s="6">
        <v>46557359.676601201</v>
      </c>
      <c r="G526" s="5">
        <v>33181357</v>
      </c>
      <c r="H526">
        <v>706465111</v>
      </c>
      <c r="I526" s="1">
        <v>1.4031180122199705</v>
      </c>
    </row>
    <row r="527" spans="1:9" x14ac:dyDescent="0.3">
      <c r="A527" t="s">
        <v>19</v>
      </c>
      <c r="B527">
        <v>2020</v>
      </c>
      <c r="C527">
        <v>2</v>
      </c>
      <c r="D527" t="s">
        <v>9</v>
      </c>
      <c r="E527">
        <v>8366200</v>
      </c>
      <c r="F527" s="6">
        <v>2504355746.828547</v>
      </c>
      <c r="G527" s="5">
        <v>37418238</v>
      </c>
      <c r="H527">
        <v>753427224</v>
      </c>
      <c r="I527" s="1">
        <v>66.928745998904247</v>
      </c>
    </row>
    <row r="528" spans="1:9" x14ac:dyDescent="0.3">
      <c r="A528" t="s">
        <v>19</v>
      </c>
      <c r="B528">
        <v>2020</v>
      </c>
      <c r="C528">
        <v>2</v>
      </c>
      <c r="D528" t="s">
        <v>10</v>
      </c>
      <c r="E528">
        <v>7216219</v>
      </c>
      <c r="F528" s="6">
        <v>27351810047.608715</v>
      </c>
      <c r="G528" s="5">
        <v>37418238</v>
      </c>
      <c r="H528">
        <v>753427224</v>
      </c>
      <c r="I528" s="1">
        <v>730.97536146968537</v>
      </c>
    </row>
    <row r="529" spans="1:9" x14ac:dyDescent="0.3">
      <c r="A529" t="s">
        <v>19</v>
      </c>
      <c r="B529">
        <v>2020</v>
      </c>
      <c r="C529">
        <v>2</v>
      </c>
      <c r="D529" t="s">
        <v>11</v>
      </c>
      <c r="E529">
        <v>3158417</v>
      </c>
      <c r="F529" s="6">
        <v>2361252112.4196329</v>
      </c>
      <c r="G529" s="5">
        <v>37418238</v>
      </c>
      <c r="H529">
        <v>753427224</v>
      </c>
      <c r="I529" s="1">
        <v>63.104310588318803</v>
      </c>
    </row>
    <row r="530" spans="1:9" x14ac:dyDescent="0.3">
      <c r="A530" t="s">
        <v>19</v>
      </c>
      <c r="B530">
        <v>2020</v>
      </c>
      <c r="C530">
        <v>2</v>
      </c>
      <c r="D530" t="s">
        <v>12</v>
      </c>
      <c r="E530">
        <v>19986</v>
      </c>
      <c r="F530" s="6">
        <v>17814454.605634861</v>
      </c>
      <c r="G530" s="5">
        <v>37418238</v>
      </c>
      <c r="H530">
        <v>753427224</v>
      </c>
      <c r="I530" s="1">
        <v>0.4760901516964765</v>
      </c>
    </row>
    <row r="531" spans="1:9" x14ac:dyDescent="0.3">
      <c r="A531" t="s">
        <v>19</v>
      </c>
      <c r="B531">
        <v>2020</v>
      </c>
      <c r="C531">
        <v>2</v>
      </c>
      <c r="D531" t="s">
        <v>13</v>
      </c>
      <c r="E531">
        <v>60103</v>
      </c>
      <c r="F531" s="6">
        <v>33149845.438824516</v>
      </c>
      <c r="G531" s="5">
        <v>37418238</v>
      </c>
      <c r="H531">
        <v>753427224</v>
      </c>
      <c r="I531" s="1">
        <v>0.88592748378008912</v>
      </c>
    </row>
    <row r="532" spans="1:9" x14ac:dyDescent="0.3">
      <c r="A532" t="s">
        <v>19</v>
      </c>
      <c r="B532">
        <v>2020</v>
      </c>
      <c r="C532">
        <v>3</v>
      </c>
      <c r="D532" t="s">
        <v>10</v>
      </c>
      <c r="E532">
        <v>9734445</v>
      </c>
      <c r="F532" s="6">
        <v>34661165923.130371</v>
      </c>
      <c r="G532" s="5">
        <v>41793246</v>
      </c>
      <c r="H532">
        <v>956104666</v>
      </c>
      <c r="I532" s="1">
        <v>829.34850102646658</v>
      </c>
    </row>
    <row r="533" spans="1:9" x14ac:dyDescent="0.3">
      <c r="A533" t="s">
        <v>19</v>
      </c>
      <c r="B533">
        <v>2020</v>
      </c>
      <c r="C533">
        <v>3</v>
      </c>
      <c r="D533" t="s">
        <v>9</v>
      </c>
      <c r="E533">
        <v>8705513</v>
      </c>
      <c r="F533" s="6">
        <v>2790720003.1373434</v>
      </c>
      <c r="G533" s="5">
        <v>41793246</v>
      </c>
      <c r="H533">
        <v>956104666</v>
      </c>
      <c r="I533" s="1">
        <v>66.774425780121106</v>
      </c>
    </row>
    <row r="534" spans="1:9" x14ac:dyDescent="0.3">
      <c r="A534" t="s">
        <v>19</v>
      </c>
      <c r="B534">
        <v>2020</v>
      </c>
      <c r="C534">
        <v>3</v>
      </c>
      <c r="D534" t="s">
        <v>11</v>
      </c>
      <c r="E534">
        <v>5591916</v>
      </c>
      <c r="F534" s="6">
        <v>3990179454.1880045</v>
      </c>
      <c r="G534" s="5">
        <v>41793246</v>
      </c>
      <c r="H534">
        <v>956104666</v>
      </c>
      <c r="I534" s="1">
        <v>95.474265248217492</v>
      </c>
    </row>
    <row r="535" spans="1:9" x14ac:dyDescent="0.3">
      <c r="A535" t="s">
        <v>19</v>
      </c>
      <c r="B535">
        <v>2020</v>
      </c>
      <c r="C535">
        <v>3</v>
      </c>
      <c r="D535" t="s">
        <v>12</v>
      </c>
      <c r="E535">
        <v>34893</v>
      </c>
      <c r="F535" s="6">
        <v>39141096.450702377</v>
      </c>
      <c r="G535" s="5">
        <v>41793246</v>
      </c>
      <c r="H535">
        <v>956104666</v>
      </c>
      <c r="I535" s="1">
        <v>0.93654119258174817</v>
      </c>
    </row>
    <row r="536" spans="1:9" x14ac:dyDescent="0.3">
      <c r="A536" t="s">
        <v>19</v>
      </c>
      <c r="B536">
        <v>2020</v>
      </c>
      <c r="C536">
        <v>3</v>
      </c>
      <c r="D536" t="s">
        <v>13</v>
      </c>
      <c r="E536">
        <v>81772</v>
      </c>
      <c r="F536" s="6">
        <v>45538330.627661861</v>
      </c>
      <c r="G536" s="5">
        <v>41793246</v>
      </c>
      <c r="H536">
        <v>956104666</v>
      </c>
      <c r="I536" s="1">
        <v>1.0896098050785972</v>
      </c>
    </row>
    <row r="537" spans="1:9" x14ac:dyDescent="0.3">
      <c r="A537" t="s">
        <v>19</v>
      </c>
      <c r="B537">
        <v>2020</v>
      </c>
      <c r="C537">
        <v>4</v>
      </c>
      <c r="D537" t="s">
        <v>10</v>
      </c>
      <c r="E537">
        <v>14257312</v>
      </c>
      <c r="F537" s="6">
        <v>50812302052.952705</v>
      </c>
      <c r="G537" s="5">
        <v>46096611</v>
      </c>
      <c r="H537">
        <v>1208905137</v>
      </c>
      <c r="I537" s="1">
        <v>1102.3001680742366</v>
      </c>
    </row>
    <row r="538" spans="1:9" x14ac:dyDescent="0.3">
      <c r="A538" t="s">
        <v>19</v>
      </c>
      <c r="B538">
        <v>2020</v>
      </c>
      <c r="C538">
        <v>4</v>
      </c>
      <c r="D538" t="s">
        <v>11</v>
      </c>
      <c r="E538">
        <v>11677743</v>
      </c>
      <c r="F538" s="6">
        <v>8238390462.2029839</v>
      </c>
      <c r="G538" s="5">
        <v>46096611</v>
      </c>
      <c r="H538">
        <v>1208905137</v>
      </c>
      <c r="I538" s="1">
        <v>178.72008990428785</v>
      </c>
    </row>
    <row r="539" spans="1:9" x14ac:dyDescent="0.3">
      <c r="A539" t="s">
        <v>19</v>
      </c>
      <c r="B539">
        <v>2020</v>
      </c>
      <c r="C539">
        <v>4</v>
      </c>
      <c r="D539" t="s">
        <v>9</v>
      </c>
      <c r="E539">
        <v>9423324</v>
      </c>
      <c r="F539" s="6">
        <v>3033918783.2089992</v>
      </c>
      <c r="G539" s="5">
        <v>46096611</v>
      </c>
      <c r="H539">
        <v>1208905137</v>
      </c>
      <c r="I539" s="1">
        <v>65.816525713983594</v>
      </c>
    </row>
    <row r="540" spans="1:9" x14ac:dyDescent="0.3">
      <c r="A540" t="s">
        <v>19</v>
      </c>
      <c r="B540">
        <v>2020</v>
      </c>
      <c r="C540">
        <v>4</v>
      </c>
      <c r="D540" t="s">
        <v>12</v>
      </c>
      <c r="E540">
        <v>41308</v>
      </c>
      <c r="F540" s="6">
        <v>48082346.061246961</v>
      </c>
      <c r="G540" s="5">
        <v>46096611</v>
      </c>
      <c r="H540">
        <v>1208905137</v>
      </c>
      <c r="I540" s="1">
        <v>1.0430776800760246</v>
      </c>
    </row>
    <row r="541" spans="1:9" x14ac:dyDescent="0.3">
      <c r="A541" t="s">
        <v>19</v>
      </c>
      <c r="B541">
        <v>2020</v>
      </c>
      <c r="C541">
        <v>4</v>
      </c>
      <c r="D541" t="s">
        <v>13</v>
      </c>
      <c r="E541">
        <v>129949</v>
      </c>
      <c r="F541" s="6">
        <v>82280639.522628665</v>
      </c>
      <c r="G541" s="5">
        <v>46096611</v>
      </c>
      <c r="H541">
        <v>1208905137</v>
      </c>
      <c r="I541" s="1">
        <v>1.7849607105092533</v>
      </c>
    </row>
    <row r="542" spans="1:9" x14ac:dyDescent="0.3">
      <c r="A542" t="s">
        <v>19</v>
      </c>
      <c r="B542">
        <v>2021</v>
      </c>
      <c r="C542">
        <v>1</v>
      </c>
      <c r="D542" t="s">
        <v>10</v>
      </c>
      <c r="E542">
        <v>15621154</v>
      </c>
      <c r="F542" s="6">
        <v>55638916992.138962</v>
      </c>
      <c r="G542" s="5">
        <v>49660061</v>
      </c>
      <c r="H542">
        <v>1371135744</v>
      </c>
      <c r="I542" s="1">
        <v>1120.3956634716772</v>
      </c>
    </row>
    <row r="543" spans="1:9" x14ac:dyDescent="0.3">
      <c r="A543" t="s">
        <v>19</v>
      </c>
      <c r="B543">
        <v>2021</v>
      </c>
      <c r="C543">
        <v>1</v>
      </c>
      <c r="D543" t="s">
        <v>11</v>
      </c>
      <c r="E543">
        <v>15222763</v>
      </c>
      <c r="F543" s="6">
        <v>10661449529.109669</v>
      </c>
      <c r="G543" s="5">
        <v>49660061</v>
      </c>
      <c r="H543">
        <v>1371135744</v>
      </c>
      <c r="I543" s="1">
        <v>214.68861121837261</v>
      </c>
    </row>
    <row r="544" spans="1:9" x14ac:dyDescent="0.3">
      <c r="A544" t="s">
        <v>19</v>
      </c>
      <c r="B544">
        <v>2021</v>
      </c>
      <c r="C544">
        <v>1</v>
      </c>
      <c r="D544" t="s">
        <v>9</v>
      </c>
      <c r="E544">
        <v>8456094</v>
      </c>
      <c r="F544" s="6">
        <v>3000977538.8405628</v>
      </c>
      <c r="G544" s="5">
        <v>49660061</v>
      </c>
      <c r="H544">
        <v>1371135744</v>
      </c>
      <c r="I544" s="1">
        <v>60.430403797541906</v>
      </c>
    </row>
    <row r="545" spans="1:9" x14ac:dyDescent="0.3">
      <c r="A545" t="s">
        <v>19</v>
      </c>
      <c r="B545">
        <v>2021</v>
      </c>
      <c r="C545">
        <v>1</v>
      </c>
      <c r="D545" t="s">
        <v>12</v>
      </c>
      <c r="E545">
        <v>37395</v>
      </c>
      <c r="F545" s="6">
        <v>40387648.84021996</v>
      </c>
      <c r="G545" s="5">
        <v>49660061</v>
      </c>
      <c r="H545">
        <v>1371135744</v>
      </c>
      <c r="I545" s="1">
        <v>0.81328230426901726</v>
      </c>
    </row>
    <row r="546" spans="1:9" x14ac:dyDescent="0.3">
      <c r="A546" t="s">
        <v>19</v>
      </c>
      <c r="B546">
        <v>2021</v>
      </c>
      <c r="C546">
        <v>1</v>
      </c>
      <c r="D546" t="s">
        <v>13</v>
      </c>
      <c r="E546">
        <v>99031</v>
      </c>
      <c r="F546" s="6">
        <v>68111552.622150168</v>
      </c>
      <c r="G546" s="5">
        <v>49660061</v>
      </c>
      <c r="H546">
        <v>1371135744</v>
      </c>
      <c r="I546" s="1">
        <v>1.3715559596704918</v>
      </c>
    </row>
    <row r="547" spans="1:9" x14ac:dyDescent="0.3">
      <c r="A547" t="s">
        <v>19</v>
      </c>
      <c r="B547">
        <v>2021</v>
      </c>
      <c r="C547">
        <v>2</v>
      </c>
      <c r="D547" t="s">
        <v>10</v>
      </c>
      <c r="E547">
        <v>18387345</v>
      </c>
      <c r="F547" s="6">
        <v>62134058797.435898</v>
      </c>
      <c r="G547" s="5">
        <v>53207605</v>
      </c>
      <c r="H547">
        <v>2263631887</v>
      </c>
      <c r="I547" s="1">
        <v>1167.7665025034653</v>
      </c>
    </row>
    <row r="548" spans="1:9" x14ac:dyDescent="0.3">
      <c r="A548" t="s">
        <v>19</v>
      </c>
      <c r="B548">
        <v>2021</v>
      </c>
      <c r="C548">
        <v>2</v>
      </c>
      <c r="D548" t="s">
        <v>11</v>
      </c>
      <c r="E548">
        <v>15369311</v>
      </c>
      <c r="F548" s="6">
        <v>12828590761.713423</v>
      </c>
      <c r="G548" s="5">
        <v>53207605</v>
      </c>
      <c r="H548">
        <v>2263631887</v>
      </c>
      <c r="I548" s="1">
        <v>241.104457938173</v>
      </c>
    </row>
    <row r="549" spans="1:9" x14ac:dyDescent="0.3">
      <c r="A549" t="s">
        <v>19</v>
      </c>
      <c r="B549">
        <v>2021</v>
      </c>
      <c r="C549">
        <v>2</v>
      </c>
      <c r="D549" t="s">
        <v>9</v>
      </c>
      <c r="E549">
        <v>10764784</v>
      </c>
      <c r="F549" s="6">
        <v>3640692364.1650519</v>
      </c>
      <c r="G549" s="5">
        <v>53207605</v>
      </c>
      <c r="H549">
        <v>2263631887</v>
      </c>
      <c r="I549" s="1">
        <v>68.424285666777365</v>
      </c>
    </row>
    <row r="550" spans="1:9" x14ac:dyDescent="0.3">
      <c r="A550" t="s">
        <v>19</v>
      </c>
      <c r="B550">
        <v>2021</v>
      </c>
      <c r="C550">
        <v>2</v>
      </c>
      <c r="D550" t="s">
        <v>12</v>
      </c>
      <c r="E550">
        <v>40213</v>
      </c>
      <c r="F550" s="6">
        <v>39620256.36433959</v>
      </c>
      <c r="G550" s="5">
        <v>53207605</v>
      </c>
      <c r="H550">
        <v>2263631887</v>
      </c>
      <c r="I550" s="1">
        <v>0.74463521454009418</v>
      </c>
    </row>
    <row r="551" spans="1:9" x14ac:dyDescent="0.3">
      <c r="A551" t="s">
        <v>19</v>
      </c>
      <c r="B551">
        <v>2021</v>
      </c>
      <c r="C551">
        <v>2</v>
      </c>
      <c r="D551" t="s">
        <v>13</v>
      </c>
      <c r="E551">
        <v>127767</v>
      </c>
      <c r="F551" s="6">
        <v>85809079.547311842</v>
      </c>
      <c r="G551" s="5">
        <v>53207605</v>
      </c>
      <c r="H551">
        <v>2263631887</v>
      </c>
      <c r="I551" s="1">
        <v>1.6127220826292001</v>
      </c>
    </row>
    <row r="552" spans="1:9" x14ac:dyDescent="0.3">
      <c r="A552" t="s">
        <v>19</v>
      </c>
      <c r="B552">
        <v>2021</v>
      </c>
      <c r="C552">
        <v>3</v>
      </c>
      <c r="D552" t="s">
        <v>11</v>
      </c>
      <c r="E552">
        <v>27552743</v>
      </c>
      <c r="F552" s="6">
        <v>19905616746.805294</v>
      </c>
      <c r="G552" s="5">
        <v>57266924</v>
      </c>
      <c r="H552">
        <v>3041346836</v>
      </c>
      <c r="I552" s="1">
        <v>347.59360825465836</v>
      </c>
    </row>
    <row r="553" spans="1:9" x14ac:dyDescent="0.3">
      <c r="A553" t="s">
        <v>19</v>
      </c>
      <c r="B553">
        <v>2021</v>
      </c>
      <c r="C553">
        <v>3</v>
      </c>
      <c r="D553" t="s">
        <v>10</v>
      </c>
      <c r="E553">
        <v>25447410</v>
      </c>
      <c r="F553" s="6">
        <v>80506858751.328827</v>
      </c>
      <c r="G553" s="5">
        <v>57266924</v>
      </c>
      <c r="H553">
        <v>3041346836</v>
      </c>
      <c r="I553" s="1">
        <v>1405.8177588048702</v>
      </c>
    </row>
    <row r="554" spans="1:9" x14ac:dyDescent="0.3">
      <c r="A554" t="s">
        <v>19</v>
      </c>
      <c r="B554">
        <v>2021</v>
      </c>
      <c r="C554">
        <v>3</v>
      </c>
      <c r="D554" t="s">
        <v>9</v>
      </c>
      <c r="E554">
        <v>11039088</v>
      </c>
      <c r="F554" s="6">
        <v>4045490947.2382197</v>
      </c>
      <c r="G554" s="5">
        <v>57266924</v>
      </c>
      <c r="H554">
        <v>3041346836</v>
      </c>
      <c r="I554" s="1">
        <v>70.642714234803663</v>
      </c>
    </row>
    <row r="555" spans="1:9" x14ac:dyDescent="0.3">
      <c r="A555" t="s">
        <v>19</v>
      </c>
      <c r="B555">
        <v>2021</v>
      </c>
      <c r="C555">
        <v>3</v>
      </c>
      <c r="D555" t="s">
        <v>12</v>
      </c>
      <c r="E555">
        <v>38817</v>
      </c>
      <c r="F555" s="6">
        <v>48855662.401426382</v>
      </c>
      <c r="G555" s="5">
        <v>57266924</v>
      </c>
      <c r="H555">
        <v>3041346836</v>
      </c>
      <c r="I555" s="1">
        <v>0.85312181952406563</v>
      </c>
    </row>
    <row r="556" spans="1:9" x14ac:dyDescent="0.3">
      <c r="A556" t="s">
        <v>19</v>
      </c>
      <c r="B556">
        <v>2021</v>
      </c>
      <c r="C556">
        <v>3</v>
      </c>
      <c r="D556" t="s">
        <v>13</v>
      </c>
      <c r="E556">
        <v>159880</v>
      </c>
      <c r="F556" s="6">
        <v>99286155.002958775</v>
      </c>
      <c r="G556" s="5">
        <v>57266924</v>
      </c>
      <c r="H556">
        <v>3041346836</v>
      </c>
      <c r="I556" s="1">
        <v>1.7337434607620759</v>
      </c>
    </row>
    <row r="557" spans="1:9" x14ac:dyDescent="0.3">
      <c r="A557" t="s">
        <v>19</v>
      </c>
      <c r="B557">
        <v>2021</v>
      </c>
      <c r="C557">
        <v>4</v>
      </c>
      <c r="D557" t="s">
        <v>11</v>
      </c>
      <c r="E557">
        <v>40526025</v>
      </c>
      <c r="F557" s="6">
        <v>29283695601.229546</v>
      </c>
      <c r="G557" s="5">
        <v>61220291</v>
      </c>
      <c r="H557">
        <v>2769278413</v>
      </c>
      <c r="I557" s="1">
        <v>478.33316573469972</v>
      </c>
    </row>
    <row r="558" spans="1:9" x14ac:dyDescent="0.3">
      <c r="A558" t="s">
        <v>19</v>
      </c>
      <c r="B558">
        <v>2021</v>
      </c>
      <c r="C558">
        <v>4</v>
      </c>
      <c r="D558" t="s">
        <v>10</v>
      </c>
      <c r="E558">
        <v>32799167</v>
      </c>
      <c r="F558" s="6">
        <v>102177997315.68285</v>
      </c>
      <c r="G558" s="5">
        <v>61220291</v>
      </c>
      <c r="H558">
        <v>2769278413</v>
      </c>
      <c r="I558" s="1">
        <v>1669.0217515575489</v>
      </c>
    </row>
    <row r="559" spans="1:9" x14ac:dyDescent="0.3">
      <c r="A559" t="s">
        <v>19</v>
      </c>
      <c r="B559">
        <v>2021</v>
      </c>
      <c r="C559">
        <v>4</v>
      </c>
      <c r="D559" t="s">
        <v>9</v>
      </c>
      <c r="E559">
        <v>11115444</v>
      </c>
      <c r="F559" s="6">
        <v>4724827139.9519415</v>
      </c>
      <c r="G559" s="5">
        <v>61220291</v>
      </c>
      <c r="H559">
        <v>2769278413</v>
      </c>
      <c r="I559" s="1">
        <v>77.177469475797523</v>
      </c>
    </row>
    <row r="560" spans="1:9" x14ac:dyDescent="0.3">
      <c r="A560" t="s">
        <v>19</v>
      </c>
      <c r="B560">
        <v>2021</v>
      </c>
      <c r="C560">
        <v>4</v>
      </c>
      <c r="D560" t="s">
        <v>12</v>
      </c>
      <c r="E560">
        <v>55237</v>
      </c>
      <c r="F560" s="6">
        <v>66445873.296120845</v>
      </c>
      <c r="G560" s="5">
        <v>61220291</v>
      </c>
      <c r="H560">
        <v>2769278413</v>
      </c>
      <c r="I560" s="1">
        <v>1.0853570313169671</v>
      </c>
    </row>
    <row r="561" spans="1:9" x14ac:dyDescent="0.3">
      <c r="A561" t="s">
        <v>19</v>
      </c>
      <c r="B561">
        <v>2021</v>
      </c>
      <c r="C561">
        <v>4</v>
      </c>
      <c r="D561" t="s">
        <v>13</v>
      </c>
      <c r="E561">
        <v>221621</v>
      </c>
      <c r="F561" s="6">
        <v>146144588.65236923</v>
      </c>
      <c r="G561" s="5">
        <v>61220291</v>
      </c>
      <c r="H561">
        <v>2769278413</v>
      </c>
      <c r="I561" s="1">
        <v>2.3871919957448298</v>
      </c>
    </row>
    <row r="562" spans="1:9" x14ac:dyDescent="0.3">
      <c r="A562" t="s">
        <v>20</v>
      </c>
      <c r="B562">
        <v>2018</v>
      </c>
      <c r="C562">
        <v>1</v>
      </c>
      <c r="D562" t="s">
        <v>9</v>
      </c>
      <c r="E562">
        <v>95544</v>
      </c>
      <c r="F562" s="6">
        <v>17526369.5804541</v>
      </c>
      <c r="G562" s="5">
        <v>585838</v>
      </c>
      <c r="H562">
        <v>0</v>
      </c>
      <c r="I562" s="1">
        <v>29.91675101385383</v>
      </c>
    </row>
    <row r="563" spans="1:9" x14ac:dyDescent="0.3">
      <c r="A563" t="s">
        <v>20</v>
      </c>
      <c r="B563">
        <v>2018</v>
      </c>
      <c r="C563">
        <v>1</v>
      </c>
      <c r="D563" t="s">
        <v>10</v>
      </c>
      <c r="E563">
        <v>44599</v>
      </c>
      <c r="F563" s="6">
        <v>151966933.24607396</v>
      </c>
      <c r="G563" s="5">
        <v>585838</v>
      </c>
      <c r="H563">
        <v>0</v>
      </c>
      <c r="I563" s="1">
        <v>259.40094914647727</v>
      </c>
    </row>
    <row r="564" spans="1:9" x14ac:dyDescent="0.3">
      <c r="A564" t="s">
        <v>20</v>
      </c>
      <c r="B564">
        <v>2018</v>
      </c>
      <c r="C564">
        <v>1</v>
      </c>
      <c r="D564" t="s">
        <v>11</v>
      </c>
      <c r="E564">
        <v>1531</v>
      </c>
      <c r="F564" s="6">
        <v>1580762.7797390721</v>
      </c>
      <c r="G564" s="5">
        <v>585838</v>
      </c>
      <c r="H564">
        <v>0</v>
      </c>
      <c r="I564" s="1">
        <v>2.6982933502761379</v>
      </c>
    </row>
    <row r="565" spans="1:9" x14ac:dyDescent="0.3">
      <c r="A565" t="s">
        <v>20</v>
      </c>
      <c r="B565">
        <v>2018</v>
      </c>
      <c r="C565">
        <v>1</v>
      </c>
      <c r="D565" t="s">
        <v>12</v>
      </c>
      <c r="E565">
        <v>1364</v>
      </c>
      <c r="F565" s="6">
        <v>353171.55238149129</v>
      </c>
      <c r="G565" s="5">
        <v>585838</v>
      </c>
      <c r="H565">
        <v>0</v>
      </c>
      <c r="I565" s="1">
        <v>0.60284848777561595</v>
      </c>
    </row>
    <row r="566" spans="1:9" x14ac:dyDescent="0.3">
      <c r="A566" t="s">
        <v>20</v>
      </c>
      <c r="B566">
        <v>2018</v>
      </c>
      <c r="C566">
        <v>1</v>
      </c>
      <c r="D566" t="s">
        <v>13</v>
      </c>
      <c r="E566">
        <v>5511</v>
      </c>
      <c r="F566" s="6">
        <v>4231146.9505682504</v>
      </c>
      <c r="G566" s="5">
        <v>585838</v>
      </c>
      <c r="H566">
        <v>0</v>
      </c>
      <c r="I566" s="1">
        <v>7.2223839193911124</v>
      </c>
    </row>
    <row r="567" spans="1:9" x14ac:dyDescent="0.3">
      <c r="A567" t="s">
        <v>20</v>
      </c>
      <c r="B567">
        <v>2018</v>
      </c>
      <c r="C567">
        <v>2</v>
      </c>
      <c r="D567" t="s">
        <v>9</v>
      </c>
      <c r="E567">
        <v>122834</v>
      </c>
      <c r="F567" s="6">
        <v>30595592.007682398</v>
      </c>
      <c r="G567" s="5">
        <v>786038</v>
      </c>
      <c r="H567">
        <v>0</v>
      </c>
      <c r="I567" s="1">
        <v>38.923807764614942</v>
      </c>
    </row>
    <row r="568" spans="1:9" x14ac:dyDescent="0.3">
      <c r="A568" t="s">
        <v>20</v>
      </c>
      <c r="B568">
        <v>2018</v>
      </c>
      <c r="C568">
        <v>2</v>
      </c>
      <c r="D568" t="s">
        <v>10</v>
      </c>
      <c r="E568">
        <v>69215</v>
      </c>
      <c r="F568" s="6">
        <v>261995613.05482048</v>
      </c>
      <c r="G568" s="5">
        <v>786038</v>
      </c>
      <c r="H568">
        <v>0</v>
      </c>
      <c r="I568" s="1">
        <v>333.31163767504938</v>
      </c>
    </row>
    <row r="569" spans="1:9" x14ac:dyDescent="0.3">
      <c r="A569" t="s">
        <v>20</v>
      </c>
      <c r="B569">
        <v>2018</v>
      </c>
      <c r="C569">
        <v>2</v>
      </c>
      <c r="D569" t="s">
        <v>11</v>
      </c>
      <c r="E569">
        <v>3544</v>
      </c>
      <c r="F569" s="6">
        <v>4685536.0364335552</v>
      </c>
      <c r="G569" s="5">
        <v>786038</v>
      </c>
      <c r="H569">
        <v>0</v>
      </c>
      <c r="I569" s="1">
        <v>5.9609535880371629</v>
      </c>
    </row>
    <row r="570" spans="1:9" x14ac:dyDescent="0.3">
      <c r="A570" t="s">
        <v>20</v>
      </c>
      <c r="B570">
        <v>2018</v>
      </c>
      <c r="C570">
        <v>2</v>
      </c>
      <c r="D570" t="s">
        <v>12</v>
      </c>
      <c r="E570">
        <v>2996</v>
      </c>
      <c r="F570" s="6">
        <v>383806.08546730166</v>
      </c>
      <c r="G570" s="5">
        <v>786038</v>
      </c>
      <c r="H570">
        <v>0</v>
      </c>
      <c r="I570" s="1">
        <v>0.48827930134077696</v>
      </c>
    </row>
    <row r="571" spans="1:9" x14ac:dyDescent="0.3">
      <c r="A571" t="s">
        <v>20</v>
      </c>
      <c r="B571">
        <v>2018</v>
      </c>
      <c r="C571">
        <v>2</v>
      </c>
      <c r="D571" t="s">
        <v>13</v>
      </c>
      <c r="E571">
        <v>4037</v>
      </c>
      <c r="F571" s="6">
        <v>4410224.4717478808</v>
      </c>
      <c r="G571" s="5">
        <v>786038</v>
      </c>
      <c r="H571">
        <v>0</v>
      </c>
      <c r="I571" s="1">
        <v>5.6107013550844629</v>
      </c>
    </row>
    <row r="572" spans="1:9" x14ac:dyDescent="0.3">
      <c r="A572" t="s">
        <v>20</v>
      </c>
      <c r="B572">
        <v>2018</v>
      </c>
      <c r="C572">
        <v>3</v>
      </c>
      <c r="D572" t="s">
        <v>9</v>
      </c>
      <c r="E572">
        <v>157113</v>
      </c>
      <c r="F572" s="6">
        <v>39790820.293594562</v>
      </c>
      <c r="G572" s="5">
        <v>1013177</v>
      </c>
      <c r="H572">
        <v>0</v>
      </c>
      <c r="I572" s="1">
        <v>39.273315811151022</v>
      </c>
    </row>
    <row r="573" spans="1:9" x14ac:dyDescent="0.3">
      <c r="A573" t="s">
        <v>20</v>
      </c>
      <c r="B573">
        <v>2018</v>
      </c>
      <c r="C573">
        <v>3</v>
      </c>
      <c r="D573" t="s">
        <v>10</v>
      </c>
      <c r="E573">
        <v>119346</v>
      </c>
      <c r="F573" s="6">
        <v>396698085.41045523</v>
      </c>
      <c r="G573" s="5">
        <v>1013177</v>
      </c>
      <c r="H573">
        <v>0</v>
      </c>
      <c r="I573" s="1">
        <v>391.53877892061826</v>
      </c>
    </row>
    <row r="574" spans="1:9" x14ac:dyDescent="0.3">
      <c r="A574" t="s">
        <v>20</v>
      </c>
      <c r="B574">
        <v>2018</v>
      </c>
      <c r="C574">
        <v>3</v>
      </c>
      <c r="D574" t="s">
        <v>11</v>
      </c>
      <c r="E574">
        <v>7465</v>
      </c>
      <c r="F574" s="6">
        <v>5693604.7441260815</v>
      </c>
      <c r="G574" s="5">
        <v>1013177</v>
      </c>
      <c r="H574">
        <v>0</v>
      </c>
      <c r="I574" s="1">
        <v>5.6195558566036157</v>
      </c>
    </row>
    <row r="575" spans="1:9" x14ac:dyDescent="0.3">
      <c r="A575" t="s">
        <v>20</v>
      </c>
      <c r="B575">
        <v>2018</v>
      </c>
      <c r="C575">
        <v>3</v>
      </c>
      <c r="D575" t="s">
        <v>12</v>
      </c>
      <c r="E575">
        <v>1477</v>
      </c>
      <c r="F575" s="6">
        <v>297647.89589848556</v>
      </c>
      <c r="G575" s="5">
        <v>1013177</v>
      </c>
      <c r="H575">
        <v>0</v>
      </c>
      <c r="I575" s="1">
        <v>0.29377679901782766</v>
      </c>
    </row>
    <row r="576" spans="1:9" x14ac:dyDescent="0.3">
      <c r="A576" t="s">
        <v>20</v>
      </c>
      <c r="B576">
        <v>2018</v>
      </c>
      <c r="C576">
        <v>3</v>
      </c>
      <c r="D576" t="s">
        <v>13</v>
      </c>
      <c r="E576">
        <v>4174</v>
      </c>
      <c r="F576" s="6">
        <v>5159437.3341009589</v>
      </c>
      <c r="G576" s="5">
        <v>1013177</v>
      </c>
      <c r="H576">
        <v>0</v>
      </c>
      <c r="I576" s="1">
        <v>5.0923356275369054</v>
      </c>
    </row>
    <row r="577" spans="1:9" x14ac:dyDescent="0.3">
      <c r="A577" t="s">
        <v>20</v>
      </c>
      <c r="B577">
        <v>2018</v>
      </c>
      <c r="C577">
        <v>4</v>
      </c>
      <c r="D577" t="s">
        <v>10</v>
      </c>
      <c r="E577">
        <v>194214</v>
      </c>
      <c r="F577" s="6">
        <v>582082154.41151333</v>
      </c>
      <c r="G577" s="5">
        <v>1281621</v>
      </c>
      <c r="H577">
        <v>0</v>
      </c>
      <c r="I577" s="1">
        <v>454.17651116165649</v>
      </c>
    </row>
    <row r="578" spans="1:9" x14ac:dyDescent="0.3">
      <c r="A578" t="s">
        <v>20</v>
      </c>
      <c r="B578">
        <v>2018</v>
      </c>
      <c r="C578">
        <v>4</v>
      </c>
      <c r="D578" t="s">
        <v>9</v>
      </c>
      <c r="E578">
        <v>185793</v>
      </c>
      <c r="F578" s="6">
        <v>49972030.112854838</v>
      </c>
      <c r="G578" s="5">
        <v>1281621</v>
      </c>
      <c r="H578">
        <v>0</v>
      </c>
      <c r="I578" s="1">
        <v>38.991269737976232</v>
      </c>
    </row>
    <row r="579" spans="1:9" x14ac:dyDescent="0.3">
      <c r="A579" t="s">
        <v>20</v>
      </c>
      <c r="B579">
        <v>2018</v>
      </c>
      <c r="C579">
        <v>4</v>
      </c>
      <c r="D579" t="s">
        <v>11</v>
      </c>
      <c r="E579">
        <v>15739</v>
      </c>
      <c r="F579" s="6">
        <v>19577328.03937304</v>
      </c>
      <c r="G579" s="5">
        <v>1281621</v>
      </c>
      <c r="H579">
        <v>0</v>
      </c>
      <c r="I579" s="1">
        <v>15.275442614761337</v>
      </c>
    </row>
    <row r="580" spans="1:9" x14ac:dyDescent="0.3">
      <c r="A580" t="s">
        <v>20</v>
      </c>
      <c r="B580">
        <v>2018</v>
      </c>
      <c r="C580">
        <v>4</v>
      </c>
      <c r="D580" t="s">
        <v>12</v>
      </c>
      <c r="E580">
        <v>2996</v>
      </c>
      <c r="F580" s="6">
        <v>371674.69913357432</v>
      </c>
      <c r="G580" s="5">
        <v>1281621</v>
      </c>
      <c r="H580">
        <v>0</v>
      </c>
      <c r="I580" s="1">
        <v>0.29000359633118866</v>
      </c>
    </row>
    <row r="581" spans="1:9" x14ac:dyDescent="0.3">
      <c r="A581" t="s">
        <v>20</v>
      </c>
      <c r="B581">
        <v>2018</v>
      </c>
      <c r="C581">
        <v>4</v>
      </c>
      <c r="D581" t="s">
        <v>13</v>
      </c>
      <c r="E581">
        <v>5340</v>
      </c>
      <c r="F581" s="6">
        <v>6747429.5380119532</v>
      </c>
      <c r="G581" s="5">
        <v>1281621</v>
      </c>
      <c r="H581">
        <v>0</v>
      </c>
      <c r="I581" s="1">
        <v>5.2647619990714523</v>
      </c>
    </row>
    <row r="582" spans="1:9" x14ac:dyDescent="0.3">
      <c r="A582" t="s">
        <v>20</v>
      </c>
      <c r="B582">
        <v>2019</v>
      </c>
      <c r="C582">
        <v>1</v>
      </c>
      <c r="D582" t="s">
        <v>10</v>
      </c>
      <c r="E582">
        <v>408465</v>
      </c>
      <c r="F582" s="6">
        <v>757657638.31739521</v>
      </c>
      <c r="G582" s="5">
        <v>1545852</v>
      </c>
      <c r="H582">
        <v>0</v>
      </c>
      <c r="I582" s="1">
        <v>490.12301198135088</v>
      </c>
    </row>
    <row r="583" spans="1:9" x14ac:dyDescent="0.3">
      <c r="A583" t="s">
        <v>20</v>
      </c>
      <c r="B583">
        <v>2019</v>
      </c>
      <c r="C583">
        <v>1</v>
      </c>
      <c r="D583" t="s">
        <v>9</v>
      </c>
      <c r="E583">
        <v>225998</v>
      </c>
      <c r="F583" s="6">
        <v>62660761.888069317</v>
      </c>
      <c r="G583" s="5">
        <v>1545852</v>
      </c>
      <c r="H583">
        <v>0</v>
      </c>
      <c r="I583" s="1">
        <v>40.534774278565685</v>
      </c>
    </row>
    <row r="584" spans="1:9" x14ac:dyDescent="0.3">
      <c r="A584" t="s">
        <v>20</v>
      </c>
      <c r="B584">
        <v>2019</v>
      </c>
      <c r="C584">
        <v>1</v>
      </c>
      <c r="D584" t="s">
        <v>11</v>
      </c>
      <c r="E584">
        <v>20694</v>
      </c>
      <c r="F584" s="6">
        <v>17043867.886081461</v>
      </c>
      <c r="G584" s="5">
        <v>1545852</v>
      </c>
      <c r="H584">
        <v>0</v>
      </c>
      <c r="I584" s="1">
        <v>11.025549590828527</v>
      </c>
    </row>
    <row r="585" spans="1:9" x14ac:dyDescent="0.3">
      <c r="A585" t="s">
        <v>20</v>
      </c>
      <c r="B585">
        <v>2019</v>
      </c>
      <c r="C585">
        <v>1</v>
      </c>
      <c r="D585" t="s">
        <v>12</v>
      </c>
      <c r="E585">
        <v>1645</v>
      </c>
      <c r="F585" s="6">
        <v>221064.6189234741</v>
      </c>
      <c r="G585" s="5">
        <v>1545852</v>
      </c>
      <c r="H585">
        <v>0</v>
      </c>
      <c r="I585" s="1">
        <v>0.14300503471449666</v>
      </c>
    </row>
    <row r="586" spans="1:9" x14ac:dyDescent="0.3">
      <c r="A586" t="s">
        <v>20</v>
      </c>
      <c r="B586">
        <v>2019</v>
      </c>
      <c r="C586">
        <v>1</v>
      </c>
      <c r="D586" t="s">
        <v>13</v>
      </c>
      <c r="E586">
        <v>5012</v>
      </c>
      <c r="F586" s="6">
        <v>5786443.3394310949</v>
      </c>
      <c r="G586" s="5">
        <v>1545852</v>
      </c>
      <c r="H586">
        <v>0</v>
      </c>
      <c r="I586" s="1">
        <v>3.7432065549813922</v>
      </c>
    </row>
    <row r="587" spans="1:9" x14ac:dyDescent="0.3">
      <c r="A587" t="s">
        <v>20</v>
      </c>
      <c r="B587">
        <v>2019</v>
      </c>
      <c r="C587">
        <v>2</v>
      </c>
      <c r="D587" t="s">
        <v>10</v>
      </c>
      <c r="E587">
        <v>244134</v>
      </c>
      <c r="F587" s="6">
        <v>734034142.80873871</v>
      </c>
      <c r="G587" s="5">
        <v>1744380</v>
      </c>
      <c r="H587">
        <v>9467546</v>
      </c>
      <c r="I587" s="1">
        <v>420.79944897828381</v>
      </c>
    </row>
    <row r="588" spans="1:9" x14ac:dyDescent="0.3">
      <c r="A588" t="s">
        <v>20</v>
      </c>
      <c r="B588">
        <v>2019</v>
      </c>
      <c r="C588">
        <v>2</v>
      </c>
      <c r="D588" t="s">
        <v>9</v>
      </c>
      <c r="E588">
        <v>198184</v>
      </c>
      <c r="F588" s="6">
        <v>63874445.552418791</v>
      </c>
      <c r="G588" s="5">
        <v>1744380</v>
      </c>
      <c r="H588">
        <v>9467546</v>
      </c>
      <c r="I588" s="1">
        <v>36.617276942190799</v>
      </c>
    </row>
    <row r="589" spans="1:9" x14ac:dyDescent="0.3">
      <c r="A589" t="s">
        <v>20</v>
      </c>
      <c r="B589">
        <v>2019</v>
      </c>
      <c r="C589">
        <v>2</v>
      </c>
      <c r="D589" t="s">
        <v>11</v>
      </c>
      <c r="E589">
        <v>40781</v>
      </c>
      <c r="F589" s="6">
        <v>20816136.241969176</v>
      </c>
      <c r="G589" s="5">
        <v>1744380</v>
      </c>
      <c r="H589">
        <v>9467546</v>
      </c>
      <c r="I589" s="1">
        <v>11.933257800461583</v>
      </c>
    </row>
    <row r="590" spans="1:9" x14ac:dyDescent="0.3">
      <c r="A590" t="s">
        <v>20</v>
      </c>
      <c r="B590">
        <v>2019</v>
      </c>
      <c r="C590">
        <v>2</v>
      </c>
      <c r="D590" t="s">
        <v>12</v>
      </c>
      <c r="E590">
        <v>748</v>
      </c>
      <c r="F590" s="6">
        <v>155149.75618074698</v>
      </c>
      <c r="G590" s="5">
        <v>1744380</v>
      </c>
      <c r="H590">
        <v>9467546</v>
      </c>
      <c r="I590" s="1">
        <v>8.8942636455787719E-2</v>
      </c>
    </row>
    <row r="591" spans="1:9" x14ac:dyDescent="0.3">
      <c r="A591" t="s">
        <v>20</v>
      </c>
      <c r="B591">
        <v>2019</v>
      </c>
      <c r="C591">
        <v>2</v>
      </c>
      <c r="D591" t="s">
        <v>13</v>
      </c>
      <c r="E591">
        <v>5809</v>
      </c>
      <c r="F591" s="6">
        <v>5561402.2057634462</v>
      </c>
      <c r="G591" s="5">
        <v>1744380</v>
      </c>
      <c r="H591">
        <v>9467546</v>
      </c>
      <c r="I591" s="1">
        <v>3.1881827387171637</v>
      </c>
    </row>
    <row r="592" spans="1:9" x14ac:dyDescent="0.3">
      <c r="A592" t="s">
        <v>20</v>
      </c>
      <c r="B592">
        <v>2019</v>
      </c>
      <c r="C592">
        <v>3</v>
      </c>
      <c r="D592" t="s">
        <v>9</v>
      </c>
      <c r="E592">
        <v>319142</v>
      </c>
      <c r="F592" s="6">
        <v>104597035.07984878</v>
      </c>
      <c r="G592" s="5">
        <v>1946219</v>
      </c>
      <c r="H592">
        <v>34388079</v>
      </c>
      <c r="I592" s="1">
        <v>53.743712850326084</v>
      </c>
    </row>
    <row r="593" spans="1:9" x14ac:dyDescent="0.3">
      <c r="A593" t="s">
        <v>20</v>
      </c>
      <c r="B593">
        <v>2019</v>
      </c>
      <c r="C593">
        <v>3</v>
      </c>
      <c r="D593" t="s">
        <v>10</v>
      </c>
      <c r="E593">
        <v>249944</v>
      </c>
      <c r="F593" s="6">
        <v>821178569.05932534</v>
      </c>
      <c r="G593" s="5">
        <v>1946219</v>
      </c>
      <c r="H593">
        <v>34388079</v>
      </c>
      <c r="I593" s="1">
        <v>421.93533670122702</v>
      </c>
    </row>
    <row r="594" spans="1:9" x14ac:dyDescent="0.3">
      <c r="A594" t="s">
        <v>20</v>
      </c>
      <c r="B594">
        <v>2019</v>
      </c>
      <c r="C594">
        <v>3</v>
      </c>
      <c r="D594" t="s">
        <v>11</v>
      </c>
      <c r="E594">
        <v>63616</v>
      </c>
      <c r="F594" s="6">
        <v>30634658.237494454</v>
      </c>
      <c r="G594" s="5">
        <v>1946219</v>
      </c>
      <c r="H594">
        <v>34388079</v>
      </c>
      <c r="I594" s="1">
        <v>15.740601770661192</v>
      </c>
    </row>
    <row r="595" spans="1:9" x14ac:dyDescent="0.3">
      <c r="A595" t="s">
        <v>20</v>
      </c>
      <c r="B595">
        <v>2019</v>
      </c>
      <c r="C595">
        <v>3</v>
      </c>
      <c r="D595" t="s">
        <v>12</v>
      </c>
      <c r="E595">
        <v>533</v>
      </c>
      <c r="F595" s="6">
        <v>425044.05141368794</v>
      </c>
      <c r="G595" s="5">
        <v>1946219</v>
      </c>
      <c r="H595">
        <v>34388079</v>
      </c>
      <c r="I595" s="1">
        <v>0.21839477027697701</v>
      </c>
    </row>
    <row r="596" spans="1:9" x14ac:dyDescent="0.3">
      <c r="A596" t="s">
        <v>20</v>
      </c>
      <c r="B596">
        <v>2019</v>
      </c>
      <c r="C596">
        <v>3</v>
      </c>
      <c r="D596" t="s">
        <v>13</v>
      </c>
      <c r="E596">
        <v>5516</v>
      </c>
      <c r="F596" s="6">
        <v>4636167.4202897688</v>
      </c>
      <c r="G596" s="5">
        <v>1946219</v>
      </c>
      <c r="H596">
        <v>34388079</v>
      </c>
      <c r="I596" s="1">
        <v>2.3821406636610623</v>
      </c>
    </row>
    <row r="597" spans="1:9" x14ac:dyDescent="0.3">
      <c r="A597" t="s">
        <v>20</v>
      </c>
      <c r="B597">
        <v>2019</v>
      </c>
      <c r="C597">
        <v>4</v>
      </c>
      <c r="D597" t="s">
        <v>9</v>
      </c>
      <c r="E597">
        <v>351819</v>
      </c>
      <c r="F597" s="6">
        <v>125809568.35055912</v>
      </c>
      <c r="G597" s="5">
        <v>2173578</v>
      </c>
      <c r="H597">
        <v>41475973</v>
      </c>
      <c r="I597" s="1">
        <v>57.881322110620879</v>
      </c>
    </row>
    <row r="598" spans="1:9" x14ac:dyDescent="0.3">
      <c r="A598" t="s">
        <v>20</v>
      </c>
      <c r="B598">
        <v>2019</v>
      </c>
      <c r="C598">
        <v>4</v>
      </c>
      <c r="D598" t="s">
        <v>10</v>
      </c>
      <c r="E598">
        <v>324464</v>
      </c>
      <c r="F598" s="6">
        <v>1051976410.5472054</v>
      </c>
      <c r="G598" s="5">
        <v>2173578</v>
      </c>
      <c r="H598">
        <v>41475973</v>
      </c>
      <c r="I598" s="1">
        <v>483.98374042578894</v>
      </c>
    </row>
    <row r="599" spans="1:9" x14ac:dyDescent="0.3">
      <c r="A599" t="s">
        <v>20</v>
      </c>
      <c r="B599">
        <v>2019</v>
      </c>
      <c r="C599">
        <v>4</v>
      </c>
      <c r="D599" t="s">
        <v>11</v>
      </c>
      <c r="E599">
        <v>86758</v>
      </c>
      <c r="F599" s="6">
        <v>45361559.238248833</v>
      </c>
      <c r="G599" s="5">
        <v>2173578</v>
      </c>
      <c r="H599">
        <v>41475973</v>
      </c>
      <c r="I599" s="1">
        <v>20.869533662122468</v>
      </c>
    </row>
    <row r="600" spans="1:9" x14ac:dyDescent="0.3">
      <c r="A600" t="s">
        <v>20</v>
      </c>
      <c r="B600">
        <v>2019</v>
      </c>
      <c r="C600">
        <v>4</v>
      </c>
      <c r="D600" t="s">
        <v>12</v>
      </c>
      <c r="E600">
        <v>1019</v>
      </c>
      <c r="F600" s="6">
        <v>267762.49056630814</v>
      </c>
      <c r="G600" s="5">
        <v>2173578</v>
      </c>
      <c r="H600">
        <v>41475973</v>
      </c>
      <c r="I600" s="1">
        <v>0.12318973166194548</v>
      </c>
    </row>
    <row r="601" spans="1:9" x14ac:dyDescent="0.3">
      <c r="A601" t="s">
        <v>20</v>
      </c>
      <c r="B601">
        <v>2019</v>
      </c>
      <c r="C601">
        <v>4</v>
      </c>
      <c r="D601" t="s">
        <v>13</v>
      </c>
      <c r="E601">
        <v>4911</v>
      </c>
      <c r="F601" s="6">
        <v>3225961.3844606429</v>
      </c>
      <c r="G601" s="5">
        <v>2173578</v>
      </c>
      <c r="H601">
        <v>41475973</v>
      </c>
      <c r="I601" s="1">
        <v>1.4841709772829146</v>
      </c>
    </row>
    <row r="602" spans="1:9" x14ac:dyDescent="0.3">
      <c r="A602" t="s">
        <v>20</v>
      </c>
      <c r="B602">
        <v>2020</v>
      </c>
      <c r="C602">
        <v>1</v>
      </c>
      <c r="D602" t="s">
        <v>9</v>
      </c>
      <c r="E602">
        <v>407577</v>
      </c>
      <c r="F602" s="6">
        <v>153340696.30393675</v>
      </c>
      <c r="G602" s="5">
        <v>2403456</v>
      </c>
      <c r="H602">
        <v>46146342</v>
      </c>
      <c r="I602" s="1">
        <v>63.800084671380191</v>
      </c>
    </row>
    <row r="603" spans="1:9" x14ac:dyDescent="0.3">
      <c r="A603" t="s">
        <v>20</v>
      </c>
      <c r="B603">
        <v>2020</v>
      </c>
      <c r="C603">
        <v>1</v>
      </c>
      <c r="D603" t="s">
        <v>10</v>
      </c>
      <c r="E603">
        <v>329005</v>
      </c>
      <c r="F603" s="6">
        <v>1119439489.5005136</v>
      </c>
      <c r="G603" s="5">
        <v>2403456</v>
      </c>
      <c r="H603">
        <v>46146342</v>
      </c>
      <c r="I603" s="1">
        <v>465.76242273647347</v>
      </c>
    </row>
    <row r="604" spans="1:9" x14ac:dyDescent="0.3">
      <c r="A604" t="s">
        <v>20</v>
      </c>
      <c r="B604">
        <v>2020</v>
      </c>
      <c r="C604">
        <v>1</v>
      </c>
      <c r="D604" t="s">
        <v>11</v>
      </c>
      <c r="E604">
        <v>137040</v>
      </c>
      <c r="F604" s="6">
        <v>66713356.798143014</v>
      </c>
      <c r="G604" s="5">
        <v>2403456</v>
      </c>
      <c r="H604">
        <v>46146342</v>
      </c>
      <c r="I604" s="1">
        <v>27.757261542604905</v>
      </c>
    </row>
    <row r="605" spans="1:9" x14ac:dyDescent="0.3">
      <c r="A605" t="s">
        <v>20</v>
      </c>
      <c r="B605">
        <v>2020</v>
      </c>
      <c r="C605">
        <v>1</v>
      </c>
      <c r="D605" t="s">
        <v>12</v>
      </c>
      <c r="E605">
        <v>668</v>
      </c>
      <c r="F605" s="6">
        <v>418783.12609041733</v>
      </c>
      <c r="G605" s="5">
        <v>2403456</v>
      </c>
      <c r="H605">
        <v>46146342</v>
      </c>
      <c r="I605" s="1">
        <v>0.17424206063702324</v>
      </c>
    </row>
    <row r="606" spans="1:9" x14ac:dyDescent="0.3">
      <c r="A606" t="s">
        <v>20</v>
      </c>
      <c r="B606">
        <v>2020</v>
      </c>
      <c r="C606">
        <v>1</v>
      </c>
      <c r="D606" t="s">
        <v>13</v>
      </c>
      <c r="E606">
        <v>4289</v>
      </c>
      <c r="F606" s="6">
        <v>2851043.5638340712</v>
      </c>
      <c r="G606" s="5">
        <v>2403456</v>
      </c>
      <c r="H606">
        <v>46146342</v>
      </c>
      <c r="I606" s="1">
        <v>1.1862266518854812</v>
      </c>
    </row>
    <row r="607" spans="1:9" x14ac:dyDescent="0.3">
      <c r="A607" t="s">
        <v>20</v>
      </c>
      <c r="B607">
        <v>2020</v>
      </c>
      <c r="C607">
        <v>2</v>
      </c>
      <c r="D607" t="s">
        <v>9</v>
      </c>
      <c r="E607">
        <v>525974</v>
      </c>
      <c r="F607" s="6">
        <v>178877986.72486579</v>
      </c>
      <c r="G607" s="5">
        <v>2692954</v>
      </c>
      <c r="H607">
        <v>49556397</v>
      </c>
      <c r="I607" s="1">
        <v>66.424449405695682</v>
      </c>
    </row>
    <row r="608" spans="1:9" x14ac:dyDescent="0.3">
      <c r="A608" t="s">
        <v>20</v>
      </c>
      <c r="B608">
        <v>2020</v>
      </c>
      <c r="C608">
        <v>2</v>
      </c>
      <c r="D608" t="s">
        <v>10</v>
      </c>
      <c r="E608">
        <v>323909</v>
      </c>
      <c r="F608" s="6">
        <v>1052118443.3664523</v>
      </c>
      <c r="G608" s="5">
        <v>2692954</v>
      </c>
      <c r="H608">
        <v>49556397</v>
      </c>
      <c r="I608" s="1">
        <v>390.69306173311998</v>
      </c>
    </row>
    <row r="609" spans="1:9" x14ac:dyDescent="0.3">
      <c r="A609" t="s">
        <v>20</v>
      </c>
      <c r="B609">
        <v>2020</v>
      </c>
      <c r="C609">
        <v>2</v>
      </c>
      <c r="D609" t="s">
        <v>11</v>
      </c>
      <c r="E609">
        <v>118801</v>
      </c>
      <c r="F609" s="6">
        <v>68938500.712280512</v>
      </c>
      <c r="G609" s="5">
        <v>2692954</v>
      </c>
      <c r="H609">
        <v>49556397</v>
      </c>
      <c r="I609" s="1">
        <v>25.599583473123012</v>
      </c>
    </row>
    <row r="610" spans="1:9" x14ac:dyDescent="0.3">
      <c r="A610" t="s">
        <v>20</v>
      </c>
      <c r="B610">
        <v>2020</v>
      </c>
      <c r="C610">
        <v>2</v>
      </c>
      <c r="D610" t="s">
        <v>12</v>
      </c>
      <c r="E610">
        <v>1826</v>
      </c>
      <c r="F610" s="6">
        <v>993268.29718406056</v>
      </c>
      <c r="G610" s="5">
        <v>2692954</v>
      </c>
      <c r="H610">
        <v>49556397</v>
      </c>
      <c r="I610" s="1">
        <v>0.36883968206811574</v>
      </c>
    </row>
    <row r="611" spans="1:9" x14ac:dyDescent="0.3">
      <c r="A611" t="s">
        <v>20</v>
      </c>
      <c r="B611">
        <v>2020</v>
      </c>
      <c r="C611">
        <v>2</v>
      </c>
      <c r="D611" t="s">
        <v>13</v>
      </c>
      <c r="E611">
        <v>2642</v>
      </c>
      <c r="F611" s="6">
        <v>1448254.787275234</v>
      </c>
      <c r="G611" s="5">
        <v>2692954</v>
      </c>
      <c r="H611">
        <v>49556397</v>
      </c>
      <c r="I611" s="1">
        <v>0.53779410538584549</v>
      </c>
    </row>
    <row r="612" spans="1:9" x14ac:dyDescent="0.3">
      <c r="A612" t="s">
        <v>20</v>
      </c>
      <c r="B612">
        <v>2020</v>
      </c>
      <c r="C612">
        <v>3</v>
      </c>
      <c r="D612" t="s">
        <v>9</v>
      </c>
      <c r="E612">
        <v>455603</v>
      </c>
      <c r="F612" s="6">
        <v>201223380.1868608</v>
      </c>
      <c r="G612" s="5">
        <v>2947406</v>
      </c>
      <c r="H612">
        <v>48636489</v>
      </c>
      <c r="I612" s="1">
        <v>68.271347818000237</v>
      </c>
    </row>
    <row r="613" spans="1:9" x14ac:dyDescent="0.3">
      <c r="A613" t="s">
        <v>20</v>
      </c>
      <c r="B613">
        <v>2020</v>
      </c>
      <c r="C613">
        <v>3</v>
      </c>
      <c r="D613" t="s">
        <v>10</v>
      </c>
      <c r="E613">
        <v>419524</v>
      </c>
      <c r="F613" s="6">
        <v>1401020928.2319155</v>
      </c>
      <c r="G613" s="5">
        <v>2947406</v>
      </c>
      <c r="H613">
        <v>48636489</v>
      </c>
      <c r="I613" s="1">
        <v>475.34032577524624</v>
      </c>
    </row>
    <row r="614" spans="1:9" x14ac:dyDescent="0.3">
      <c r="A614" t="s">
        <v>20</v>
      </c>
      <c r="B614">
        <v>2020</v>
      </c>
      <c r="C614">
        <v>3</v>
      </c>
      <c r="D614" t="s">
        <v>11</v>
      </c>
      <c r="E614">
        <v>257572</v>
      </c>
      <c r="F614" s="6">
        <v>143497844.49072367</v>
      </c>
      <c r="G614" s="5">
        <v>2947406</v>
      </c>
      <c r="H614">
        <v>48636489</v>
      </c>
      <c r="I614" s="1">
        <v>48.686147918109576</v>
      </c>
    </row>
    <row r="615" spans="1:9" x14ac:dyDescent="0.3">
      <c r="A615" t="s">
        <v>20</v>
      </c>
      <c r="B615">
        <v>2020</v>
      </c>
      <c r="C615">
        <v>3</v>
      </c>
      <c r="D615" t="s">
        <v>12</v>
      </c>
      <c r="E615">
        <v>1635</v>
      </c>
      <c r="F615" s="6">
        <v>1778864.0123306382</v>
      </c>
      <c r="G615" s="5">
        <v>2947406</v>
      </c>
      <c r="H615">
        <v>48636489</v>
      </c>
      <c r="I615" s="1">
        <v>0.6035354519637397</v>
      </c>
    </row>
    <row r="616" spans="1:9" x14ac:dyDescent="0.3">
      <c r="A616" t="s">
        <v>20</v>
      </c>
      <c r="B616">
        <v>2020</v>
      </c>
      <c r="C616">
        <v>3</v>
      </c>
      <c r="D616" t="s">
        <v>13</v>
      </c>
      <c r="E616">
        <v>3978</v>
      </c>
      <c r="F616" s="6">
        <v>2268098.0775317708</v>
      </c>
      <c r="G616" s="5">
        <v>2947406</v>
      </c>
      <c r="H616">
        <v>48636489</v>
      </c>
      <c r="I616" s="1">
        <v>0.76952346488124501</v>
      </c>
    </row>
    <row r="617" spans="1:9" x14ac:dyDescent="0.3">
      <c r="A617" t="s">
        <v>20</v>
      </c>
      <c r="B617">
        <v>2020</v>
      </c>
      <c r="C617">
        <v>4</v>
      </c>
      <c r="D617" t="s">
        <v>10</v>
      </c>
      <c r="E617">
        <v>666995</v>
      </c>
      <c r="F617" s="6">
        <v>2153786522.547576</v>
      </c>
      <c r="G617" s="5">
        <v>3261423</v>
      </c>
      <c r="H617">
        <v>68160796</v>
      </c>
      <c r="I617" s="1">
        <v>660.38245347125348</v>
      </c>
    </row>
    <row r="618" spans="1:9" x14ac:dyDescent="0.3">
      <c r="A618" t="s">
        <v>20</v>
      </c>
      <c r="B618">
        <v>2020</v>
      </c>
      <c r="C618">
        <v>4</v>
      </c>
      <c r="D618" t="s">
        <v>11</v>
      </c>
      <c r="E618">
        <v>631443</v>
      </c>
      <c r="F618" s="6">
        <v>316510115.80515665</v>
      </c>
      <c r="G618" s="5">
        <v>3261423</v>
      </c>
      <c r="H618">
        <v>68160796</v>
      </c>
      <c r="I618" s="1">
        <v>97.046631425962431</v>
      </c>
    </row>
    <row r="619" spans="1:9" x14ac:dyDescent="0.3">
      <c r="A619" t="s">
        <v>20</v>
      </c>
      <c r="B619">
        <v>2020</v>
      </c>
      <c r="C619">
        <v>4</v>
      </c>
      <c r="D619" t="s">
        <v>9</v>
      </c>
      <c r="E619">
        <v>509971</v>
      </c>
      <c r="F619" s="6">
        <v>224246669.77833471</v>
      </c>
      <c r="G619" s="5">
        <v>3261423</v>
      </c>
      <c r="H619">
        <v>68160796</v>
      </c>
      <c r="I619" s="1">
        <v>68.757309241498177</v>
      </c>
    </row>
    <row r="620" spans="1:9" x14ac:dyDescent="0.3">
      <c r="A620" t="s">
        <v>20</v>
      </c>
      <c r="B620">
        <v>2020</v>
      </c>
      <c r="C620">
        <v>4</v>
      </c>
      <c r="D620" t="s">
        <v>12</v>
      </c>
      <c r="E620">
        <v>2453</v>
      </c>
      <c r="F620" s="6">
        <v>1683959.5099964456</v>
      </c>
      <c r="G620" s="5">
        <v>3261423</v>
      </c>
      <c r="H620">
        <v>68160796</v>
      </c>
      <c r="I620" s="1">
        <v>0.51632661877850428</v>
      </c>
    </row>
    <row r="621" spans="1:9" x14ac:dyDescent="0.3">
      <c r="A621" t="s">
        <v>20</v>
      </c>
      <c r="B621">
        <v>2020</v>
      </c>
      <c r="C621">
        <v>4</v>
      </c>
      <c r="D621" t="s">
        <v>13</v>
      </c>
      <c r="E621">
        <v>6929</v>
      </c>
      <c r="F621" s="6">
        <v>4283833.1874416023</v>
      </c>
      <c r="G621" s="5">
        <v>3261423</v>
      </c>
      <c r="H621">
        <v>68160796</v>
      </c>
      <c r="I621" s="1">
        <v>1.3134859193185313</v>
      </c>
    </row>
    <row r="622" spans="1:9" x14ac:dyDescent="0.3">
      <c r="A622" t="s">
        <v>20</v>
      </c>
      <c r="B622">
        <v>2021</v>
      </c>
      <c r="C622">
        <v>1</v>
      </c>
      <c r="D622" t="s">
        <v>10</v>
      </c>
      <c r="E622">
        <v>768921</v>
      </c>
      <c r="F622" s="6">
        <v>2379220756.2230163</v>
      </c>
      <c r="G622" s="5">
        <v>3535356</v>
      </c>
      <c r="H622">
        <v>80327082</v>
      </c>
      <c r="I622" s="1">
        <v>672.97911616906936</v>
      </c>
    </row>
    <row r="623" spans="1:9" x14ac:dyDescent="0.3">
      <c r="A623" t="s">
        <v>20</v>
      </c>
      <c r="B623">
        <v>2021</v>
      </c>
      <c r="C623">
        <v>1</v>
      </c>
      <c r="D623" t="s">
        <v>11</v>
      </c>
      <c r="E623">
        <v>705821</v>
      </c>
      <c r="F623" s="6">
        <v>367522132.38063604</v>
      </c>
      <c r="G623" s="5">
        <v>3535356</v>
      </c>
      <c r="H623">
        <v>80327082</v>
      </c>
      <c r="I623" s="1">
        <v>103.95618782963753</v>
      </c>
    </row>
    <row r="624" spans="1:9" x14ac:dyDescent="0.3">
      <c r="A624" t="s">
        <v>20</v>
      </c>
      <c r="B624">
        <v>2021</v>
      </c>
      <c r="C624">
        <v>1</v>
      </c>
      <c r="D624" t="s">
        <v>9</v>
      </c>
      <c r="E624">
        <v>442926</v>
      </c>
      <c r="F624" s="6">
        <v>213177144.73200977</v>
      </c>
      <c r="G624" s="5">
        <v>3535356</v>
      </c>
      <c r="H624">
        <v>80327082</v>
      </c>
      <c r="I624" s="1">
        <v>60.29863604457649</v>
      </c>
    </row>
    <row r="625" spans="1:9" x14ac:dyDescent="0.3">
      <c r="A625" t="s">
        <v>20</v>
      </c>
      <c r="B625">
        <v>2021</v>
      </c>
      <c r="C625">
        <v>1</v>
      </c>
      <c r="D625" t="s">
        <v>12</v>
      </c>
      <c r="E625">
        <v>2243</v>
      </c>
      <c r="F625" s="6">
        <v>1930008.9716834244</v>
      </c>
      <c r="G625" s="5">
        <v>3535356</v>
      </c>
      <c r="H625">
        <v>80327082</v>
      </c>
      <c r="I625" s="1">
        <v>0.54591644283727703</v>
      </c>
    </row>
    <row r="626" spans="1:9" x14ac:dyDescent="0.3">
      <c r="A626" t="s">
        <v>20</v>
      </c>
      <c r="B626">
        <v>2021</v>
      </c>
      <c r="C626">
        <v>1</v>
      </c>
      <c r="D626" t="s">
        <v>13</v>
      </c>
      <c r="E626">
        <v>5333</v>
      </c>
      <c r="F626" s="6">
        <v>3782868.8861592514</v>
      </c>
      <c r="G626" s="5">
        <v>3535356</v>
      </c>
      <c r="H626">
        <v>80327082</v>
      </c>
      <c r="I626" s="1">
        <v>1.0700107389918445</v>
      </c>
    </row>
    <row r="627" spans="1:9" x14ac:dyDescent="0.3">
      <c r="A627" t="s">
        <v>20</v>
      </c>
      <c r="B627">
        <v>2021</v>
      </c>
      <c r="C627">
        <v>2</v>
      </c>
      <c r="D627" t="s">
        <v>10</v>
      </c>
      <c r="E627">
        <v>843550</v>
      </c>
      <c r="F627" s="6">
        <v>2512913026.4279447</v>
      </c>
      <c r="G627" s="5">
        <v>3794934</v>
      </c>
      <c r="H627">
        <v>55692813</v>
      </c>
      <c r="I627" s="1">
        <v>662.1756864356388</v>
      </c>
    </row>
    <row r="628" spans="1:9" x14ac:dyDescent="0.3">
      <c r="A628" t="s">
        <v>20</v>
      </c>
      <c r="B628">
        <v>2021</v>
      </c>
      <c r="C628">
        <v>2</v>
      </c>
      <c r="D628" t="s">
        <v>11</v>
      </c>
      <c r="E628">
        <v>802899</v>
      </c>
      <c r="F628" s="6">
        <v>430487473.93056202</v>
      </c>
      <c r="G628" s="5">
        <v>3794934</v>
      </c>
      <c r="H628">
        <v>55692813</v>
      </c>
      <c r="I628" s="1">
        <v>113.43740732528208</v>
      </c>
    </row>
    <row r="629" spans="1:9" x14ac:dyDescent="0.3">
      <c r="A629" t="s">
        <v>20</v>
      </c>
      <c r="B629">
        <v>2021</v>
      </c>
      <c r="C629">
        <v>2</v>
      </c>
      <c r="D629" t="s">
        <v>9</v>
      </c>
      <c r="E629">
        <v>471136</v>
      </c>
      <c r="F629" s="6">
        <v>208762964.01200241</v>
      </c>
      <c r="G629" s="5">
        <v>3794934</v>
      </c>
      <c r="H629">
        <v>55692813</v>
      </c>
      <c r="I629" s="1">
        <v>55.010960404582114</v>
      </c>
    </row>
    <row r="630" spans="1:9" x14ac:dyDescent="0.3">
      <c r="A630" t="s">
        <v>20</v>
      </c>
      <c r="B630">
        <v>2021</v>
      </c>
      <c r="C630">
        <v>2</v>
      </c>
      <c r="D630" t="s">
        <v>12</v>
      </c>
      <c r="E630">
        <v>1826</v>
      </c>
      <c r="F630" s="6">
        <v>1763792.6506419359</v>
      </c>
      <c r="G630" s="5">
        <v>3794934</v>
      </c>
      <c r="H630">
        <v>55692813</v>
      </c>
      <c r="I630" s="1">
        <v>0.46477557992890939</v>
      </c>
    </row>
    <row r="631" spans="1:9" x14ac:dyDescent="0.3">
      <c r="A631" t="s">
        <v>20</v>
      </c>
      <c r="B631">
        <v>2021</v>
      </c>
      <c r="C631">
        <v>2</v>
      </c>
      <c r="D631" t="s">
        <v>13</v>
      </c>
      <c r="E631">
        <v>5672</v>
      </c>
      <c r="F631" s="6">
        <v>3741204.3977531465</v>
      </c>
      <c r="G631" s="5">
        <v>3794934</v>
      </c>
      <c r="H631">
        <v>55692813</v>
      </c>
      <c r="I631" s="1">
        <v>0.98584175581265621</v>
      </c>
    </row>
    <row r="632" spans="1:9" x14ac:dyDescent="0.3">
      <c r="A632" t="s">
        <v>20</v>
      </c>
      <c r="B632">
        <v>2021</v>
      </c>
      <c r="C632">
        <v>3</v>
      </c>
      <c r="D632" t="s">
        <v>11</v>
      </c>
      <c r="E632">
        <v>1312241</v>
      </c>
      <c r="F632" s="6">
        <v>706774071.93816876</v>
      </c>
      <c r="G632" s="5">
        <v>4090614</v>
      </c>
      <c r="H632">
        <v>78790074</v>
      </c>
      <c r="I632" s="1">
        <v>172.77945852093811</v>
      </c>
    </row>
    <row r="633" spans="1:9" x14ac:dyDescent="0.3">
      <c r="A633" t="s">
        <v>20</v>
      </c>
      <c r="B633">
        <v>2021</v>
      </c>
      <c r="C633">
        <v>3</v>
      </c>
      <c r="D633" t="s">
        <v>10</v>
      </c>
      <c r="E633">
        <v>1262732</v>
      </c>
      <c r="F633" s="6">
        <v>3339347400.0643554</v>
      </c>
      <c r="G633" s="5">
        <v>4090614</v>
      </c>
      <c r="H633">
        <v>78790074</v>
      </c>
      <c r="I633" s="1">
        <v>816.34380561557634</v>
      </c>
    </row>
    <row r="634" spans="1:9" x14ac:dyDescent="0.3">
      <c r="A634" t="s">
        <v>20</v>
      </c>
      <c r="B634">
        <v>2021</v>
      </c>
      <c r="C634">
        <v>3</v>
      </c>
      <c r="D634" t="s">
        <v>9</v>
      </c>
      <c r="E634">
        <v>544322</v>
      </c>
      <c r="F634" s="6">
        <v>253199754.87452751</v>
      </c>
      <c r="G634" s="5">
        <v>4090614</v>
      </c>
      <c r="H634">
        <v>78790074</v>
      </c>
      <c r="I634" s="1">
        <v>61.897738303963052</v>
      </c>
    </row>
    <row r="635" spans="1:9" x14ac:dyDescent="0.3">
      <c r="A635" t="s">
        <v>20</v>
      </c>
      <c r="B635">
        <v>2021</v>
      </c>
      <c r="C635">
        <v>3</v>
      </c>
      <c r="D635" t="s">
        <v>12</v>
      </c>
      <c r="E635">
        <v>2065</v>
      </c>
      <c r="F635" s="6">
        <v>2252116.6364592309</v>
      </c>
      <c r="G635" s="5">
        <v>4090614</v>
      </c>
      <c r="H635">
        <v>78790074</v>
      </c>
      <c r="I635" s="1">
        <v>0.55055711354315784</v>
      </c>
    </row>
    <row r="636" spans="1:9" x14ac:dyDescent="0.3">
      <c r="A636" t="s">
        <v>20</v>
      </c>
      <c r="B636">
        <v>2021</v>
      </c>
      <c r="C636">
        <v>3</v>
      </c>
      <c r="D636" t="s">
        <v>13</v>
      </c>
      <c r="E636">
        <v>8110</v>
      </c>
      <c r="F636" s="6">
        <v>4365759.2779960167</v>
      </c>
      <c r="G636" s="5">
        <v>4090614</v>
      </c>
      <c r="H636">
        <v>78790074</v>
      </c>
      <c r="I636" s="1">
        <v>1.0672625864958212</v>
      </c>
    </row>
    <row r="637" spans="1:9" x14ac:dyDescent="0.3">
      <c r="A637" t="s">
        <v>20</v>
      </c>
      <c r="B637">
        <v>2021</v>
      </c>
      <c r="C637">
        <v>4</v>
      </c>
      <c r="D637" t="s">
        <v>11</v>
      </c>
      <c r="E637">
        <v>2013673</v>
      </c>
      <c r="F637" s="6">
        <v>1058989463.1650428</v>
      </c>
      <c r="G637" s="5">
        <v>4388593</v>
      </c>
      <c r="H637">
        <v>165104005</v>
      </c>
      <c r="I637" s="1">
        <v>241.30500667640922</v>
      </c>
    </row>
    <row r="638" spans="1:9" x14ac:dyDescent="0.3">
      <c r="A638" t="s">
        <v>20</v>
      </c>
      <c r="B638">
        <v>2021</v>
      </c>
      <c r="C638">
        <v>4</v>
      </c>
      <c r="D638" t="s">
        <v>10</v>
      </c>
      <c r="E638">
        <v>1577168</v>
      </c>
      <c r="F638" s="6">
        <v>4202291071.7106133</v>
      </c>
      <c r="G638" s="5">
        <v>4388593</v>
      </c>
      <c r="H638">
        <v>165104005</v>
      </c>
      <c r="I638" s="1">
        <v>957.54859740026325</v>
      </c>
    </row>
    <row r="639" spans="1:9" x14ac:dyDescent="0.3">
      <c r="A639" t="s">
        <v>20</v>
      </c>
      <c r="B639">
        <v>2021</v>
      </c>
      <c r="C639">
        <v>4</v>
      </c>
      <c r="D639" t="s">
        <v>9</v>
      </c>
      <c r="E639">
        <v>551618</v>
      </c>
      <c r="F639" s="6">
        <v>294991582.16815025</v>
      </c>
      <c r="G639" s="5">
        <v>4388593</v>
      </c>
      <c r="H639">
        <v>165104005</v>
      </c>
      <c r="I639" s="1">
        <v>67.217803557575337</v>
      </c>
    </row>
    <row r="640" spans="1:9" x14ac:dyDescent="0.3">
      <c r="A640" t="s">
        <v>20</v>
      </c>
      <c r="B640">
        <v>2021</v>
      </c>
      <c r="C640">
        <v>4</v>
      </c>
      <c r="D640" t="s">
        <v>12</v>
      </c>
      <c r="E640">
        <v>2909</v>
      </c>
      <c r="F640" s="6">
        <v>3159306.4175118254</v>
      </c>
      <c r="G640" s="5">
        <v>4388593</v>
      </c>
      <c r="H640">
        <v>165104005</v>
      </c>
      <c r="I640" s="1">
        <v>0.71989050192438109</v>
      </c>
    </row>
    <row r="641" spans="1:9" x14ac:dyDescent="0.3">
      <c r="A641" t="s">
        <v>20</v>
      </c>
      <c r="B641">
        <v>2021</v>
      </c>
      <c r="C641">
        <v>4</v>
      </c>
      <c r="D641" t="s">
        <v>13</v>
      </c>
      <c r="E641">
        <v>11717</v>
      </c>
      <c r="F641" s="6">
        <v>6407962.869342193</v>
      </c>
      <c r="G641" s="5">
        <v>4388593</v>
      </c>
      <c r="H641">
        <v>165104005</v>
      </c>
      <c r="I641" s="1">
        <v>1.4601406121146785</v>
      </c>
    </row>
    <row r="642" spans="1:9" x14ac:dyDescent="0.3">
      <c r="A642" t="s">
        <v>21</v>
      </c>
      <c r="B642">
        <v>2018</v>
      </c>
      <c r="C642">
        <v>1</v>
      </c>
      <c r="D642" t="s">
        <v>9</v>
      </c>
      <c r="E642">
        <v>3947297</v>
      </c>
      <c r="F642" s="6">
        <v>1320559612.770412</v>
      </c>
      <c r="G642" s="5">
        <v>22957242</v>
      </c>
      <c r="H642">
        <v>0</v>
      </c>
      <c r="I642" s="1">
        <v>57.522572300732463</v>
      </c>
    </row>
    <row r="643" spans="1:9" x14ac:dyDescent="0.3">
      <c r="A643" t="s">
        <v>21</v>
      </c>
      <c r="B643">
        <v>2018</v>
      </c>
      <c r="C643">
        <v>1</v>
      </c>
      <c r="D643" t="s">
        <v>10</v>
      </c>
      <c r="E643">
        <v>2380820</v>
      </c>
      <c r="F643" s="6">
        <v>9125685134.8943577</v>
      </c>
      <c r="G643" s="5">
        <v>22957242</v>
      </c>
      <c r="H643">
        <v>0</v>
      </c>
      <c r="I643" s="1">
        <v>397.50790338379312</v>
      </c>
    </row>
    <row r="644" spans="1:9" x14ac:dyDescent="0.3">
      <c r="A644" t="s">
        <v>21</v>
      </c>
      <c r="B644">
        <v>2018</v>
      </c>
      <c r="C644">
        <v>1</v>
      </c>
      <c r="D644" t="s">
        <v>11</v>
      </c>
      <c r="E644">
        <v>339809</v>
      </c>
      <c r="F644" s="6">
        <v>375393115.19131327</v>
      </c>
      <c r="G644" s="5">
        <v>22957242</v>
      </c>
      <c r="H644">
        <v>0</v>
      </c>
      <c r="I644" s="1">
        <v>16.351838569777382</v>
      </c>
    </row>
    <row r="645" spans="1:9" x14ac:dyDescent="0.3">
      <c r="A645" t="s">
        <v>21</v>
      </c>
      <c r="B645">
        <v>2018</v>
      </c>
      <c r="C645">
        <v>1</v>
      </c>
      <c r="D645" t="s">
        <v>12</v>
      </c>
      <c r="E645">
        <v>136240</v>
      </c>
      <c r="F645" s="6">
        <v>45588429.271575734</v>
      </c>
      <c r="G645" s="5">
        <v>22957242</v>
      </c>
      <c r="H645">
        <v>0</v>
      </c>
      <c r="I645" s="1">
        <v>1.9857973040304986</v>
      </c>
    </row>
    <row r="646" spans="1:9" x14ac:dyDescent="0.3">
      <c r="A646" t="s">
        <v>21</v>
      </c>
      <c r="B646">
        <v>2018</v>
      </c>
      <c r="C646">
        <v>1</v>
      </c>
      <c r="D646" t="s">
        <v>13</v>
      </c>
      <c r="E646">
        <v>318588</v>
      </c>
      <c r="F646" s="6">
        <v>344277514.79230261</v>
      </c>
      <c r="G646" s="5">
        <v>22957242</v>
      </c>
      <c r="H646">
        <v>0</v>
      </c>
      <c r="I646" s="1">
        <v>14.996466683249782</v>
      </c>
    </row>
    <row r="647" spans="1:9" x14ac:dyDescent="0.3">
      <c r="A647" t="s">
        <v>21</v>
      </c>
      <c r="B647">
        <v>2018</v>
      </c>
      <c r="C647">
        <v>2</v>
      </c>
      <c r="D647" t="s">
        <v>9</v>
      </c>
      <c r="E647">
        <v>4511737</v>
      </c>
      <c r="F647" s="6">
        <v>2078183615.8006349</v>
      </c>
      <c r="G647" s="5">
        <v>30317551</v>
      </c>
      <c r="H647">
        <v>0</v>
      </c>
      <c r="I647" s="1">
        <v>68.547212662415731</v>
      </c>
    </row>
    <row r="648" spans="1:9" x14ac:dyDescent="0.3">
      <c r="A648" t="s">
        <v>21</v>
      </c>
      <c r="B648">
        <v>2018</v>
      </c>
      <c r="C648">
        <v>2</v>
      </c>
      <c r="D648" t="s">
        <v>10</v>
      </c>
      <c r="E648">
        <v>3542716</v>
      </c>
      <c r="F648" s="6">
        <v>14348179103.109837</v>
      </c>
      <c r="G648" s="5">
        <v>30317551</v>
      </c>
      <c r="H648">
        <v>0</v>
      </c>
      <c r="I648" s="1">
        <v>473.26313075583965</v>
      </c>
    </row>
    <row r="649" spans="1:9" x14ac:dyDescent="0.3">
      <c r="A649" t="s">
        <v>21</v>
      </c>
      <c r="B649">
        <v>2018</v>
      </c>
      <c r="C649">
        <v>2</v>
      </c>
      <c r="D649" t="s">
        <v>11</v>
      </c>
      <c r="E649">
        <v>837001</v>
      </c>
      <c r="F649" s="6">
        <v>631597790.60025883</v>
      </c>
      <c r="G649" s="5">
        <v>30317551</v>
      </c>
      <c r="H649">
        <v>0</v>
      </c>
      <c r="I649" s="1">
        <v>20.832744392852142</v>
      </c>
    </row>
    <row r="650" spans="1:9" x14ac:dyDescent="0.3">
      <c r="A650" t="s">
        <v>21</v>
      </c>
      <c r="B650">
        <v>2018</v>
      </c>
      <c r="C650">
        <v>2</v>
      </c>
      <c r="D650" t="s">
        <v>12</v>
      </c>
      <c r="E650">
        <v>205991</v>
      </c>
      <c r="F650" s="6">
        <v>66584728.195946947</v>
      </c>
      <c r="G650" s="5">
        <v>30317551</v>
      </c>
      <c r="H650">
        <v>0</v>
      </c>
      <c r="I650" s="1">
        <v>2.1962436278559223</v>
      </c>
    </row>
    <row r="651" spans="1:9" x14ac:dyDescent="0.3">
      <c r="A651" t="s">
        <v>21</v>
      </c>
      <c r="B651">
        <v>2018</v>
      </c>
      <c r="C651">
        <v>2</v>
      </c>
      <c r="D651" t="s">
        <v>13</v>
      </c>
      <c r="E651">
        <v>276278</v>
      </c>
      <c r="F651" s="6">
        <v>321754664.49846911</v>
      </c>
      <c r="G651" s="5">
        <v>30317551</v>
      </c>
      <c r="H651">
        <v>0</v>
      </c>
      <c r="I651" s="1">
        <v>10.612818446267942</v>
      </c>
    </row>
    <row r="652" spans="1:9" x14ac:dyDescent="0.3">
      <c r="A652" t="s">
        <v>21</v>
      </c>
      <c r="B652">
        <v>2018</v>
      </c>
      <c r="C652">
        <v>3</v>
      </c>
      <c r="D652" t="s">
        <v>10</v>
      </c>
      <c r="E652">
        <v>8557153</v>
      </c>
      <c r="F652" s="6">
        <v>22670122888.868217</v>
      </c>
      <c r="G652" s="5">
        <v>38554021</v>
      </c>
      <c r="H652">
        <v>0</v>
      </c>
      <c r="I652" s="1">
        <v>588.00929970101481</v>
      </c>
    </row>
    <row r="653" spans="1:9" x14ac:dyDescent="0.3">
      <c r="A653" t="s">
        <v>21</v>
      </c>
      <c r="B653">
        <v>2018</v>
      </c>
      <c r="C653">
        <v>3</v>
      </c>
      <c r="D653" t="s">
        <v>9</v>
      </c>
      <c r="E653">
        <v>5305635</v>
      </c>
      <c r="F653" s="6">
        <v>3261844270.537241</v>
      </c>
      <c r="G653" s="5">
        <v>38554021</v>
      </c>
      <c r="H653">
        <v>0</v>
      </c>
      <c r="I653" s="1">
        <v>84.604515584437763</v>
      </c>
    </row>
    <row r="654" spans="1:9" x14ac:dyDescent="0.3">
      <c r="A654" t="s">
        <v>21</v>
      </c>
      <c r="B654">
        <v>2018</v>
      </c>
      <c r="C654">
        <v>3</v>
      </c>
      <c r="D654" t="s">
        <v>11</v>
      </c>
      <c r="E654">
        <v>3808395</v>
      </c>
      <c r="F654" s="6">
        <v>1048422633.7093576</v>
      </c>
      <c r="G654" s="5">
        <v>38554021</v>
      </c>
      <c r="H654">
        <v>0</v>
      </c>
      <c r="I654" s="1">
        <v>27.193600213823551</v>
      </c>
    </row>
    <row r="655" spans="1:9" x14ac:dyDescent="0.3">
      <c r="A655" t="s">
        <v>21</v>
      </c>
      <c r="B655">
        <v>2018</v>
      </c>
      <c r="C655">
        <v>3</v>
      </c>
      <c r="D655" t="s">
        <v>12</v>
      </c>
      <c r="E655">
        <v>274526</v>
      </c>
      <c r="F655" s="6">
        <v>45051151.351430357</v>
      </c>
      <c r="G655" s="5">
        <v>38554021</v>
      </c>
      <c r="H655">
        <v>0</v>
      </c>
      <c r="I655" s="1">
        <v>1.1685201746253746</v>
      </c>
    </row>
    <row r="656" spans="1:9" x14ac:dyDescent="0.3">
      <c r="A656" t="s">
        <v>21</v>
      </c>
      <c r="B656">
        <v>2018</v>
      </c>
      <c r="C656">
        <v>3</v>
      </c>
      <c r="D656" t="s">
        <v>13</v>
      </c>
      <c r="E656">
        <v>601339</v>
      </c>
      <c r="F656" s="6">
        <v>350405916.1523186</v>
      </c>
      <c r="G656" s="5">
        <v>38554021</v>
      </c>
      <c r="H656">
        <v>0</v>
      </c>
      <c r="I656" s="1">
        <v>9.0886996236350708</v>
      </c>
    </row>
    <row r="657" spans="1:9" x14ac:dyDescent="0.3">
      <c r="A657" t="s">
        <v>21</v>
      </c>
      <c r="B657">
        <v>2018</v>
      </c>
      <c r="C657">
        <v>4</v>
      </c>
      <c r="D657" t="s">
        <v>10</v>
      </c>
      <c r="E657">
        <v>9973249</v>
      </c>
      <c r="F657" s="6">
        <v>32389252494.757721</v>
      </c>
      <c r="G657" s="5">
        <v>50933443</v>
      </c>
      <c r="H657">
        <v>0</v>
      </c>
      <c r="I657" s="1">
        <v>635.91327401051058</v>
      </c>
    </row>
    <row r="658" spans="1:9" x14ac:dyDescent="0.3">
      <c r="A658" t="s">
        <v>21</v>
      </c>
      <c r="B658">
        <v>2018</v>
      </c>
      <c r="C658">
        <v>4</v>
      </c>
      <c r="D658" t="s">
        <v>11</v>
      </c>
      <c r="E658">
        <v>9958967</v>
      </c>
      <c r="F658" s="6">
        <v>2738429838.9392729</v>
      </c>
      <c r="G658" s="5">
        <v>50933443</v>
      </c>
      <c r="H658">
        <v>0</v>
      </c>
      <c r="I658" s="1">
        <v>53.764867985446671</v>
      </c>
    </row>
    <row r="659" spans="1:9" x14ac:dyDescent="0.3">
      <c r="A659" t="s">
        <v>21</v>
      </c>
      <c r="B659">
        <v>2018</v>
      </c>
      <c r="C659">
        <v>4</v>
      </c>
      <c r="D659" t="s">
        <v>9</v>
      </c>
      <c r="E659">
        <v>7483633</v>
      </c>
      <c r="F659" s="6">
        <v>3961160542.570066</v>
      </c>
      <c r="G659" s="5">
        <v>50933443</v>
      </c>
      <c r="H659">
        <v>0</v>
      </c>
      <c r="I659" s="1">
        <v>77.771309168517547</v>
      </c>
    </row>
    <row r="660" spans="1:9" x14ac:dyDescent="0.3">
      <c r="A660" t="s">
        <v>21</v>
      </c>
      <c r="B660">
        <v>2018</v>
      </c>
      <c r="C660">
        <v>4</v>
      </c>
      <c r="D660" t="s">
        <v>12</v>
      </c>
      <c r="E660">
        <v>265004</v>
      </c>
      <c r="F660" s="6">
        <v>58162003.436144918</v>
      </c>
      <c r="G660" s="5">
        <v>50933443</v>
      </c>
      <c r="H660">
        <v>0</v>
      </c>
      <c r="I660" s="1">
        <v>1.1419216925143842</v>
      </c>
    </row>
    <row r="661" spans="1:9" x14ac:dyDescent="0.3">
      <c r="A661" t="s">
        <v>21</v>
      </c>
      <c r="B661">
        <v>2018</v>
      </c>
      <c r="C661">
        <v>4</v>
      </c>
      <c r="D661" t="s">
        <v>13</v>
      </c>
      <c r="E661">
        <v>1506866</v>
      </c>
      <c r="F661" s="6">
        <v>575852739.00319433</v>
      </c>
      <c r="G661" s="5">
        <v>50933443</v>
      </c>
      <c r="H661">
        <v>0</v>
      </c>
      <c r="I661" s="1">
        <v>11.305984930239143</v>
      </c>
    </row>
    <row r="662" spans="1:9" x14ac:dyDescent="0.3">
      <c r="A662" t="s">
        <v>21</v>
      </c>
      <c r="B662">
        <v>2019</v>
      </c>
      <c r="C662">
        <v>1</v>
      </c>
      <c r="D662" t="s">
        <v>10</v>
      </c>
      <c r="E662">
        <v>20216287</v>
      </c>
      <c r="F662" s="6">
        <v>48250023720.99173</v>
      </c>
      <c r="G662" s="5">
        <v>60491893</v>
      </c>
      <c r="H662">
        <v>0</v>
      </c>
      <c r="I662" s="1">
        <v>797.62793538287406</v>
      </c>
    </row>
    <row r="663" spans="1:9" x14ac:dyDescent="0.3">
      <c r="A663" t="s">
        <v>21</v>
      </c>
      <c r="B663">
        <v>2019</v>
      </c>
      <c r="C663">
        <v>1</v>
      </c>
      <c r="D663" t="s">
        <v>11</v>
      </c>
      <c r="E663">
        <v>13875931</v>
      </c>
      <c r="F663" s="6">
        <v>3996618719.7994804</v>
      </c>
      <c r="G663" s="5">
        <v>60491893</v>
      </c>
      <c r="H663">
        <v>0</v>
      </c>
      <c r="I663" s="1">
        <v>66.068666751749376</v>
      </c>
    </row>
    <row r="664" spans="1:9" x14ac:dyDescent="0.3">
      <c r="A664" t="s">
        <v>21</v>
      </c>
      <c r="B664">
        <v>2019</v>
      </c>
      <c r="C664">
        <v>1</v>
      </c>
      <c r="D664" t="s">
        <v>9</v>
      </c>
      <c r="E664">
        <v>10744978</v>
      </c>
      <c r="F664" s="6">
        <v>5521320539.3562117</v>
      </c>
      <c r="G664" s="5">
        <v>60491893</v>
      </c>
      <c r="H664">
        <v>0</v>
      </c>
      <c r="I664" s="1">
        <v>91.273727197728988</v>
      </c>
    </row>
    <row r="665" spans="1:9" x14ac:dyDescent="0.3">
      <c r="A665" t="s">
        <v>21</v>
      </c>
      <c r="B665">
        <v>2019</v>
      </c>
      <c r="C665">
        <v>1</v>
      </c>
      <c r="D665" t="s">
        <v>12</v>
      </c>
      <c r="E665">
        <v>223095</v>
      </c>
      <c r="F665" s="6">
        <v>30997039.697555833</v>
      </c>
      <c r="G665" s="5">
        <v>60491893</v>
      </c>
      <c r="H665">
        <v>0</v>
      </c>
      <c r="I665" s="1">
        <v>0.51241642739723536</v>
      </c>
    </row>
    <row r="666" spans="1:9" x14ac:dyDescent="0.3">
      <c r="A666" t="s">
        <v>21</v>
      </c>
      <c r="B666">
        <v>2019</v>
      </c>
      <c r="C666">
        <v>1</v>
      </c>
      <c r="D666" t="s">
        <v>13</v>
      </c>
      <c r="E666">
        <v>1947036</v>
      </c>
      <c r="F666" s="6">
        <v>670171769.65229642</v>
      </c>
      <c r="G666" s="5">
        <v>60491893</v>
      </c>
      <c r="H666">
        <v>0</v>
      </c>
      <c r="I666" s="1">
        <v>11.07870387941565</v>
      </c>
    </row>
    <row r="667" spans="1:9" x14ac:dyDescent="0.3">
      <c r="A667" t="s">
        <v>21</v>
      </c>
      <c r="B667">
        <v>2019</v>
      </c>
      <c r="C667">
        <v>2</v>
      </c>
      <c r="D667" t="s">
        <v>11</v>
      </c>
      <c r="E667">
        <v>20891431</v>
      </c>
      <c r="F667" s="6">
        <v>6816878922.8443995</v>
      </c>
      <c r="G667" s="5">
        <v>67819928</v>
      </c>
      <c r="H667">
        <v>481047270</v>
      </c>
      <c r="I667" s="1">
        <v>100.51439339252026</v>
      </c>
    </row>
    <row r="668" spans="1:9" x14ac:dyDescent="0.3">
      <c r="A668" t="s">
        <v>21</v>
      </c>
      <c r="B668">
        <v>2019</v>
      </c>
      <c r="C668">
        <v>2</v>
      </c>
      <c r="D668" t="s">
        <v>10</v>
      </c>
      <c r="E668">
        <v>20570311</v>
      </c>
      <c r="F668" s="6">
        <v>65953571241.264351</v>
      </c>
      <c r="G668" s="5">
        <v>67819928</v>
      </c>
      <c r="H668">
        <v>481047270</v>
      </c>
      <c r="I668" s="1">
        <v>972.48070274070994</v>
      </c>
    </row>
    <row r="669" spans="1:9" x14ac:dyDescent="0.3">
      <c r="A669" t="s">
        <v>21</v>
      </c>
      <c r="B669">
        <v>2019</v>
      </c>
      <c r="C669">
        <v>2</v>
      </c>
      <c r="D669" t="s">
        <v>9</v>
      </c>
      <c r="E669">
        <v>12869453</v>
      </c>
      <c r="F669" s="6">
        <v>8035701902.3917646</v>
      </c>
      <c r="G669" s="5">
        <v>67819928</v>
      </c>
      <c r="H669">
        <v>481047270</v>
      </c>
      <c r="I669" s="1">
        <v>118.4858512735632</v>
      </c>
    </row>
    <row r="670" spans="1:9" x14ac:dyDescent="0.3">
      <c r="A670" t="s">
        <v>21</v>
      </c>
      <c r="B670">
        <v>2019</v>
      </c>
      <c r="C670">
        <v>2</v>
      </c>
      <c r="D670" t="s">
        <v>12</v>
      </c>
      <c r="E670">
        <v>137774</v>
      </c>
      <c r="F670" s="6">
        <v>33985068.683786109</v>
      </c>
      <c r="G670" s="5">
        <v>67819928</v>
      </c>
      <c r="H670">
        <v>481047270</v>
      </c>
      <c r="I670" s="1">
        <v>0.50110741320436247</v>
      </c>
    </row>
    <row r="671" spans="1:9" x14ac:dyDescent="0.3">
      <c r="A671" t="s">
        <v>21</v>
      </c>
      <c r="B671">
        <v>2019</v>
      </c>
      <c r="C671">
        <v>2</v>
      </c>
      <c r="D671" t="s">
        <v>13</v>
      </c>
      <c r="E671">
        <v>2702543</v>
      </c>
      <c r="F671" s="6">
        <v>866678928.44399858</v>
      </c>
      <c r="G671" s="5">
        <v>67819928</v>
      </c>
      <c r="H671">
        <v>481047270</v>
      </c>
      <c r="I671" s="1">
        <v>12.7791189699287</v>
      </c>
    </row>
    <row r="672" spans="1:9" x14ac:dyDescent="0.3">
      <c r="A672" t="s">
        <v>21</v>
      </c>
      <c r="B672">
        <v>2019</v>
      </c>
      <c r="C672">
        <v>3</v>
      </c>
      <c r="D672" t="s">
        <v>11</v>
      </c>
      <c r="E672">
        <v>29453368</v>
      </c>
      <c r="F672" s="6">
        <v>9857221391.940361</v>
      </c>
      <c r="G672" s="5">
        <v>74605146</v>
      </c>
      <c r="H672">
        <v>1797191297</v>
      </c>
      <c r="I672" s="1">
        <v>132.12522085192839</v>
      </c>
    </row>
    <row r="673" spans="1:9" x14ac:dyDescent="0.3">
      <c r="A673" t="s">
        <v>21</v>
      </c>
      <c r="B673">
        <v>2019</v>
      </c>
      <c r="C673">
        <v>3</v>
      </c>
      <c r="D673" t="s">
        <v>10</v>
      </c>
      <c r="E673">
        <v>25201978</v>
      </c>
      <c r="F673" s="6">
        <v>81904443496.297775</v>
      </c>
      <c r="G673" s="5">
        <v>74605146</v>
      </c>
      <c r="H673">
        <v>1797191297</v>
      </c>
      <c r="I673" s="1">
        <v>1097.8390618831813</v>
      </c>
    </row>
    <row r="674" spans="1:9" x14ac:dyDescent="0.3">
      <c r="A674" t="s">
        <v>21</v>
      </c>
      <c r="B674">
        <v>2019</v>
      </c>
      <c r="C674">
        <v>3</v>
      </c>
      <c r="D674" t="s">
        <v>9</v>
      </c>
      <c r="E674">
        <v>11133404</v>
      </c>
      <c r="F674" s="6">
        <v>10406524192.884487</v>
      </c>
      <c r="G674" s="5">
        <v>74605146</v>
      </c>
      <c r="H674">
        <v>1797191297</v>
      </c>
      <c r="I674" s="1">
        <v>139.48802128052247</v>
      </c>
    </row>
    <row r="675" spans="1:9" x14ac:dyDescent="0.3">
      <c r="A675" t="s">
        <v>21</v>
      </c>
      <c r="B675">
        <v>2019</v>
      </c>
      <c r="C675">
        <v>3</v>
      </c>
      <c r="D675" t="s">
        <v>12</v>
      </c>
      <c r="E675">
        <v>92061</v>
      </c>
      <c r="F675" s="6">
        <v>27952186.986432005</v>
      </c>
      <c r="G675" s="5">
        <v>74605146</v>
      </c>
      <c r="H675">
        <v>1797191297</v>
      </c>
      <c r="I675" s="1">
        <v>0.37466835044370805</v>
      </c>
    </row>
    <row r="676" spans="1:9" x14ac:dyDescent="0.3">
      <c r="A676" t="s">
        <v>21</v>
      </c>
      <c r="B676">
        <v>2019</v>
      </c>
      <c r="C676">
        <v>3</v>
      </c>
      <c r="D676" t="s">
        <v>13</v>
      </c>
      <c r="E676">
        <v>3657065</v>
      </c>
      <c r="F676" s="6">
        <v>1000670778.3478061</v>
      </c>
      <c r="G676" s="5">
        <v>74605146</v>
      </c>
      <c r="H676">
        <v>1797191297</v>
      </c>
      <c r="I676" s="1">
        <v>13.412892166283088</v>
      </c>
    </row>
    <row r="677" spans="1:9" x14ac:dyDescent="0.3">
      <c r="A677" t="s">
        <v>21</v>
      </c>
      <c r="B677">
        <v>2019</v>
      </c>
      <c r="C677">
        <v>4</v>
      </c>
      <c r="D677" t="s">
        <v>10</v>
      </c>
      <c r="E677">
        <v>33040093</v>
      </c>
      <c r="F677" s="6">
        <v>105858524152.38443</v>
      </c>
      <c r="G677" s="5">
        <v>80188713</v>
      </c>
      <c r="H677">
        <v>1899509381</v>
      </c>
      <c r="I677" s="1">
        <v>1320.1175102085056</v>
      </c>
    </row>
    <row r="678" spans="1:9" x14ac:dyDescent="0.3">
      <c r="A678" t="s">
        <v>21</v>
      </c>
      <c r="B678">
        <v>2019</v>
      </c>
      <c r="C678">
        <v>4</v>
      </c>
      <c r="D678" t="s">
        <v>11</v>
      </c>
      <c r="E678">
        <v>32537378</v>
      </c>
      <c r="F678" s="6">
        <v>12864577363.070576</v>
      </c>
      <c r="G678" s="5">
        <v>80188713</v>
      </c>
      <c r="H678">
        <v>1899509381</v>
      </c>
      <c r="I678" s="1">
        <v>160.42877958485974</v>
      </c>
    </row>
    <row r="679" spans="1:9" x14ac:dyDescent="0.3">
      <c r="A679" t="s">
        <v>21</v>
      </c>
      <c r="B679">
        <v>2019</v>
      </c>
      <c r="C679">
        <v>4</v>
      </c>
      <c r="D679" t="s">
        <v>9</v>
      </c>
      <c r="E679">
        <v>11609898</v>
      </c>
      <c r="F679" s="6">
        <v>9500486080.9884491</v>
      </c>
      <c r="G679" s="5">
        <v>80188713</v>
      </c>
      <c r="H679">
        <v>1899509381</v>
      </c>
      <c r="I679" s="1">
        <v>118.47660007947064</v>
      </c>
    </row>
    <row r="680" spans="1:9" x14ac:dyDescent="0.3">
      <c r="A680" t="s">
        <v>21</v>
      </c>
      <c r="B680">
        <v>2019</v>
      </c>
      <c r="C680">
        <v>4</v>
      </c>
      <c r="D680" t="s">
        <v>12</v>
      </c>
      <c r="E680">
        <v>57063</v>
      </c>
      <c r="F680" s="6">
        <v>21512527.973989226</v>
      </c>
      <c r="G680" s="5">
        <v>80188713</v>
      </c>
      <c r="H680">
        <v>1899509381</v>
      </c>
      <c r="I680" s="1">
        <v>0.26827376533639125</v>
      </c>
    </row>
    <row r="681" spans="1:9" x14ac:dyDescent="0.3">
      <c r="A681" t="s">
        <v>21</v>
      </c>
      <c r="B681">
        <v>2019</v>
      </c>
      <c r="C681">
        <v>4</v>
      </c>
      <c r="D681" t="s">
        <v>13</v>
      </c>
      <c r="E681">
        <v>3500565</v>
      </c>
      <c r="F681" s="6">
        <v>779367300.47325706</v>
      </c>
      <c r="G681" s="5">
        <v>80188713</v>
      </c>
      <c r="H681">
        <v>1899509381</v>
      </c>
      <c r="I681" s="1">
        <v>9.7191645970581551</v>
      </c>
    </row>
    <row r="682" spans="1:9" x14ac:dyDescent="0.3">
      <c r="A682" t="s">
        <v>21</v>
      </c>
      <c r="B682">
        <v>2020</v>
      </c>
      <c r="C682">
        <v>1</v>
      </c>
      <c r="D682" t="s">
        <v>11</v>
      </c>
      <c r="E682">
        <v>33951545</v>
      </c>
      <c r="F682" s="6">
        <v>14470782771.054684</v>
      </c>
      <c r="G682" s="5">
        <v>86088167</v>
      </c>
      <c r="H682">
        <v>1960903846</v>
      </c>
      <c r="I682" s="1">
        <v>168.09258781238407</v>
      </c>
    </row>
    <row r="683" spans="1:9" x14ac:dyDescent="0.3">
      <c r="A683" t="s">
        <v>21</v>
      </c>
      <c r="B683">
        <v>2020</v>
      </c>
      <c r="C683">
        <v>1</v>
      </c>
      <c r="D683" t="s">
        <v>10</v>
      </c>
      <c r="E683">
        <v>32410795</v>
      </c>
      <c r="F683" s="6">
        <v>108987600006.3667</v>
      </c>
      <c r="G683" s="5">
        <v>86088167</v>
      </c>
      <c r="H683">
        <v>1960903846</v>
      </c>
      <c r="I683" s="1">
        <v>1265.999774468037</v>
      </c>
    </row>
    <row r="684" spans="1:9" x14ac:dyDescent="0.3">
      <c r="A684" t="s">
        <v>21</v>
      </c>
      <c r="B684">
        <v>2020</v>
      </c>
      <c r="C684">
        <v>1</v>
      </c>
      <c r="D684" t="s">
        <v>9</v>
      </c>
      <c r="E684">
        <v>12822919</v>
      </c>
      <c r="F684" s="6">
        <v>9498791147.9291935</v>
      </c>
      <c r="G684" s="5">
        <v>86088167</v>
      </c>
      <c r="H684">
        <v>1960903846</v>
      </c>
      <c r="I684" s="1">
        <v>110.3379416584534</v>
      </c>
    </row>
    <row r="685" spans="1:9" x14ac:dyDescent="0.3">
      <c r="A685" t="s">
        <v>21</v>
      </c>
      <c r="B685">
        <v>2020</v>
      </c>
      <c r="C685">
        <v>1</v>
      </c>
      <c r="D685" t="s">
        <v>12</v>
      </c>
      <c r="E685">
        <v>46529</v>
      </c>
      <c r="F685" s="6">
        <v>39908838.248528868</v>
      </c>
      <c r="G685" s="5">
        <v>86088167</v>
      </c>
      <c r="H685">
        <v>1960903846</v>
      </c>
      <c r="I685" s="1">
        <v>0.46358099654426221</v>
      </c>
    </row>
    <row r="686" spans="1:9" x14ac:dyDescent="0.3">
      <c r="A686" t="s">
        <v>21</v>
      </c>
      <c r="B686">
        <v>2020</v>
      </c>
      <c r="C686">
        <v>1</v>
      </c>
      <c r="D686" t="s">
        <v>13</v>
      </c>
      <c r="E686">
        <v>2515816</v>
      </c>
      <c r="F686" s="6">
        <v>619460878.99096727</v>
      </c>
      <c r="G686" s="5">
        <v>86088167</v>
      </c>
      <c r="H686">
        <v>1960903846</v>
      </c>
      <c r="I686" s="1">
        <v>7.1956565063229574</v>
      </c>
    </row>
    <row r="687" spans="1:9" x14ac:dyDescent="0.3">
      <c r="A687" t="s">
        <v>21</v>
      </c>
      <c r="B687">
        <v>2020</v>
      </c>
      <c r="C687">
        <v>2</v>
      </c>
      <c r="D687" t="s">
        <v>10</v>
      </c>
      <c r="E687">
        <v>27155938</v>
      </c>
      <c r="F687" s="6">
        <v>86227124454.101746</v>
      </c>
      <c r="G687" s="5">
        <v>92302529</v>
      </c>
      <c r="H687">
        <v>1571374783</v>
      </c>
      <c r="I687" s="1">
        <v>934.17943569132046</v>
      </c>
    </row>
    <row r="688" spans="1:9" x14ac:dyDescent="0.3">
      <c r="A688" t="s">
        <v>21</v>
      </c>
      <c r="B688">
        <v>2020</v>
      </c>
      <c r="C688">
        <v>2</v>
      </c>
      <c r="D688" t="s">
        <v>11</v>
      </c>
      <c r="E688">
        <v>24963931</v>
      </c>
      <c r="F688" s="6">
        <v>12708327043.868336</v>
      </c>
      <c r="G688" s="5">
        <v>92302529</v>
      </c>
      <c r="H688">
        <v>1571374783</v>
      </c>
      <c r="I688" s="1">
        <v>137.68124429037405</v>
      </c>
    </row>
    <row r="689" spans="1:9" x14ac:dyDescent="0.3">
      <c r="A689" t="s">
        <v>21</v>
      </c>
      <c r="B689">
        <v>2020</v>
      </c>
      <c r="C689">
        <v>2</v>
      </c>
      <c r="D689" t="s">
        <v>9</v>
      </c>
      <c r="E689">
        <v>13568505</v>
      </c>
      <c r="F689" s="6">
        <v>8699886044.040596</v>
      </c>
      <c r="G689" s="5">
        <v>92302529</v>
      </c>
      <c r="H689">
        <v>1571374783</v>
      </c>
      <c r="I689" s="1">
        <v>94.254037655247728</v>
      </c>
    </row>
    <row r="690" spans="1:9" x14ac:dyDescent="0.3">
      <c r="A690" t="s">
        <v>21</v>
      </c>
      <c r="B690">
        <v>2020</v>
      </c>
      <c r="C690">
        <v>2</v>
      </c>
      <c r="D690" t="s">
        <v>12</v>
      </c>
      <c r="E690">
        <v>64790</v>
      </c>
      <c r="F690" s="6">
        <v>75405868.16164647</v>
      </c>
      <c r="G690" s="5">
        <v>92302529</v>
      </c>
      <c r="H690">
        <v>1571374783</v>
      </c>
      <c r="I690" s="1">
        <v>0.81694260144970099</v>
      </c>
    </row>
    <row r="691" spans="1:9" x14ac:dyDescent="0.3">
      <c r="A691" t="s">
        <v>21</v>
      </c>
      <c r="B691">
        <v>2020</v>
      </c>
      <c r="C691">
        <v>2</v>
      </c>
      <c r="D691" t="s">
        <v>13</v>
      </c>
      <c r="E691">
        <v>288854</v>
      </c>
      <c r="F691" s="6">
        <v>162694793.15869594</v>
      </c>
      <c r="G691" s="5">
        <v>92302529</v>
      </c>
      <c r="H691">
        <v>1571374783</v>
      </c>
      <c r="I691" s="1">
        <v>1.7626255198131779</v>
      </c>
    </row>
    <row r="692" spans="1:9" x14ac:dyDescent="0.3">
      <c r="A692" t="s">
        <v>21</v>
      </c>
      <c r="B692">
        <v>2020</v>
      </c>
      <c r="C692">
        <v>3</v>
      </c>
      <c r="D692" t="s">
        <v>10</v>
      </c>
      <c r="E692">
        <v>41498638</v>
      </c>
      <c r="F692" s="6">
        <v>140074023548.15637</v>
      </c>
      <c r="G692" s="5">
        <v>99485914</v>
      </c>
      <c r="H692">
        <v>2090275319</v>
      </c>
      <c r="I692" s="1">
        <v>1407.9784556048444</v>
      </c>
    </row>
    <row r="693" spans="1:9" x14ac:dyDescent="0.3">
      <c r="A693" t="s">
        <v>21</v>
      </c>
      <c r="B693">
        <v>2020</v>
      </c>
      <c r="C693">
        <v>3</v>
      </c>
      <c r="D693" t="s">
        <v>11</v>
      </c>
      <c r="E693">
        <v>40973792</v>
      </c>
      <c r="F693" s="6">
        <v>21858176583.058899</v>
      </c>
      <c r="G693" s="5">
        <v>99485914</v>
      </c>
      <c r="H693">
        <v>2090275319</v>
      </c>
      <c r="I693" s="1">
        <v>219.71127071375048</v>
      </c>
    </row>
    <row r="694" spans="1:9" x14ac:dyDescent="0.3">
      <c r="A694" t="s">
        <v>21</v>
      </c>
      <c r="B694">
        <v>2020</v>
      </c>
      <c r="C694">
        <v>3</v>
      </c>
      <c r="D694" t="s">
        <v>9</v>
      </c>
      <c r="E694">
        <v>13448341</v>
      </c>
      <c r="F694" s="6">
        <v>12883226305.336546</v>
      </c>
      <c r="G694" s="5">
        <v>99485914</v>
      </c>
      <c r="H694">
        <v>2090275319</v>
      </c>
      <c r="I694" s="1">
        <v>129.49799411137286</v>
      </c>
    </row>
    <row r="695" spans="1:9" x14ac:dyDescent="0.3">
      <c r="A695" t="s">
        <v>21</v>
      </c>
      <c r="B695">
        <v>2020</v>
      </c>
      <c r="C695">
        <v>3</v>
      </c>
      <c r="D695" t="s">
        <v>12</v>
      </c>
      <c r="E695">
        <v>85689</v>
      </c>
      <c r="F695" s="6">
        <v>114341865.2645722</v>
      </c>
      <c r="G695" s="5">
        <v>99485914</v>
      </c>
      <c r="H695">
        <v>2090275319</v>
      </c>
      <c r="I695" s="1">
        <v>1.1493271827866225</v>
      </c>
    </row>
    <row r="696" spans="1:9" x14ac:dyDescent="0.3">
      <c r="A696" t="s">
        <v>21</v>
      </c>
      <c r="B696">
        <v>2020</v>
      </c>
      <c r="C696">
        <v>3</v>
      </c>
      <c r="D696" t="s">
        <v>13</v>
      </c>
      <c r="E696">
        <v>485401</v>
      </c>
      <c r="F696" s="6">
        <v>234194502.84422821</v>
      </c>
      <c r="G696" s="5">
        <v>99485914</v>
      </c>
      <c r="H696">
        <v>2090275319</v>
      </c>
      <c r="I696" s="1">
        <v>2.3540468537508557</v>
      </c>
    </row>
    <row r="697" spans="1:9" x14ac:dyDescent="0.3">
      <c r="A697" t="s">
        <v>21</v>
      </c>
      <c r="B697">
        <v>2020</v>
      </c>
      <c r="C697">
        <v>4</v>
      </c>
      <c r="D697" t="s">
        <v>11</v>
      </c>
      <c r="E697">
        <v>54581166</v>
      </c>
      <c r="F697" s="6">
        <v>31106554562.795101</v>
      </c>
      <c r="G697" s="5">
        <v>107227648</v>
      </c>
      <c r="H697">
        <v>2677771272</v>
      </c>
      <c r="I697" s="1">
        <v>290.09826423493968</v>
      </c>
    </row>
    <row r="698" spans="1:9" x14ac:dyDescent="0.3">
      <c r="A698" t="s">
        <v>21</v>
      </c>
      <c r="B698">
        <v>2020</v>
      </c>
      <c r="C698">
        <v>4</v>
      </c>
      <c r="D698" t="s">
        <v>10</v>
      </c>
      <c r="E698">
        <v>49631928</v>
      </c>
      <c r="F698" s="6">
        <v>171546055992.1488</v>
      </c>
      <c r="G698" s="5">
        <v>107227648</v>
      </c>
      <c r="H698">
        <v>2677771272</v>
      </c>
      <c r="I698" s="1">
        <v>1599.8304466414186</v>
      </c>
    </row>
    <row r="699" spans="1:9" x14ac:dyDescent="0.3">
      <c r="A699" t="s">
        <v>21</v>
      </c>
      <c r="B699">
        <v>2020</v>
      </c>
      <c r="C699">
        <v>4</v>
      </c>
      <c r="D699" t="s">
        <v>9</v>
      </c>
      <c r="E699">
        <v>14862946</v>
      </c>
      <c r="F699" s="6">
        <v>12921793576.576857</v>
      </c>
      <c r="G699" s="5">
        <v>107227648</v>
      </c>
      <c r="H699">
        <v>2677771272</v>
      </c>
      <c r="I699" s="1">
        <v>120.50803890221351</v>
      </c>
    </row>
    <row r="700" spans="1:9" x14ac:dyDescent="0.3">
      <c r="A700" t="s">
        <v>21</v>
      </c>
      <c r="B700">
        <v>2020</v>
      </c>
      <c r="C700">
        <v>4</v>
      </c>
      <c r="D700" t="s">
        <v>12</v>
      </c>
      <c r="E700">
        <v>114862</v>
      </c>
      <c r="F700" s="6">
        <v>160007919.76894268</v>
      </c>
      <c r="G700" s="5">
        <v>107227648</v>
      </c>
      <c r="H700">
        <v>2677771272</v>
      </c>
      <c r="I700" s="1">
        <v>1.4922263311132469</v>
      </c>
    </row>
    <row r="701" spans="1:9" x14ac:dyDescent="0.3">
      <c r="A701" t="s">
        <v>21</v>
      </c>
      <c r="B701">
        <v>2020</v>
      </c>
      <c r="C701">
        <v>4</v>
      </c>
      <c r="D701" t="s">
        <v>13</v>
      </c>
      <c r="E701">
        <v>1349515</v>
      </c>
      <c r="F701" s="6">
        <v>530676173.2537967</v>
      </c>
      <c r="G701" s="5">
        <v>107227648</v>
      </c>
      <c r="H701">
        <v>2677771272</v>
      </c>
      <c r="I701" s="1">
        <v>4.9490610225246821</v>
      </c>
    </row>
    <row r="702" spans="1:9" x14ac:dyDescent="0.3">
      <c r="A702" t="s">
        <v>21</v>
      </c>
      <c r="B702">
        <v>2021</v>
      </c>
      <c r="C702">
        <v>1</v>
      </c>
      <c r="D702" t="s">
        <v>11</v>
      </c>
      <c r="E702">
        <v>72615587</v>
      </c>
      <c r="F702" s="6">
        <v>39861532639.012344</v>
      </c>
      <c r="G702" s="5">
        <v>115139310</v>
      </c>
      <c r="H702">
        <v>3093217600</v>
      </c>
      <c r="I702" s="1">
        <v>346.20263608503774</v>
      </c>
    </row>
    <row r="703" spans="1:9" x14ac:dyDescent="0.3">
      <c r="A703" t="s">
        <v>21</v>
      </c>
      <c r="B703">
        <v>2021</v>
      </c>
      <c r="C703">
        <v>1</v>
      </c>
      <c r="D703" t="s">
        <v>10</v>
      </c>
      <c r="E703">
        <v>61957428</v>
      </c>
      <c r="F703" s="6">
        <v>210823551741.40936</v>
      </c>
      <c r="G703" s="5">
        <v>115139310</v>
      </c>
      <c r="H703">
        <v>3093217600</v>
      </c>
      <c r="I703" s="1">
        <v>1831.0301819718163</v>
      </c>
    </row>
    <row r="704" spans="1:9" x14ac:dyDescent="0.3">
      <c r="A704" t="s">
        <v>21</v>
      </c>
      <c r="B704">
        <v>2021</v>
      </c>
      <c r="C704">
        <v>1</v>
      </c>
      <c r="D704" t="s">
        <v>9</v>
      </c>
      <c r="E704">
        <v>21164274</v>
      </c>
      <c r="F704" s="6">
        <v>15447408658.778738</v>
      </c>
      <c r="G704" s="5">
        <v>115139310</v>
      </c>
      <c r="H704">
        <v>3093217600</v>
      </c>
      <c r="I704" s="1">
        <v>134.16276907321</v>
      </c>
    </row>
    <row r="705" spans="1:9" x14ac:dyDescent="0.3">
      <c r="A705" t="s">
        <v>21</v>
      </c>
      <c r="B705">
        <v>2021</v>
      </c>
      <c r="C705">
        <v>1</v>
      </c>
      <c r="D705" t="s">
        <v>12</v>
      </c>
      <c r="E705">
        <v>153039</v>
      </c>
      <c r="F705" s="6">
        <v>203106852.42387855</v>
      </c>
      <c r="G705" s="5">
        <v>115139310</v>
      </c>
      <c r="H705">
        <v>3093217600</v>
      </c>
      <c r="I705" s="1">
        <v>1.7640096368814313</v>
      </c>
    </row>
    <row r="706" spans="1:9" x14ac:dyDescent="0.3">
      <c r="A706" t="s">
        <v>21</v>
      </c>
      <c r="B706">
        <v>2021</v>
      </c>
      <c r="C706">
        <v>1</v>
      </c>
      <c r="D706" t="s">
        <v>13</v>
      </c>
      <c r="E706">
        <v>1468676</v>
      </c>
      <c r="F706" s="6">
        <v>592745151.86830485</v>
      </c>
      <c r="G706" s="5">
        <v>115139310</v>
      </c>
      <c r="H706">
        <v>3093217600</v>
      </c>
      <c r="I706" s="1">
        <v>5.1480693419849821</v>
      </c>
    </row>
    <row r="707" spans="1:9" x14ac:dyDescent="0.3">
      <c r="A707" t="s">
        <v>21</v>
      </c>
      <c r="B707">
        <v>2021</v>
      </c>
      <c r="C707">
        <v>2</v>
      </c>
      <c r="D707" t="s">
        <v>11</v>
      </c>
      <c r="E707">
        <v>75620295</v>
      </c>
      <c r="F707" s="6">
        <v>42933366743.235748</v>
      </c>
      <c r="G707" s="5">
        <v>123009689</v>
      </c>
      <c r="H707">
        <v>1814975514</v>
      </c>
      <c r="I707" s="1">
        <v>349.02426867558171</v>
      </c>
    </row>
    <row r="708" spans="1:9" x14ac:dyDescent="0.3">
      <c r="A708" t="s">
        <v>21</v>
      </c>
      <c r="B708">
        <v>2021</v>
      </c>
      <c r="C708">
        <v>2</v>
      </c>
      <c r="D708" t="s">
        <v>10</v>
      </c>
      <c r="E708">
        <v>68497718</v>
      </c>
      <c r="F708" s="6">
        <v>223034955527.75317</v>
      </c>
      <c r="G708" s="5">
        <v>123009689</v>
      </c>
      <c r="H708">
        <v>1814975514</v>
      </c>
      <c r="I708" s="1">
        <v>1813.1494953031965</v>
      </c>
    </row>
    <row r="709" spans="1:9" x14ac:dyDescent="0.3">
      <c r="A709" t="s">
        <v>21</v>
      </c>
      <c r="B709">
        <v>2021</v>
      </c>
      <c r="C709">
        <v>2</v>
      </c>
      <c r="D709" t="s">
        <v>9</v>
      </c>
      <c r="E709">
        <v>25026678</v>
      </c>
      <c r="F709" s="6">
        <v>15310096462.746447</v>
      </c>
      <c r="G709" s="5">
        <v>123009689</v>
      </c>
      <c r="H709">
        <v>1814975514</v>
      </c>
      <c r="I709" s="1">
        <v>124.46252475889477</v>
      </c>
    </row>
    <row r="710" spans="1:9" x14ac:dyDescent="0.3">
      <c r="A710" t="s">
        <v>21</v>
      </c>
      <c r="B710">
        <v>2021</v>
      </c>
      <c r="C710">
        <v>2</v>
      </c>
      <c r="D710" t="s">
        <v>12</v>
      </c>
      <c r="E710">
        <v>158170</v>
      </c>
      <c r="F710" s="6">
        <v>190019761.49741396</v>
      </c>
      <c r="G710" s="5">
        <v>123009689</v>
      </c>
      <c r="H710">
        <v>1814975514</v>
      </c>
      <c r="I710" s="1">
        <v>1.5447544257868497</v>
      </c>
    </row>
    <row r="711" spans="1:9" x14ac:dyDescent="0.3">
      <c r="A711" t="s">
        <v>21</v>
      </c>
      <c r="B711">
        <v>2021</v>
      </c>
      <c r="C711">
        <v>2</v>
      </c>
      <c r="D711" t="s">
        <v>13</v>
      </c>
      <c r="E711">
        <v>854403</v>
      </c>
      <c r="F711" s="6">
        <v>472659189.30861247</v>
      </c>
      <c r="G711" s="5">
        <v>123009689</v>
      </c>
      <c r="H711">
        <v>1814975514</v>
      </c>
      <c r="I711" s="1">
        <v>3.8424549574189433</v>
      </c>
    </row>
    <row r="712" spans="1:9" x14ac:dyDescent="0.3">
      <c r="A712" t="s">
        <v>21</v>
      </c>
      <c r="B712">
        <v>2021</v>
      </c>
      <c r="C712">
        <v>3</v>
      </c>
      <c r="D712" t="s">
        <v>11</v>
      </c>
      <c r="E712">
        <v>115250887</v>
      </c>
      <c r="F712" s="6">
        <v>64006915630.532623</v>
      </c>
      <c r="G712" s="5">
        <v>131780671</v>
      </c>
      <c r="H712">
        <v>2462288136</v>
      </c>
      <c r="I712" s="1">
        <v>485.7079201739125</v>
      </c>
    </row>
    <row r="713" spans="1:9" x14ac:dyDescent="0.3">
      <c r="A713" t="s">
        <v>21</v>
      </c>
      <c r="B713">
        <v>2021</v>
      </c>
      <c r="C713">
        <v>3</v>
      </c>
      <c r="D713" t="s">
        <v>10</v>
      </c>
      <c r="E713">
        <v>93292876</v>
      </c>
      <c r="F713" s="6">
        <v>298005532606.46997</v>
      </c>
      <c r="G713" s="5">
        <v>131780671</v>
      </c>
      <c r="H713">
        <v>2462288136</v>
      </c>
      <c r="I713" s="1">
        <v>2261.3751344950274</v>
      </c>
    </row>
    <row r="714" spans="1:9" x14ac:dyDescent="0.3">
      <c r="A714" t="s">
        <v>21</v>
      </c>
      <c r="B714">
        <v>2021</v>
      </c>
      <c r="C714">
        <v>3</v>
      </c>
      <c r="D714" t="s">
        <v>9</v>
      </c>
      <c r="E714">
        <v>28427032</v>
      </c>
      <c r="F714" s="6">
        <v>20934734871.908962</v>
      </c>
      <c r="G714" s="5">
        <v>131780671</v>
      </c>
      <c r="H714">
        <v>2462288136</v>
      </c>
      <c r="I714" s="1">
        <v>158.86043615538247</v>
      </c>
    </row>
    <row r="715" spans="1:9" x14ac:dyDescent="0.3">
      <c r="A715" t="s">
        <v>21</v>
      </c>
      <c r="B715">
        <v>2021</v>
      </c>
      <c r="C715">
        <v>3</v>
      </c>
      <c r="D715" t="s">
        <v>12</v>
      </c>
      <c r="E715">
        <v>144460</v>
      </c>
      <c r="F715" s="6">
        <v>220660990.22066334</v>
      </c>
      <c r="G715" s="5">
        <v>131780671</v>
      </c>
      <c r="H715">
        <v>2462288136</v>
      </c>
      <c r="I715" s="1">
        <v>1.6744564172135938</v>
      </c>
    </row>
    <row r="716" spans="1:9" x14ac:dyDescent="0.3">
      <c r="A716" t="s">
        <v>21</v>
      </c>
      <c r="B716">
        <v>2021</v>
      </c>
      <c r="C716">
        <v>3</v>
      </c>
      <c r="D716" t="s">
        <v>13</v>
      </c>
      <c r="E716">
        <v>1645353</v>
      </c>
      <c r="F716" s="6">
        <v>690472449.14892554</v>
      </c>
      <c r="G716" s="5">
        <v>131780671</v>
      </c>
      <c r="H716">
        <v>2462288136</v>
      </c>
      <c r="I716" s="1">
        <v>5.2395578494886061</v>
      </c>
    </row>
    <row r="717" spans="1:9" x14ac:dyDescent="0.3">
      <c r="A717" t="s">
        <v>21</v>
      </c>
      <c r="B717">
        <v>2021</v>
      </c>
      <c r="C717">
        <v>4</v>
      </c>
      <c r="D717" t="s">
        <v>11</v>
      </c>
      <c r="E717">
        <v>149204611</v>
      </c>
      <c r="F717" s="6">
        <v>88990516304.074371</v>
      </c>
      <c r="G717" s="5">
        <v>140636397</v>
      </c>
      <c r="H717">
        <v>3802362883</v>
      </c>
      <c r="I717" s="1">
        <v>632.77016620437428</v>
      </c>
    </row>
    <row r="718" spans="1:9" x14ac:dyDescent="0.3">
      <c r="A718" t="s">
        <v>21</v>
      </c>
      <c r="B718">
        <v>2021</v>
      </c>
      <c r="C718">
        <v>4</v>
      </c>
      <c r="D718" t="s">
        <v>10</v>
      </c>
      <c r="E718">
        <v>112380292</v>
      </c>
      <c r="F718" s="6">
        <v>376556972334.15979</v>
      </c>
      <c r="G718" s="5">
        <v>140636397</v>
      </c>
      <c r="H718">
        <v>3802362883</v>
      </c>
      <c r="I718" s="1">
        <v>2677.5214693118155</v>
      </c>
    </row>
    <row r="719" spans="1:9" x14ac:dyDescent="0.3">
      <c r="A719" t="s">
        <v>21</v>
      </c>
      <c r="B719">
        <v>2021</v>
      </c>
      <c r="C719">
        <v>4</v>
      </c>
      <c r="D719" t="s">
        <v>9</v>
      </c>
      <c r="E719">
        <v>30127352</v>
      </c>
      <c r="F719" s="6">
        <v>22290161823.248642</v>
      </c>
      <c r="G719" s="5">
        <v>140636397</v>
      </c>
      <c r="H719">
        <v>3802362883</v>
      </c>
      <c r="I719" s="1">
        <v>158.49497213192004</v>
      </c>
    </row>
    <row r="720" spans="1:9" x14ac:dyDescent="0.3">
      <c r="A720" t="s">
        <v>21</v>
      </c>
      <c r="B720">
        <v>2021</v>
      </c>
      <c r="C720">
        <v>4</v>
      </c>
      <c r="D720" t="s">
        <v>12</v>
      </c>
      <c r="E720">
        <v>199280</v>
      </c>
      <c r="F720" s="6">
        <v>287950130.24921745</v>
      </c>
      <c r="G720" s="5">
        <v>140636397</v>
      </c>
      <c r="H720">
        <v>3802362883</v>
      </c>
      <c r="I720" s="1">
        <v>2.0474794320080418</v>
      </c>
    </row>
    <row r="721" spans="1:9" x14ac:dyDescent="0.3">
      <c r="A721" t="s">
        <v>21</v>
      </c>
      <c r="B721">
        <v>2021</v>
      </c>
      <c r="C721">
        <v>4</v>
      </c>
      <c r="D721" t="s">
        <v>13</v>
      </c>
      <c r="E721">
        <v>771824</v>
      </c>
      <c r="F721" s="6">
        <v>569713470.65920317</v>
      </c>
      <c r="G721" s="5">
        <v>140636397</v>
      </c>
      <c r="H721">
        <v>3802362883</v>
      </c>
      <c r="I721" s="1">
        <v>4.0509674793446475</v>
      </c>
    </row>
    <row r="722" spans="1:9" x14ac:dyDescent="0.3">
      <c r="A722" t="s">
        <v>22</v>
      </c>
      <c r="B722">
        <v>2018</v>
      </c>
      <c r="C722">
        <v>1</v>
      </c>
      <c r="D722" t="s">
        <v>9</v>
      </c>
      <c r="E722">
        <v>85991</v>
      </c>
      <c r="F722" s="6">
        <v>18273814.162708722</v>
      </c>
      <c r="G722" s="5">
        <v>1011296</v>
      </c>
      <c r="H722">
        <v>0</v>
      </c>
      <c r="I722" s="1">
        <v>18.069698844560566</v>
      </c>
    </row>
    <row r="723" spans="1:9" x14ac:dyDescent="0.3">
      <c r="A723" t="s">
        <v>22</v>
      </c>
      <c r="B723">
        <v>2018</v>
      </c>
      <c r="C723">
        <v>1</v>
      </c>
      <c r="D723" t="s">
        <v>10</v>
      </c>
      <c r="E723">
        <v>59651</v>
      </c>
      <c r="F723" s="6">
        <v>268175048.06992978</v>
      </c>
      <c r="G723" s="5">
        <v>1011296</v>
      </c>
      <c r="H723">
        <v>0</v>
      </c>
      <c r="I723" s="1">
        <v>265.17957953945211</v>
      </c>
    </row>
    <row r="724" spans="1:9" x14ac:dyDescent="0.3">
      <c r="A724" t="s">
        <v>22</v>
      </c>
      <c r="B724">
        <v>2018</v>
      </c>
      <c r="C724">
        <v>1</v>
      </c>
      <c r="D724" t="s">
        <v>11</v>
      </c>
      <c r="E724">
        <v>7880</v>
      </c>
      <c r="F724" s="6">
        <v>11036031.735657964</v>
      </c>
      <c r="G724" s="5">
        <v>1011296</v>
      </c>
      <c r="H724">
        <v>0</v>
      </c>
      <c r="I724" s="1">
        <v>10.912761185308717</v>
      </c>
    </row>
    <row r="725" spans="1:9" x14ac:dyDescent="0.3">
      <c r="A725" t="s">
        <v>22</v>
      </c>
      <c r="B725">
        <v>2018</v>
      </c>
      <c r="C725">
        <v>1</v>
      </c>
      <c r="D725" t="s">
        <v>12</v>
      </c>
      <c r="E725">
        <v>1191</v>
      </c>
      <c r="F725" s="6">
        <v>520105.64240042202</v>
      </c>
      <c r="G725" s="5">
        <v>1011296</v>
      </c>
      <c r="H725">
        <v>0</v>
      </c>
      <c r="I725" s="1">
        <v>0.51429615305550702</v>
      </c>
    </row>
    <row r="726" spans="1:9" x14ac:dyDescent="0.3">
      <c r="A726" t="s">
        <v>22</v>
      </c>
      <c r="B726">
        <v>2018</v>
      </c>
      <c r="C726">
        <v>1</v>
      </c>
      <c r="D726" t="s">
        <v>13</v>
      </c>
      <c r="E726">
        <v>6184</v>
      </c>
      <c r="F726" s="6">
        <v>5851742.7323869746</v>
      </c>
      <c r="G726" s="5">
        <v>1011296</v>
      </c>
      <c r="H726">
        <v>0</v>
      </c>
      <c r="I726" s="1">
        <v>5.7863797863206958</v>
      </c>
    </row>
    <row r="727" spans="1:9" x14ac:dyDescent="0.3">
      <c r="A727" t="s">
        <v>22</v>
      </c>
      <c r="B727">
        <v>2018</v>
      </c>
      <c r="C727">
        <v>2</v>
      </c>
      <c r="D727" t="s">
        <v>9</v>
      </c>
      <c r="E727">
        <v>120943</v>
      </c>
      <c r="F727" s="6">
        <v>30994284.170441039</v>
      </c>
      <c r="G727" s="5">
        <v>1343914</v>
      </c>
      <c r="H727">
        <v>0</v>
      </c>
      <c r="I727" s="1">
        <v>23.062699079287096</v>
      </c>
    </row>
    <row r="728" spans="1:9" x14ac:dyDescent="0.3">
      <c r="A728" t="s">
        <v>22</v>
      </c>
      <c r="B728">
        <v>2018</v>
      </c>
      <c r="C728">
        <v>2</v>
      </c>
      <c r="D728" t="s">
        <v>10</v>
      </c>
      <c r="E728">
        <v>87878</v>
      </c>
      <c r="F728" s="6">
        <v>419492232.52410376</v>
      </c>
      <c r="G728" s="5">
        <v>1343914</v>
      </c>
      <c r="H728">
        <v>0</v>
      </c>
      <c r="I728" s="1">
        <v>312.14217020144429</v>
      </c>
    </row>
    <row r="729" spans="1:9" x14ac:dyDescent="0.3">
      <c r="A729" t="s">
        <v>22</v>
      </c>
      <c r="B729">
        <v>2018</v>
      </c>
      <c r="C729">
        <v>2</v>
      </c>
      <c r="D729" t="s">
        <v>11</v>
      </c>
      <c r="E729">
        <v>12456</v>
      </c>
      <c r="F729" s="6">
        <v>20162855.706119571</v>
      </c>
      <c r="G729" s="5">
        <v>1343914</v>
      </c>
      <c r="H729">
        <v>0</v>
      </c>
      <c r="I729" s="1">
        <v>15.003084800158025</v>
      </c>
    </row>
    <row r="730" spans="1:9" x14ac:dyDescent="0.3">
      <c r="A730" t="s">
        <v>22</v>
      </c>
      <c r="B730">
        <v>2018</v>
      </c>
      <c r="C730">
        <v>2</v>
      </c>
      <c r="D730" t="s">
        <v>12</v>
      </c>
      <c r="E730">
        <v>1903</v>
      </c>
      <c r="F730" s="6">
        <v>733429.42728319904</v>
      </c>
      <c r="G730" s="5">
        <v>1343914</v>
      </c>
      <c r="H730">
        <v>0</v>
      </c>
      <c r="I730" s="1">
        <v>0.54574134005836616</v>
      </c>
    </row>
    <row r="731" spans="1:9" x14ac:dyDescent="0.3">
      <c r="A731" t="s">
        <v>22</v>
      </c>
      <c r="B731">
        <v>2018</v>
      </c>
      <c r="C731">
        <v>2</v>
      </c>
      <c r="D731" t="s">
        <v>13</v>
      </c>
      <c r="E731">
        <v>6395</v>
      </c>
      <c r="F731" s="6">
        <v>7221023.5306675266</v>
      </c>
      <c r="G731" s="5">
        <v>1343914</v>
      </c>
      <c r="H731">
        <v>0</v>
      </c>
      <c r="I731" s="1">
        <v>5.3731291813817901</v>
      </c>
    </row>
    <row r="732" spans="1:9" x14ac:dyDescent="0.3">
      <c r="A732" t="s">
        <v>22</v>
      </c>
      <c r="B732">
        <v>2018</v>
      </c>
      <c r="C732">
        <v>3</v>
      </c>
      <c r="D732" t="s">
        <v>9</v>
      </c>
      <c r="E732">
        <v>158797</v>
      </c>
      <c r="F732" s="6">
        <v>40314972.942088373</v>
      </c>
      <c r="G732" s="5">
        <v>1691822</v>
      </c>
      <c r="H732">
        <v>0</v>
      </c>
      <c r="I732" s="1">
        <v>23.82932302694277</v>
      </c>
    </row>
    <row r="733" spans="1:9" x14ac:dyDescent="0.3">
      <c r="A733" t="s">
        <v>22</v>
      </c>
      <c r="B733">
        <v>2018</v>
      </c>
      <c r="C733">
        <v>3</v>
      </c>
      <c r="D733" t="s">
        <v>10</v>
      </c>
      <c r="E733">
        <v>150297</v>
      </c>
      <c r="F733" s="6">
        <v>639468418.13170016</v>
      </c>
      <c r="G733" s="5">
        <v>1691822</v>
      </c>
      <c r="H733">
        <v>0</v>
      </c>
      <c r="I733" s="1">
        <v>377.97618078716329</v>
      </c>
    </row>
    <row r="734" spans="1:9" x14ac:dyDescent="0.3">
      <c r="A734" t="s">
        <v>22</v>
      </c>
      <c r="B734">
        <v>2018</v>
      </c>
      <c r="C734">
        <v>3</v>
      </c>
      <c r="D734" t="s">
        <v>11</v>
      </c>
      <c r="E734">
        <v>21587</v>
      </c>
      <c r="F734" s="6">
        <v>26634198.178851012</v>
      </c>
      <c r="G734" s="5">
        <v>1691822</v>
      </c>
      <c r="H734">
        <v>0</v>
      </c>
      <c r="I734" s="1">
        <v>15.742908047567068</v>
      </c>
    </row>
    <row r="735" spans="1:9" x14ac:dyDescent="0.3">
      <c r="A735" t="s">
        <v>22</v>
      </c>
      <c r="B735">
        <v>2018</v>
      </c>
      <c r="C735">
        <v>3</v>
      </c>
      <c r="D735" t="s">
        <v>12</v>
      </c>
      <c r="E735">
        <v>1867</v>
      </c>
      <c r="F735" s="6">
        <v>468171.36483984883</v>
      </c>
      <c r="G735" s="5">
        <v>1691822</v>
      </c>
      <c r="H735">
        <v>0</v>
      </c>
      <c r="I735" s="1">
        <v>0.276726135988212</v>
      </c>
    </row>
    <row r="736" spans="1:9" x14ac:dyDescent="0.3">
      <c r="A736" t="s">
        <v>22</v>
      </c>
      <c r="B736">
        <v>2018</v>
      </c>
      <c r="C736">
        <v>3</v>
      </c>
      <c r="D736" t="s">
        <v>13</v>
      </c>
      <c r="E736">
        <v>6963</v>
      </c>
      <c r="F736" s="6">
        <v>6281208.6207546387</v>
      </c>
      <c r="G736" s="5">
        <v>1691822</v>
      </c>
      <c r="H736">
        <v>0</v>
      </c>
      <c r="I736" s="1">
        <v>3.712688817591117</v>
      </c>
    </row>
    <row r="737" spans="1:9" x14ac:dyDescent="0.3">
      <c r="A737" t="s">
        <v>22</v>
      </c>
      <c r="B737">
        <v>2018</v>
      </c>
      <c r="C737">
        <v>4</v>
      </c>
      <c r="D737" t="s">
        <v>10</v>
      </c>
      <c r="E737">
        <v>246426</v>
      </c>
      <c r="F737" s="6">
        <v>1021902315.4426756</v>
      </c>
      <c r="G737" s="5">
        <v>2148850</v>
      </c>
      <c r="H737">
        <v>0</v>
      </c>
      <c r="I737" s="1">
        <v>475.55777064135498</v>
      </c>
    </row>
    <row r="738" spans="1:9" x14ac:dyDescent="0.3">
      <c r="A738" t="s">
        <v>22</v>
      </c>
      <c r="B738">
        <v>2018</v>
      </c>
      <c r="C738">
        <v>4</v>
      </c>
      <c r="D738" t="s">
        <v>9</v>
      </c>
      <c r="E738">
        <v>212122</v>
      </c>
      <c r="F738" s="6">
        <v>54832855.89468471</v>
      </c>
      <c r="G738" s="5">
        <v>2148850</v>
      </c>
      <c r="H738">
        <v>0</v>
      </c>
      <c r="I738" s="1">
        <v>25.517302694317756</v>
      </c>
    </row>
    <row r="739" spans="1:9" x14ac:dyDescent="0.3">
      <c r="A739" t="s">
        <v>22</v>
      </c>
      <c r="B739">
        <v>2018</v>
      </c>
      <c r="C739">
        <v>4</v>
      </c>
      <c r="D739" t="s">
        <v>11</v>
      </c>
      <c r="E739">
        <v>45586</v>
      </c>
      <c r="F739" s="6">
        <v>66666113.921459652</v>
      </c>
      <c r="G739" s="5">
        <v>2148850</v>
      </c>
      <c r="H739">
        <v>0</v>
      </c>
      <c r="I739" s="1">
        <v>31.024089127421483</v>
      </c>
    </row>
    <row r="740" spans="1:9" x14ac:dyDescent="0.3">
      <c r="A740" t="s">
        <v>22</v>
      </c>
      <c r="B740">
        <v>2018</v>
      </c>
      <c r="C740">
        <v>4</v>
      </c>
      <c r="D740" t="s">
        <v>12</v>
      </c>
      <c r="E740">
        <v>2523</v>
      </c>
      <c r="F740" s="6">
        <v>723599.23281832889</v>
      </c>
      <c r="G740" s="5">
        <v>2148850</v>
      </c>
      <c r="H740">
        <v>0</v>
      </c>
      <c r="I740" s="1">
        <v>0.33673789832623446</v>
      </c>
    </row>
    <row r="741" spans="1:9" x14ac:dyDescent="0.3">
      <c r="A741" t="s">
        <v>22</v>
      </c>
      <c r="B741">
        <v>2018</v>
      </c>
      <c r="C741">
        <v>4</v>
      </c>
      <c r="D741" t="s">
        <v>13</v>
      </c>
      <c r="E741">
        <v>8098</v>
      </c>
      <c r="F741" s="6">
        <v>8880194.4307666589</v>
      </c>
      <c r="G741" s="5">
        <v>2148850</v>
      </c>
      <c r="H741">
        <v>0</v>
      </c>
      <c r="I741" s="1">
        <v>4.1325334159046276</v>
      </c>
    </row>
    <row r="742" spans="1:9" x14ac:dyDescent="0.3">
      <c r="A742" t="s">
        <v>22</v>
      </c>
      <c r="B742">
        <v>2019</v>
      </c>
      <c r="C742">
        <v>1</v>
      </c>
      <c r="D742" t="s">
        <v>10</v>
      </c>
      <c r="E742">
        <v>378848</v>
      </c>
      <c r="F742" s="6">
        <v>1310759847.8146646</v>
      </c>
      <c r="G742" s="5">
        <v>2619672</v>
      </c>
      <c r="H742">
        <v>0</v>
      </c>
      <c r="I742" s="1">
        <v>500.35265781924784</v>
      </c>
    </row>
    <row r="743" spans="1:9" x14ac:dyDescent="0.3">
      <c r="A743" t="s">
        <v>22</v>
      </c>
      <c r="B743">
        <v>2019</v>
      </c>
      <c r="C743">
        <v>1</v>
      </c>
      <c r="D743" t="s">
        <v>9</v>
      </c>
      <c r="E743">
        <v>275277</v>
      </c>
      <c r="F743" s="6">
        <v>78212835.040603399</v>
      </c>
      <c r="G743" s="5">
        <v>2619672</v>
      </c>
      <c r="H743">
        <v>0</v>
      </c>
      <c r="I743" s="1">
        <v>29.855964808038333</v>
      </c>
    </row>
    <row r="744" spans="1:9" x14ac:dyDescent="0.3">
      <c r="A744" t="s">
        <v>22</v>
      </c>
      <c r="B744">
        <v>2019</v>
      </c>
      <c r="C744">
        <v>1</v>
      </c>
      <c r="D744" t="s">
        <v>11</v>
      </c>
      <c r="E744">
        <v>74527</v>
      </c>
      <c r="F744" s="6">
        <v>75946974.414831012</v>
      </c>
      <c r="G744" s="5">
        <v>2619672</v>
      </c>
      <c r="H744">
        <v>0</v>
      </c>
      <c r="I744" s="1">
        <v>28.991024225487394</v>
      </c>
    </row>
    <row r="745" spans="1:9" x14ac:dyDescent="0.3">
      <c r="A745" t="s">
        <v>22</v>
      </c>
      <c r="B745">
        <v>2019</v>
      </c>
      <c r="C745">
        <v>1</v>
      </c>
      <c r="D745" t="s">
        <v>12</v>
      </c>
      <c r="E745">
        <v>2013</v>
      </c>
      <c r="F745" s="6">
        <v>499592.09668609948</v>
      </c>
      <c r="G745" s="5">
        <v>2619672</v>
      </c>
      <c r="H745">
        <v>0</v>
      </c>
      <c r="I745" s="1">
        <v>0.19070788124853016</v>
      </c>
    </row>
    <row r="746" spans="1:9" x14ac:dyDescent="0.3">
      <c r="A746" t="s">
        <v>22</v>
      </c>
      <c r="B746">
        <v>2019</v>
      </c>
      <c r="C746">
        <v>1</v>
      </c>
      <c r="D746" t="s">
        <v>13</v>
      </c>
      <c r="E746">
        <v>8147</v>
      </c>
      <c r="F746" s="6">
        <v>9904147.9097916503</v>
      </c>
      <c r="G746" s="5">
        <v>2619672</v>
      </c>
      <c r="H746">
        <v>0</v>
      </c>
      <c r="I746" s="1">
        <v>3.7806824326830419</v>
      </c>
    </row>
    <row r="747" spans="1:9" x14ac:dyDescent="0.3">
      <c r="A747" t="s">
        <v>22</v>
      </c>
      <c r="B747">
        <v>2019</v>
      </c>
      <c r="C747">
        <v>2</v>
      </c>
      <c r="D747" t="s">
        <v>10</v>
      </c>
      <c r="E747">
        <v>373759</v>
      </c>
      <c r="F747" s="6">
        <v>1391933790.7547765</v>
      </c>
      <c r="G747" s="5">
        <v>3068340</v>
      </c>
      <c r="H747">
        <v>14874552</v>
      </c>
      <c r="I747" s="1">
        <v>453.64392171492614</v>
      </c>
    </row>
    <row r="748" spans="1:9" x14ac:dyDescent="0.3">
      <c r="A748" t="s">
        <v>22</v>
      </c>
      <c r="B748">
        <v>2019</v>
      </c>
      <c r="C748">
        <v>2</v>
      </c>
      <c r="D748" t="s">
        <v>9</v>
      </c>
      <c r="E748">
        <v>278060</v>
      </c>
      <c r="F748" s="6">
        <v>93218689.416949481</v>
      </c>
      <c r="G748" s="5">
        <v>3068340</v>
      </c>
      <c r="H748">
        <v>14874552</v>
      </c>
      <c r="I748" s="1">
        <v>30.380821361697034</v>
      </c>
    </row>
    <row r="749" spans="1:9" x14ac:dyDescent="0.3">
      <c r="A749" t="s">
        <v>22</v>
      </c>
      <c r="B749">
        <v>2019</v>
      </c>
      <c r="C749">
        <v>2</v>
      </c>
      <c r="D749" t="s">
        <v>11</v>
      </c>
      <c r="E749">
        <v>104592</v>
      </c>
      <c r="F749" s="6">
        <v>92873008.647450402</v>
      </c>
      <c r="G749" s="5">
        <v>3068340</v>
      </c>
      <c r="H749">
        <v>14874552</v>
      </c>
      <c r="I749" s="1">
        <v>30.268160845098784</v>
      </c>
    </row>
    <row r="750" spans="1:9" x14ac:dyDescent="0.3">
      <c r="A750" t="s">
        <v>22</v>
      </c>
      <c r="B750">
        <v>2019</v>
      </c>
      <c r="C750">
        <v>2</v>
      </c>
      <c r="D750" t="s">
        <v>12</v>
      </c>
      <c r="E750">
        <v>1211</v>
      </c>
      <c r="F750" s="6">
        <v>515859.8076807977</v>
      </c>
      <c r="G750" s="5">
        <v>3068340</v>
      </c>
      <c r="H750">
        <v>14874552</v>
      </c>
      <c r="I750" s="1">
        <v>0.16812341777012904</v>
      </c>
    </row>
    <row r="751" spans="1:9" x14ac:dyDescent="0.3">
      <c r="A751" t="s">
        <v>22</v>
      </c>
      <c r="B751">
        <v>2019</v>
      </c>
      <c r="C751">
        <v>2</v>
      </c>
      <c r="D751" t="s">
        <v>13</v>
      </c>
      <c r="E751">
        <v>10819</v>
      </c>
      <c r="F751" s="6">
        <v>13325754.760758925</v>
      </c>
      <c r="G751" s="5">
        <v>3068340</v>
      </c>
      <c r="H751">
        <v>14874552</v>
      </c>
      <c r="I751" s="1">
        <v>4.3429850540549371</v>
      </c>
    </row>
    <row r="752" spans="1:9" x14ac:dyDescent="0.3">
      <c r="A752" t="s">
        <v>22</v>
      </c>
      <c r="B752">
        <v>2019</v>
      </c>
      <c r="C752">
        <v>3</v>
      </c>
      <c r="D752" t="s">
        <v>10</v>
      </c>
      <c r="E752">
        <v>475178</v>
      </c>
      <c r="F752" s="6">
        <v>1704668027.0159788</v>
      </c>
      <c r="G752" s="5">
        <v>3489134</v>
      </c>
      <c r="H752">
        <v>52292812</v>
      </c>
      <c r="I752" s="1">
        <v>488.56479201314102</v>
      </c>
    </row>
    <row r="753" spans="1:9" x14ac:dyDescent="0.3">
      <c r="A753" t="s">
        <v>22</v>
      </c>
      <c r="B753">
        <v>2019</v>
      </c>
      <c r="C753">
        <v>3</v>
      </c>
      <c r="D753" t="s">
        <v>9</v>
      </c>
      <c r="E753">
        <v>453806</v>
      </c>
      <c r="F753" s="6">
        <v>157952854.95011711</v>
      </c>
      <c r="G753" s="5">
        <v>3489134</v>
      </c>
      <c r="H753">
        <v>52292812</v>
      </c>
      <c r="I753" s="1">
        <v>45.269930862534117</v>
      </c>
    </row>
    <row r="754" spans="1:9" x14ac:dyDescent="0.3">
      <c r="A754" t="s">
        <v>22</v>
      </c>
      <c r="B754">
        <v>2019</v>
      </c>
      <c r="C754">
        <v>3</v>
      </c>
      <c r="D754" t="s">
        <v>11</v>
      </c>
      <c r="E754">
        <v>150578</v>
      </c>
      <c r="F754" s="6">
        <v>123948570.56857497</v>
      </c>
      <c r="G754" s="5">
        <v>3489134</v>
      </c>
      <c r="H754">
        <v>52292812</v>
      </c>
      <c r="I754" s="1">
        <v>35.524164611784748</v>
      </c>
    </row>
    <row r="755" spans="1:9" x14ac:dyDescent="0.3">
      <c r="A755" t="s">
        <v>22</v>
      </c>
      <c r="B755">
        <v>2019</v>
      </c>
      <c r="C755">
        <v>3</v>
      </c>
      <c r="D755" t="s">
        <v>12</v>
      </c>
      <c r="E755">
        <v>1510</v>
      </c>
      <c r="F755" s="6">
        <v>1282344.8444824044</v>
      </c>
      <c r="G755" s="5">
        <v>3489134</v>
      </c>
      <c r="H755">
        <v>52292812</v>
      </c>
      <c r="I755" s="1">
        <v>0.36752524967009131</v>
      </c>
    </row>
    <row r="756" spans="1:9" x14ac:dyDescent="0.3">
      <c r="A756" t="s">
        <v>22</v>
      </c>
      <c r="B756">
        <v>2019</v>
      </c>
      <c r="C756">
        <v>3</v>
      </c>
      <c r="D756" t="s">
        <v>13</v>
      </c>
      <c r="E756">
        <v>11344</v>
      </c>
      <c r="F756" s="6">
        <v>12515394.117688328</v>
      </c>
      <c r="G756" s="5">
        <v>3489134</v>
      </c>
      <c r="H756">
        <v>52292812</v>
      </c>
      <c r="I756" s="1">
        <v>3.5869628732196377</v>
      </c>
    </row>
    <row r="757" spans="1:9" x14ac:dyDescent="0.3">
      <c r="A757" t="s">
        <v>22</v>
      </c>
      <c r="B757">
        <v>2019</v>
      </c>
      <c r="C757">
        <v>4</v>
      </c>
      <c r="D757" t="s">
        <v>10</v>
      </c>
      <c r="E757">
        <v>698728</v>
      </c>
      <c r="F757" s="6">
        <v>2484453030.31845</v>
      </c>
      <c r="G757" s="5">
        <v>3889006</v>
      </c>
      <c r="H757">
        <v>69195973</v>
      </c>
      <c r="I757" s="1">
        <v>638.84011243964392</v>
      </c>
    </row>
    <row r="758" spans="1:9" x14ac:dyDescent="0.3">
      <c r="A758" t="s">
        <v>22</v>
      </c>
      <c r="B758">
        <v>2019</v>
      </c>
      <c r="C758">
        <v>4</v>
      </c>
      <c r="D758" t="s">
        <v>9</v>
      </c>
      <c r="E758">
        <v>552421</v>
      </c>
      <c r="F758" s="6">
        <v>205602115.14625147</v>
      </c>
      <c r="G758" s="5">
        <v>3889006</v>
      </c>
      <c r="H758">
        <v>69195973</v>
      </c>
      <c r="I758" s="1">
        <v>52.867523255621478</v>
      </c>
    </row>
    <row r="759" spans="1:9" x14ac:dyDescent="0.3">
      <c r="A759" t="s">
        <v>22</v>
      </c>
      <c r="B759">
        <v>2019</v>
      </c>
      <c r="C759">
        <v>4</v>
      </c>
      <c r="D759" t="s">
        <v>11</v>
      </c>
      <c r="E759">
        <v>250893</v>
      </c>
      <c r="F759" s="6">
        <v>218404664.8638511</v>
      </c>
      <c r="G759" s="5">
        <v>3889006</v>
      </c>
      <c r="H759">
        <v>69195973</v>
      </c>
      <c r="I759" s="1">
        <v>56.159508332939339</v>
      </c>
    </row>
    <row r="760" spans="1:9" x14ac:dyDescent="0.3">
      <c r="A760" t="s">
        <v>22</v>
      </c>
      <c r="B760">
        <v>2019</v>
      </c>
      <c r="C760">
        <v>4</v>
      </c>
      <c r="D760" t="s">
        <v>12</v>
      </c>
      <c r="E760">
        <v>1497</v>
      </c>
      <c r="F760" s="6">
        <v>649712.84514980076</v>
      </c>
      <c r="G760" s="5">
        <v>3889006</v>
      </c>
      <c r="H760">
        <v>69195973</v>
      </c>
      <c r="I760" s="1">
        <v>0.16706398631161812</v>
      </c>
    </row>
    <row r="761" spans="1:9" x14ac:dyDescent="0.3">
      <c r="A761" t="s">
        <v>22</v>
      </c>
      <c r="B761">
        <v>2019</v>
      </c>
      <c r="C761">
        <v>4</v>
      </c>
      <c r="D761" t="s">
        <v>13</v>
      </c>
      <c r="E761">
        <v>11733</v>
      </c>
      <c r="F761" s="6">
        <v>14350825.325765317</v>
      </c>
      <c r="G761" s="5">
        <v>3889006</v>
      </c>
      <c r="H761">
        <v>69195973</v>
      </c>
      <c r="I761" s="1">
        <v>3.6901011018664711</v>
      </c>
    </row>
    <row r="762" spans="1:9" x14ac:dyDescent="0.3">
      <c r="A762" t="s">
        <v>22</v>
      </c>
      <c r="B762">
        <v>2020</v>
      </c>
      <c r="C762">
        <v>1</v>
      </c>
      <c r="D762" t="s">
        <v>10</v>
      </c>
      <c r="E762">
        <v>817198</v>
      </c>
      <c r="F762" s="6">
        <v>2851686768.6536841</v>
      </c>
      <c r="G762" s="5">
        <v>4310900</v>
      </c>
      <c r="H762">
        <v>78619563</v>
      </c>
      <c r="I762" s="1">
        <v>661.50612833832474</v>
      </c>
    </row>
    <row r="763" spans="1:9" x14ac:dyDescent="0.3">
      <c r="A763" t="s">
        <v>22</v>
      </c>
      <c r="B763">
        <v>2020</v>
      </c>
      <c r="C763">
        <v>1</v>
      </c>
      <c r="D763" t="s">
        <v>9</v>
      </c>
      <c r="E763">
        <v>678079</v>
      </c>
      <c r="F763" s="6">
        <v>244739382.20701858</v>
      </c>
      <c r="G763" s="5">
        <v>4310900</v>
      </c>
      <c r="H763">
        <v>78619563</v>
      </c>
      <c r="I763" s="1">
        <v>56.772224409524362</v>
      </c>
    </row>
    <row r="764" spans="1:9" x14ac:dyDescent="0.3">
      <c r="A764" t="s">
        <v>22</v>
      </c>
      <c r="B764">
        <v>2020</v>
      </c>
      <c r="C764">
        <v>1</v>
      </c>
      <c r="D764" t="s">
        <v>11</v>
      </c>
      <c r="E764">
        <v>373110</v>
      </c>
      <c r="F764" s="6">
        <v>298421548.10465711</v>
      </c>
      <c r="G764" s="5">
        <v>4310900</v>
      </c>
      <c r="H764">
        <v>78619563</v>
      </c>
      <c r="I764" s="1">
        <v>69.224882995350654</v>
      </c>
    </row>
    <row r="765" spans="1:9" x14ac:dyDescent="0.3">
      <c r="A765" t="s">
        <v>22</v>
      </c>
      <c r="B765">
        <v>2020</v>
      </c>
      <c r="C765">
        <v>1</v>
      </c>
      <c r="D765" t="s">
        <v>12</v>
      </c>
      <c r="E765">
        <v>1762</v>
      </c>
      <c r="F765" s="6">
        <v>1816477.5692472362</v>
      </c>
      <c r="G765" s="5">
        <v>4310900</v>
      </c>
      <c r="H765">
        <v>78619563</v>
      </c>
      <c r="I765" s="1">
        <v>0.42136852379949341</v>
      </c>
    </row>
    <row r="766" spans="1:9" x14ac:dyDescent="0.3">
      <c r="A766" t="s">
        <v>22</v>
      </c>
      <c r="B766">
        <v>2020</v>
      </c>
      <c r="C766">
        <v>1</v>
      </c>
      <c r="D766" t="s">
        <v>13</v>
      </c>
      <c r="E766">
        <v>11088</v>
      </c>
      <c r="F766" s="6">
        <v>13707055.389155574</v>
      </c>
      <c r="G766" s="5">
        <v>4310900</v>
      </c>
      <c r="H766">
        <v>78619563</v>
      </c>
      <c r="I766" s="1">
        <v>3.1796273142860132</v>
      </c>
    </row>
    <row r="767" spans="1:9" x14ac:dyDescent="0.3">
      <c r="A767" t="s">
        <v>22</v>
      </c>
      <c r="B767">
        <v>2020</v>
      </c>
      <c r="C767">
        <v>2</v>
      </c>
      <c r="D767" t="s">
        <v>9</v>
      </c>
      <c r="E767">
        <v>758617</v>
      </c>
      <c r="F767" s="6">
        <v>241196540.93798909</v>
      </c>
      <c r="G767" s="5">
        <v>4737029</v>
      </c>
      <c r="H767">
        <v>58411386</v>
      </c>
      <c r="I767" s="1">
        <v>50.91726078476384</v>
      </c>
    </row>
    <row r="768" spans="1:9" x14ac:dyDescent="0.3">
      <c r="A768" t="s">
        <v>22</v>
      </c>
      <c r="B768">
        <v>2020</v>
      </c>
      <c r="C768">
        <v>2</v>
      </c>
      <c r="D768" t="s">
        <v>10</v>
      </c>
      <c r="E768">
        <v>493326</v>
      </c>
      <c r="F768" s="6">
        <v>1766723888.2025127</v>
      </c>
      <c r="G768" s="5">
        <v>4737029</v>
      </c>
      <c r="H768">
        <v>58411386</v>
      </c>
      <c r="I768" s="1">
        <v>372.96032770804499</v>
      </c>
    </row>
    <row r="769" spans="1:9" x14ac:dyDescent="0.3">
      <c r="A769" t="s">
        <v>22</v>
      </c>
      <c r="B769">
        <v>2020</v>
      </c>
      <c r="C769">
        <v>2</v>
      </c>
      <c r="D769" t="s">
        <v>11</v>
      </c>
      <c r="E769">
        <v>221358</v>
      </c>
      <c r="F769" s="6">
        <v>168591711.94693565</v>
      </c>
      <c r="G769" s="5">
        <v>4737029</v>
      </c>
      <c r="H769">
        <v>58411386</v>
      </c>
      <c r="I769" s="1">
        <v>35.59017940294131</v>
      </c>
    </row>
    <row r="770" spans="1:9" x14ac:dyDescent="0.3">
      <c r="A770" t="s">
        <v>22</v>
      </c>
      <c r="B770">
        <v>2020</v>
      </c>
      <c r="C770">
        <v>2</v>
      </c>
      <c r="D770" t="s">
        <v>12</v>
      </c>
      <c r="E770">
        <v>3081</v>
      </c>
      <c r="F770" s="6">
        <v>3328361.3179877652</v>
      </c>
      <c r="G770" s="5">
        <v>4737029</v>
      </c>
      <c r="H770">
        <v>58411386</v>
      </c>
      <c r="I770" s="1">
        <v>0.70262633350730286</v>
      </c>
    </row>
    <row r="771" spans="1:9" x14ac:dyDescent="0.3">
      <c r="A771" t="s">
        <v>22</v>
      </c>
      <c r="B771">
        <v>2020</v>
      </c>
      <c r="C771">
        <v>2</v>
      </c>
      <c r="D771" t="s">
        <v>13</v>
      </c>
      <c r="E771">
        <v>5710</v>
      </c>
      <c r="F771" s="6">
        <v>3775927.611346662</v>
      </c>
      <c r="G771" s="5">
        <v>4737029</v>
      </c>
      <c r="H771">
        <v>58411386</v>
      </c>
      <c r="I771" s="1">
        <v>0.79710882313506248</v>
      </c>
    </row>
    <row r="772" spans="1:9" x14ac:dyDescent="0.3">
      <c r="A772" t="s">
        <v>22</v>
      </c>
      <c r="B772">
        <v>2020</v>
      </c>
      <c r="C772">
        <v>3</v>
      </c>
      <c r="D772" t="s">
        <v>10</v>
      </c>
      <c r="E772">
        <v>759351</v>
      </c>
      <c r="F772" s="6">
        <v>2723430713.3444066</v>
      </c>
      <c r="G772" s="5">
        <v>5224582</v>
      </c>
      <c r="H772">
        <v>67427426</v>
      </c>
      <c r="I772" s="1">
        <v>521.27246033164124</v>
      </c>
    </row>
    <row r="773" spans="1:9" x14ac:dyDescent="0.3">
      <c r="A773" t="s">
        <v>22</v>
      </c>
      <c r="B773">
        <v>2020</v>
      </c>
      <c r="C773">
        <v>3</v>
      </c>
      <c r="D773" t="s">
        <v>9</v>
      </c>
      <c r="E773">
        <v>696770</v>
      </c>
      <c r="F773" s="6">
        <v>280187505.03393549</v>
      </c>
      <c r="G773" s="5">
        <v>5224582</v>
      </c>
      <c r="H773">
        <v>67427426</v>
      </c>
      <c r="I773" s="1">
        <v>53.628693172762048</v>
      </c>
    </row>
    <row r="774" spans="1:9" x14ac:dyDescent="0.3">
      <c r="A774" t="s">
        <v>22</v>
      </c>
      <c r="B774">
        <v>2020</v>
      </c>
      <c r="C774">
        <v>3</v>
      </c>
      <c r="D774" t="s">
        <v>11</v>
      </c>
      <c r="E774">
        <v>446880</v>
      </c>
      <c r="F774" s="6">
        <v>353193881.4783259</v>
      </c>
      <c r="G774" s="5">
        <v>5224582</v>
      </c>
      <c r="H774">
        <v>67427426</v>
      </c>
      <c r="I774" s="1">
        <v>67.602323301333186</v>
      </c>
    </row>
    <row r="775" spans="1:9" x14ac:dyDescent="0.3">
      <c r="A775" t="s">
        <v>22</v>
      </c>
      <c r="B775">
        <v>2020</v>
      </c>
      <c r="C775">
        <v>3</v>
      </c>
      <c r="D775" t="s">
        <v>12</v>
      </c>
      <c r="E775">
        <v>4985</v>
      </c>
      <c r="F775" s="6">
        <v>6418950.4668479636</v>
      </c>
      <c r="G775" s="5">
        <v>5224582</v>
      </c>
      <c r="H775">
        <v>67427426</v>
      </c>
      <c r="I775" s="1">
        <v>1.2286055548267716</v>
      </c>
    </row>
    <row r="776" spans="1:9" x14ac:dyDescent="0.3">
      <c r="A776" t="s">
        <v>22</v>
      </c>
      <c r="B776">
        <v>2020</v>
      </c>
      <c r="C776">
        <v>3</v>
      </c>
      <c r="D776" t="s">
        <v>13</v>
      </c>
      <c r="E776">
        <v>7545</v>
      </c>
      <c r="F776" s="6">
        <v>5112530.6211444223</v>
      </c>
      <c r="G776" s="5">
        <v>5224582</v>
      </c>
      <c r="H776">
        <v>67427426</v>
      </c>
      <c r="I776" s="1">
        <v>0.97855304427118228</v>
      </c>
    </row>
    <row r="777" spans="1:9" x14ac:dyDescent="0.3">
      <c r="A777" t="s">
        <v>22</v>
      </c>
      <c r="B777">
        <v>2020</v>
      </c>
      <c r="C777">
        <v>4</v>
      </c>
      <c r="D777" t="s">
        <v>10</v>
      </c>
      <c r="E777">
        <v>1550251</v>
      </c>
      <c r="F777" s="6">
        <v>5407626413.0433464</v>
      </c>
      <c r="G777" s="5">
        <v>5803424</v>
      </c>
      <c r="H777">
        <v>120902298</v>
      </c>
      <c r="I777" s="1">
        <v>931.79929866288353</v>
      </c>
    </row>
    <row r="778" spans="1:9" x14ac:dyDescent="0.3">
      <c r="A778" t="s">
        <v>22</v>
      </c>
      <c r="B778">
        <v>2020</v>
      </c>
      <c r="C778">
        <v>4</v>
      </c>
      <c r="D778" t="s">
        <v>11</v>
      </c>
      <c r="E778">
        <v>1389834</v>
      </c>
      <c r="F778" s="6">
        <v>1123844212.5171819</v>
      </c>
      <c r="G778" s="5">
        <v>5803424</v>
      </c>
      <c r="H778">
        <v>120902298</v>
      </c>
      <c r="I778" s="1">
        <v>193.65192212686543</v>
      </c>
    </row>
    <row r="779" spans="1:9" x14ac:dyDescent="0.3">
      <c r="A779" t="s">
        <v>22</v>
      </c>
      <c r="B779">
        <v>2020</v>
      </c>
      <c r="C779">
        <v>4</v>
      </c>
      <c r="D779" t="s">
        <v>9</v>
      </c>
      <c r="E779">
        <v>839199</v>
      </c>
      <c r="F779" s="6">
        <v>345088772.37849188</v>
      </c>
      <c r="G779" s="5">
        <v>5803424</v>
      </c>
      <c r="H779">
        <v>120902298</v>
      </c>
      <c r="I779" s="1">
        <v>59.462960551993426</v>
      </c>
    </row>
    <row r="780" spans="1:9" x14ac:dyDescent="0.3">
      <c r="A780" t="s">
        <v>22</v>
      </c>
      <c r="B780">
        <v>2020</v>
      </c>
      <c r="C780">
        <v>4</v>
      </c>
      <c r="D780" t="s">
        <v>12</v>
      </c>
      <c r="E780">
        <v>7287</v>
      </c>
      <c r="F780" s="6">
        <v>10386560.386677971</v>
      </c>
      <c r="G780" s="5">
        <v>5803424</v>
      </c>
      <c r="H780">
        <v>120902298</v>
      </c>
      <c r="I780" s="1">
        <v>1.7897297158846177</v>
      </c>
    </row>
    <row r="781" spans="1:9" x14ac:dyDescent="0.3">
      <c r="A781" t="s">
        <v>22</v>
      </c>
      <c r="B781">
        <v>2020</v>
      </c>
      <c r="C781">
        <v>4</v>
      </c>
      <c r="D781" t="s">
        <v>13</v>
      </c>
      <c r="E781">
        <v>14810</v>
      </c>
      <c r="F781" s="6">
        <v>12846789.254236266</v>
      </c>
      <c r="G781" s="5">
        <v>5803424</v>
      </c>
      <c r="H781">
        <v>120902298</v>
      </c>
      <c r="I781" s="1">
        <v>2.2136568436557913</v>
      </c>
    </row>
    <row r="782" spans="1:9" x14ac:dyDescent="0.3">
      <c r="A782" t="s">
        <v>22</v>
      </c>
      <c r="B782">
        <v>2021</v>
      </c>
      <c r="C782">
        <v>1</v>
      </c>
      <c r="D782" t="s">
        <v>10</v>
      </c>
      <c r="E782">
        <v>2235456</v>
      </c>
      <c r="F782" s="6">
        <v>7553384653.1681995</v>
      </c>
      <c r="G782" s="5">
        <v>6270385</v>
      </c>
      <c r="H782">
        <v>170144392</v>
      </c>
      <c r="I782" s="1">
        <v>1204.6125801156068</v>
      </c>
    </row>
    <row r="783" spans="1:9" x14ac:dyDescent="0.3">
      <c r="A783" t="s">
        <v>22</v>
      </c>
      <c r="B783">
        <v>2021</v>
      </c>
      <c r="C783">
        <v>1</v>
      </c>
      <c r="D783" t="s">
        <v>11</v>
      </c>
      <c r="E783">
        <v>2195509</v>
      </c>
      <c r="F783" s="6">
        <v>1768358976.7158575</v>
      </c>
      <c r="G783" s="5">
        <v>6270385</v>
      </c>
      <c r="H783">
        <v>170144392</v>
      </c>
      <c r="I783" s="1">
        <v>282.01760764544082</v>
      </c>
    </row>
    <row r="784" spans="1:9" x14ac:dyDescent="0.3">
      <c r="A784" t="s">
        <v>22</v>
      </c>
      <c r="B784">
        <v>2021</v>
      </c>
      <c r="C784">
        <v>1</v>
      </c>
      <c r="D784" t="s">
        <v>9</v>
      </c>
      <c r="E784">
        <v>880682</v>
      </c>
      <c r="F784" s="6">
        <v>410604192.72688991</v>
      </c>
      <c r="G784" s="5">
        <v>6270385</v>
      </c>
      <c r="H784">
        <v>170144392</v>
      </c>
      <c r="I784" s="1">
        <v>65.483091186089837</v>
      </c>
    </row>
    <row r="785" spans="1:9" x14ac:dyDescent="0.3">
      <c r="A785" t="s">
        <v>22</v>
      </c>
      <c r="B785">
        <v>2021</v>
      </c>
      <c r="C785">
        <v>1</v>
      </c>
      <c r="D785" t="s">
        <v>12</v>
      </c>
      <c r="E785">
        <v>8138</v>
      </c>
      <c r="F785" s="6">
        <v>12207778.148638733</v>
      </c>
      <c r="G785" s="5">
        <v>6270385</v>
      </c>
      <c r="H785">
        <v>170144392</v>
      </c>
      <c r="I785" s="1">
        <v>1.9468945126397714</v>
      </c>
    </row>
    <row r="786" spans="1:9" x14ac:dyDescent="0.3">
      <c r="A786" t="s">
        <v>22</v>
      </c>
      <c r="B786">
        <v>2021</v>
      </c>
      <c r="C786">
        <v>1</v>
      </c>
      <c r="D786" t="s">
        <v>13</v>
      </c>
      <c r="E786">
        <v>11764</v>
      </c>
      <c r="F786" s="6">
        <v>12687278.261839289</v>
      </c>
      <c r="G786" s="5">
        <v>6270385</v>
      </c>
      <c r="H786">
        <v>170144392</v>
      </c>
      <c r="I786" s="1">
        <v>2.0233651142376887</v>
      </c>
    </row>
    <row r="787" spans="1:9" x14ac:dyDescent="0.3">
      <c r="A787" t="s">
        <v>22</v>
      </c>
      <c r="B787">
        <v>2021</v>
      </c>
      <c r="C787">
        <v>2</v>
      </c>
      <c r="D787" t="s">
        <v>11</v>
      </c>
      <c r="E787">
        <v>1869384</v>
      </c>
      <c r="F787" s="6">
        <v>1411529033.6650195</v>
      </c>
      <c r="G787" s="5">
        <v>6700166</v>
      </c>
      <c r="H787">
        <v>139813971</v>
      </c>
      <c r="I787" s="1">
        <v>210.6707555700888</v>
      </c>
    </row>
    <row r="788" spans="1:9" x14ac:dyDescent="0.3">
      <c r="A788" t="s">
        <v>22</v>
      </c>
      <c r="B788">
        <v>2021</v>
      </c>
      <c r="C788">
        <v>2</v>
      </c>
      <c r="D788" t="s">
        <v>10</v>
      </c>
      <c r="E788">
        <v>1866837</v>
      </c>
      <c r="F788" s="6">
        <v>6195032351.1772556</v>
      </c>
      <c r="G788" s="5">
        <v>6700166</v>
      </c>
      <c r="H788">
        <v>139813971</v>
      </c>
      <c r="I788" s="1">
        <v>924.60878598787781</v>
      </c>
    </row>
    <row r="789" spans="1:9" x14ac:dyDescent="0.3">
      <c r="A789" t="s">
        <v>22</v>
      </c>
      <c r="B789">
        <v>2021</v>
      </c>
      <c r="C789">
        <v>2</v>
      </c>
      <c r="D789" t="s">
        <v>9</v>
      </c>
      <c r="E789">
        <v>953219</v>
      </c>
      <c r="F789" s="6">
        <v>383804809.3560881</v>
      </c>
      <c r="G789" s="5">
        <v>6700166</v>
      </c>
      <c r="H789">
        <v>139813971</v>
      </c>
      <c r="I789" s="1">
        <v>57.28288065640286</v>
      </c>
    </row>
    <row r="790" spans="1:9" x14ac:dyDescent="0.3">
      <c r="A790" t="s">
        <v>22</v>
      </c>
      <c r="B790">
        <v>2021</v>
      </c>
      <c r="C790">
        <v>2</v>
      </c>
      <c r="D790" t="s">
        <v>12</v>
      </c>
      <c r="E790">
        <v>8303</v>
      </c>
      <c r="F790" s="6">
        <v>12371843.844825167</v>
      </c>
      <c r="G790" s="5">
        <v>6700166</v>
      </c>
      <c r="H790">
        <v>139813971</v>
      </c>
      <c r="I790" s="1">
        <v>1.8464981083789815</v>
      </c>
    </row>
    <row r="791" spans="1:9" x14ac:dyDescent="0.3">
      <c r="A791" t="s">
        <v>22</v>
      </c>
      <c r="B791">
        <v>2021</v>
      </c>
      <c r="C791">
        <v>2</v>
      </c>
      <c r="D791" t="s">
        <v>13</v>
      </c>
      <c r="E791">
        <v>12392</v>
      </c>
      <c r="F791" s="6">
        <v>10115549.032816991</v>
      </c>
      <c r="G791" s="5">
        <v>6700166</v>
      </c>
      <c r="H791">
        <v>139813971</v>
      </c>
      <c r="I791" s="1">
        <v>1.5097460320859202</v>
      </c>
    </row>
    <row r="792" spans="1:9" x14ac:dyDescent="0.3">
      <c r="A792" t="s">
        <v>22</v>
      </c>
      <c r="B792">
        <v>2021</v>
      </c>
      <c r="C792">
        <v>3</v>
      </c>
      <c r="D792" t="s">
        <v>11</v>
      </c>
      <c r="E792">
        <v>2865625</v>
      </c>
      <c r="F792" s="6">
        <v>2143135314.8979311</v>
      </c>
      <c r="G792" s="5">
        <v>7188038</v>
      </c>
      <c r="H792">
        <v>182326221</v>
      </c>
      <c r="I792" s="1">
        <v>298.15303075720124</v>
      </c>
    </row>
    <row r="793" spans="1:9" x14ac:dyDescent="0.3">
      <c r="A793" t="s">
        <v>22</v>
      </c>
      <c r="B793">
        <v>2021</v>
      </c>
      <c r="C793">
        <v>3</v>
      </c>
      <c r="D793" t="s">
        <v>10</v>
      </c>
      <c r="E793">
        <v>2560305</v>
      </c>
      <c r="F793" s="6">
        <v>7871092673.1372986</v>
      </c>
      <c r="G793" s="5">
        <v>7188038</v>
      </c>
      <c r="H793">
        <v>182326221</v>
      </c>
      <c r="I793" s="1">
        <v>1095.0265807077394</v>
      </c>
    </row>
    <row r="794" spans="1:9" x14ac:dyDescent="0.3">
      <c r="A794" t="s">
        <v>22</v>
      </c>
      <c r="B794">
        <v>2021</v>
      </c>
      <c r="C794">
        <v>3</v>
      </c>
      <c r="D794" t="s">
        <v>9</v>
      </c>
      <c r="E794">
        <v>1017351</v>
      </c>
      <c r="F794" s="6">
        <v>438838003.22982365</v>
      </c>
      <c r="G794" s="5">
        <v>7188038</v>
      </c>
      <c r="H794">
        <v>182326221</v>
      </c>
      <c r="I794" s="1">
        <v>61.051152377021886</v>
      </c>
    </row>
    <row r="795" spans="1:9" x14ac:dyDescent="0.3">
      <c r="A795" t="s">
        <v>22</v>
      </c>
      <c r="B795">
        <v>2021</v>
      </c>
      <c r="C795">
        <v>3</v>
      </c>
      <c r="D795" t="s">
        <v>12</v>
      </c>
      <c r="E795">
        <v>8337</v>
      </c>
      <c r="F795" s="6">
        <v>12943224.073821461</v>
      </c>
      <c r="G795" s="5">
        <v>7188038</v>
      </c>
      <c r="H795">
        <v>182326221</v>
      </c>
      <c r="I795" s="1">
        <v>1.800661609443559</v>
      </c>
    </row>
    <row r="796" spans="1:9" x14ac:dyDescent="0.3">
      <c r="A796" t="s">
        <v>22</v>
      </c>
      <c r="B796">
        <v>2021</v>
      </c>
      <c r="C796">
        <v>3</v>
      </c>
      <c r="D796" t="s">
        <v>13</v>
      </c>
      <c r="E796">
        <v>16145</v>
      </c>
      <c r="F796" s="6">
        <v>12416377.597493527</v>
      </c>
      <c r="G796" s="5">
        <v>7188038</v>
      </c>
      <c r="H796">
        <v>182326221</v>
      </c>
      <c r="I796" s="1">
        <v>1.7273667164104485</v>
      </c>
    </row>
    <row r="797" spans="1:9" x14ac:dyDescent="0.3">
      <c r="A797" t="s">
        <v>22</v>
      </c>
      <c r="B797">
        <v>2021</v>
      </c>
      <c r="C797">
        <v>4</v>
      </c>
      <c r="D797" t="s">
        <v>11</v>
      </c>
      <c r="E797">
        <v>5474662</v>
      </c>
      <c r="F797" s="6">
        <v>4384250602.9370384</v>
      </c>
      <c r="G797" s="5">
        <v>7668958</v>
      </c>
      <c r="H797">
        <v>311170794</v>
      </c>
      <c r="I797" s="1">
        <v>571.68791417778505</v>
      </c>
    </row>
    <row r="798" spans="1:9" x14ac:dyDescent="0.3">
      <c r="A798" t="s">
        <v>22</v>
      </c>
      <c r="B798">
        <v>2021</v>
      </c>
      <c r="C798">
        <v>4</v>
      </c>
      <c r="D798" t="s">
        <v>10</v>
      </c>
      <c r="E798">
        <v>4408822</v>
      </c>
      <c r="F798" s="6">
        <v>13618351952.666094</v>
      </c>
      <c r="G798" s="5">
        <v>7668958</v>
      </c>
      <c r="H798">
        <v>311170794</v>
      </c>
      <c r="I798" s="1">
        <v>1775.7760510184166</v>
      </c>
    </row>
    <row r="799" spans="1:9" x14ac:dyDescent="0.3">
      <c r="A799" t="s">
        <v>22</v>
      </c>
      <c r="B799">
        <v>2021</v>
      </c>
      <c r="C799">
        <v>4</v>
      </c>
      <c r="D799" t="s">
        <v>9</v>
      </c>
      <c r="E799">
        <v>1170180</v>
      </c>
      <c r="F799" s="6">
        <v>585734312.40637267</v>
      </c>
      <c r="G799" s="5">
        <v>7668958</v>
      </c>
      <c r="H799">
        <v>311170794</v>
      </c>
      <c r="I799" s="1">
        <v>76.377300854480183</v>
      </c>
    </row>
    <row r="800" spans="1:9" x14ac:dyDescent="0.3">
      <c r="A800" t="s">
        <v>22</v>
      </c>
      <c r="B800">
        <v>2021</v>
      </c>
      <c r="C800">
        <v>4</v>
      </c>
      <c r="D800" t="s">
        <v>12</v>
      </c>
      <c r="E800">
        <v>11320</v>
      </c>
      <c r="F800" s="6">
        <v>17101084.66037453</v>
      </c>
      <c r="G800" s="5">
        <v>7668958</v>
      </c>
      <c r="H800">
        <v>311170794</v>
      </c>
      <c r="I800" s="1">
        <v>2.2299098078740984</v>
      </c>
    </row>
    <row r="801" spans="1:9" x14ac:dyDescent="0.3">
      <c r="A801" t="s">
        <v>22</v>
      </c>
      <c r="B801">
        <v>2021</v>
      </c>
      <c r="C801">
        <v>4</v>
      </c>
      <c r="D801" t="s">
        <v>13</v>
      </c>
      <c r="E801">
        <v>23775</v>
      </c>
      <c r="F801" s="6">
        <v>21819163.199774399</v>
      </c>
      <c r="G801" s="5">
        <v>7668958</v>
      </c>
      <c r="H801">
        <v>311170794</v>
      </c>
      <c r="I801" s="1">
        <v>2.8451274866513026</v>
      </c>
    </row>
    <row r="802" spans="1:9" x14ac:dyDescent="0.3">
      <c r="A802" t="s">
        <v>23</v>
      </c>
      <c r="B802">
        <v>2018</v>
      </c>
      <c r="C802">
        <v>1</v>
      </c>
      <c r="D802" t="s">
        <v>9</v>
      </c>
      <c r="E802">
        <v>3691952</v>
      </c>
      <c r="F802" s="6">
        <v>878929080.9916563</v>
      </c>
      <c r="G802" s="5">
        <v>29590528</v>
      </c>
      <c r="H802">
        <v>0</v>
      </c>
      <c r="I802" s="1">
        <v>29.703055011105455</v>
      </c>
    </row>
    <row r="803" spans="1:9" x14ac:dyDescent="0.3">
      <c r="A803" t="s">
        <v>23</v>
      </c>
      <c r="B803">
        <v>2018</v>
      </c>
      <c r="C803">
        <v>1</v>
      </c>
      <c r="D803" t="s">
        <v>10</v>
      </c>
      <c r="E803">
        <v>1738974</v>
      </c>
      <c r="F803" s="6">
        <v>6318864759.8880663</v>
      </c>
      <c r="G803" s="5">
        <v>29590528</v>
      </c>
      <c r="H803">
        <v>0</v>
      </c>
      <c r="I803" s="1">
        <v>213.54349472534139</v>
      </c>
    </row>
    <row r="804" spans="1:9" x14ac:dyDescent="0.3">
      <c r="A804" t="s">
        <v>23</v>
      </c>
      <c r="B804">
        <v>2018</v>
      </c>
      <c r="C804">
        <v>1</v>
      </c>
      <c r="D804" t="s">
        <v>11</v>
      </c>
      <c r="E804">
        <v>145436</v>
      </c>
      <c r="F804" s="6">
        <v>166036667.57089135</v>
      </c>
      <c r="G804" s="5">
        <v>29590528</v>
      </c>
      <c r="H804">
        <v>0</v>
      </c>
      <c r="I804" s="1">
        <v>5.6111424429767309</v>
      </c>
    </row>
    <row r="805" spans="1:9" x14ac:dyDescent="0.3">
      <c r="A805" t="s">
        <v>23</v>
      </c>
      <c r="B805">
        <v>2018</v>
      </c>
      <c r="C805">
        <v>1</v>
      </c>
      <c r="D805" t="s">
        <v>12</v>
      </c>
      <c r="E805">
        <v>122117</v>
      </c>
      <c r="F805" s="6">
        <v>27986679.009713165</v>
      </c>
      <c r="G805" s="5">
        <v>29590528</v>
      </c>
      <c r="H805">
        <v>0</v>
      </c>
      <c r="I805" s="1">
        <v>0.94579856803207996</v>
      </c>
    </row>
    <row r="806" spans="1:9" x14ac:dyDescent="0.3">
      <c r="A806" t="s">
        <v>23</v>
      </c>
      <c r="B806">
        <v>2018</v>
      </c>
      <c r="C806">
        <v>1</v>
      </c>
      <c r="D806" t="s">
        <v>13</v>
      </c>
      <c r="E806">
        <v>250296</v>
      </c>
      <c r="F806" s="6">
        <v>186165067.5737218</v>
      </c>
      <c r="G806" s="5">
        <v>29590528</v>
      </c>
      <c r="H806">
        <v>0</v>
      </c>
      <c r="I806" s="1">
        <v>6.2913736305658956</v>
      </c>
    </row>
    <row r="807" spans="1:9" x14ac:dyDescent="0.3">
      <c r="A807" t="s">
        <v>23</v>
      </c>
      <c r="B807">
        <v>2018</v>
      </c>
      <c r="C807">
        <v>2</v>
      </c>
      <c r="D807" t="s">
        <v>9</v>
      </c>
      <c r="E807">
        <v>4643367</v>
      </c>
      <c r="F807" s="6">
        <v>1571880396.3779531</v>
      </c>
      <c r="G807" s="5">
        <v>39224075</v>
      </c>
      <c r="H807">
        <v>0</v>
      </c>
      <c r="I807" s="1">
        <v>40.074377697318624</v>
      </c>
    </row>
    <row r="808" spans="1:9" x14ac:dyDescent="0.3">
      <c r="A808" t="s">
        <v>23</v>
      </c>
      <c r="B808">
        <v>2018</v>
      </c>
      <c r="C808">
        <v>2</v>
      </c>
      <c r="D808" t="s">
        <v>10</v>
      </c>
      <c r="E808">
        <v>2483231</v>
      </c>
      <c r="F808" s="6">
        <v>10009680530.386887</v>
      </c>
      <c r="G808" s="5">
        <v>39224075</v>
      </c>
      <c r="H808">
        <v>0</v>
      </c>
      <c r="I808" s="1">
        <v>255.19226470954092</v>
      </c>
    </row>
    <row r="809" spans="1:9" x14ac:dyDescent="0.3">
      <c r="A809" t="s">
        <v>23</v>
      </c>
      <c r="B809">
        <v>2018</v>
      </c>
      <c r="C809">
        <v>2</v>
      </c>
      <c r="D809" t="s">
        <v>11</v>
      </c>
      <c r="E809">
        <v>275503</v>
      </c>
      <c r="F809" s="6">
        <v>356984574.12055731</v>
      </c>
      <c r="G809" s="5">
        <v>39224075</v>
      </c>
      <c r="H809">
        <v>0</v>
      </c>
      <c r="I809" s="1">
        <v>9.101159788231012</v>
      </c>
    </row>
    <row r="810" spans="1:9" x14ac:dyDescent="0.3">
      <c r="A810" t="s">
        <v>23</v>
      </c>
      <c r="B810">
        <v>2018</v>
      </c>
      <c r="C810">
        <v>2</v>
      </c>
      <c r="D810" t="s">
        <v>12</v>
      </c>
      <c r="E810">
        <v>140704</v>
      </c>
      <c r="F810" s="6">
        <v>38598263.228380308</v>
      </c>
      <c r="G810" s="5">
        <v>39224075</v>
      </c>
      <c r="H810">
        <v>0</v>
      </c>
      <c r="I810" s="1">
        <v>0.98404521275212498</v>
      </c>
    </row>
    <row r="811" spans="1:9" x14ac:dyDescent="0.3">
      <c r="A811" t="s">
        <v>23</v>
      </c>
      <c r="B811">
        <v>2018</v>
      </c>
      <c r="C811">
        <v>2</v>
      </c>
      <c r="D811" t="s">
        <v>13</v>
      </c>
      <c r="E811">
        <v>202928</v>
      </c>
      <c r="F811" s="6">
        <v>185541007.52725801</v>
      </c>
      <c r="G811" s="5">
        <v>39224075</v>
      </c>
      <c r="H811">
        <v>0</v>
      </c>
      <c r="I811" s="1">
        <v>4.7302838251063415</v>
      </c>
    </row>
    <row r="812" spans="1:9" x14ac:dyDescent="0.3">
      <c r="A812" t="s">
        <v>23</v>
      </c>
      <c r="B812">
        <v>2018</v>
      </c>
      <c r="C812">
        <v>3</v>
      </c>
      <c r="D812" t="s">
        <v>10</v>
      </c>
      <c r="E812">
        <v>5287200</v>
      </c>
      <c r="F812" s="6">
        <v>15272745137.759302</v>
      </c>
      <c r="G812" s="5">
        <v>48765013</v>
      </c>
      <c r="H812">
        <v>0</v>
      </c>
      <c r="I812" s="1">
        <v>313.19062988375094</v>
      </c>
    </row>
    <row r="813" spans="1:9" x14ac:dyDescent="0.3">
      <c r="A813" t="s">
        <v>23</v>
      </c>
      <c r="B813">
        <v>2018</v>
      </c>
      <c r="C813">
        <v>3</v>
      </c>
      <c r="D813" t="s">
        <v>9</v>
      </c>
      <c r="E813">
        <v>5117168</v>
      </c>
      <c r="F813" s="6">
        <v>1938041688.9678535</v>
      </c>
      <c r="G813" s="5">
        <v>48765013</v>
      </c>
      <c r="H813">
        <v>0</v>
      </c>
      <c r="I813" s="1">
        <v>39.742462264243699</v>
      </c>
    </row>
    <row r="814" spans="1:9" x14ac:dyDescent="0.3">
      <c r="A814" t="s">
        <v>23</v>
      </c>
      <c r="B814">
        <v>2018</v>
      </c>
      <c r="C814">
        <v>3</v>
      </c>
      <c r="D814" t="s">
        <v>11</v>
      </c>
      <c r="E814">
        <v>573440</v>
      </c>
      <c r="F814" s="6">
        <v>466209496.80151117</v>
      </c>
      <c r="G814" s="5">
        <v>48765013</v>
      </c>
      <c r="H814">
        <v>0</v>
      </c>
      <c r="I814" s="1">
        <v>9.5603275405978287</v>
      </c>
    </row>
    <row r="815" spans="1:9" x14ac:dyDescent="0.3">
      <c r="A815" t="s">
        <v>23</v>
      </c>
      <c r="B815">
        <v>2018</v>
      </c>
      <c r="C815">
        <v>3</v>
      </c>
      <c r="D815" t="s">
        <v>12</v>
      </c>
      <c r="E815">
        <v>136468</v>
      </c>
      <c r="F815" s="6">
        <v>24930605.607339725</v>
      </c>
      <c r="G815" s="5">
        <v>48765013</v>
      </c>
      <c r="H815">
        <v>0</v>
      </c>
      <c r="I815" s="1">
        <v>0.51123959727724722</v>
      </c>
    </row>
    <row r="816" spans="1:9" x14ac:dyDescent="0.3">
      <c r="A816" t="s">
        <v>23</v>
      </c>
      <c r="B816">
        <v>2018</v>
      </c>
      <c r="C816">
        <v>3</v>
      </c>
      <c r="D816" t="s">
        <v>13</v>
      </c>
      <c r="E816">
        <v>219873</v>
      </c>
      <c r="F816" s="6">
        <v>164477497.1394802</v>
      </c>
      <c r="G816" s="5">
        <v>48765013</v>
      </c>
      <c r="H816">
        <v>0</v>
      </c>
      <c r="I816" s="1">
        <v>3.3728586751218583</v>
      </c>
    </row>
    <row r="817" spans="1:9" x14ac:dyDescent="0.3">
      <c r="A817" t="s">
        <v>23</v>
      </c>
      <c r="B817">
        <v>2018</v>
      </c>
      <c r="C817">
        <v>4</v>
      </c>
      <c r="D817" t="s">
        <v>10</v>
      </c>
      <c r="E817">
        <v>6488202</v>
      </c>
      <c r="F817" s="6">
        <v>21207285184.780193</v>
      </c>
      <c r="G817" s="5">
        <v>61369440</v>
      </c>
      <c r="H817">
        <v>0</v>
      </c>
      <c r="I817" s="1">
        <v>345.56752000311872</v>
      </c>
    </row>
    <row r="818" spans="1:9" x14ac:dyDescent="0.3">
      <c r="A818" t="s">
        <v>23</v>
      </c>
      <c r="B818">
        <v>2018</v>
      </c>
      <c r="C818">
        <v>4</v>
      </c>
      <c r="D818" t="s">
        <v>9</v>
      </c>
      <c r="E818">
        <v>6138404</v>
      </c>
      <c r="F818" s="6">
        <v>2297332323.0815277</v>
      </c>
      <c r="G818" s="5">
        <v>61369440</v>
      </c>
      <c r="H818">
        <v>0</v>
      </c>
      <c r="I818" s="1">
        <v>37.434467759222308</v>
      </c>
    </row>
    <row r="819" spans="1:9" x14ac:dyDescent="0.3">
      <c r="A819" t="s">
        <v>23</v>
      </c>
      <c r="B819">
        <v>2018</v>
      </c>
      <c r="C819">
        <v>4</v>
      </c>
      <c r="D819" t="s">
        <v>11</v>
      </c>
      <c r="E819">
        <v>1656377</v>
      </c>
      <c r="F819" s="6">
        <v>1088373316.0580251</v>
      </c>
      <c r="G819" s="5">
        <v>61369440</v>
      </c>
      <c r="H819">
        <v>0</v>
      </c>
      <c r="I819" s="1">
        <v>17.7347767236922</v>
      </c>
    </row>
    <row r="820" spans="1:9" x14ac:dyDescent="0.3">
      <c r="A820" t="s">
        <v>23</v>
      </c>
      <c r="B820">
        <v>2018</v>
      </c>
      <c r="C820">
        <v>4</v>
      </c>
      <c r="D820" t="s">
        <v>12</v>
      </c>
      <c r="E820">
        <v>133915</v>
      </c>
      <c r="F820" s="6">
        <v>30699273.165070001</v>
      </c>
      <c r="G820" s="5">
        <v>61369440</v>
      </c>
      <c r="H820">
        <v>0</v>
      </c>
      <c r="I820" s="1">
        <v>0.50023714026183064</v>
      </c>
    </row>
    <row r="821" spans="1:9" x14ac:dyDescent="0.3">
      <c r="A821" t="s">
        <v>23</v>
      </c>
      <c r="B821">
        <v>2018</v>
      </c>
      <c r="C821">
        <v>4</v>
      </c>
      <c r="D821" t="s">
        <v>13</v>
      </c>
      <c r="E821">
        <v>316405</v>
      </c>
      <c r="F821" s="6">
        <v>207297005.69778407</v>
      </c>
      <c r="G821" s="5">
        <v>61369440</v>
      </c>
      <c r="H821">
        <v>0</v>
      </c>
      <c r="I821" s="1">
        <v>3.3778539562652692</v>
      </c>
    </row>
    <row r="822" spans="1:9" x14ac:dyDescent="0.3">
      <c r="A822" t="s">
        <v>23</v>
      </c>
      <c r="B822">
        <v>2019</v>
      </c>
      <c r="C822">
        <v>1</v>
      </c>
      <c r="D822" t="s">
        <v>10</v>
      </c>
      <c r="E822">
        <v>13465044</v>
      </c>
      <c r="F822" s="6">
        <v>31231285551.308655</v>
      </c>
      <c r="G822" s="5">
        <v>73177896</v>
      </c>
      <c r="H822">
        <v>0</v>
      </c>
      <c r="I822" s="1">
        <v>426.78578175175539</v>
      </c>
    </row>
    <row r="823" spans="1:9" x14ac:dyDescent="0.3">
      <c r="A823" t="s">
        <v>23</v>
      </c>
      <c r="B823">
        <v>2019</v>
      </c>
      <c r="C823">
        <v>1</v>
      </c>
      <c r="D823" t="s">
        <v>9</v>
      </c>
      <c r="E823">
        <v>8595256</v>
      </c>
      <c r="F823" s="6">
        <v>3104251732.6516943</v>
      </c>
      <c r="G823" s="5">
        <v>73177896</v>
      </c>
      <c r="H823">
        <v>0</v>
      </c>
      <c r="I823" s="1">
        <v>42.420620191808936</v>
      </c>
    </row>
    <row r="824" spans="1:9" x14ac:dyDescent="0.3">
      <c r="A824" t="s">
        <v>23</v>
      </c>
      <c r="B824">
        <v>2019</v>
      </c>
      <c r="C824">
        <v>1</v>
      </c>
      <c r="D824" t="s">
        <v>11</v>
      </c>
      <c r="E824">
        <v>2493340</v>
      </c>
      <c r="F824" s="6">
        <v>1296376125.1752787</v>
      </c>
      <c r="G824" s="5">
        <v>73177896</v>
      </c>
      <c r="H824">
        <v>0</v>
      </c>
      <c r="I824" s="1">
        <v>17.715405826580184</v>
      </c>
    </row>
    <row r="825" spans="1:9" x14ac:dyDescent="0.3">
      <c r="A825" t="s">
        <v>23</v>
      </c>
      <c r="B825">
        <v>2019</v>
      </c>
      <c r="C825">
        <v>1</v>
      </c>
      <c r="D825" t="s">
        <v>12</v>
      </c>
      <c r="E825">
        <v>114539</v>
      </c>
      <c r="F825" s="6">
        <v>19581520.569400217</v>
      </c>
      <c r="G825" s="5">
        <v>73177896</v>
      </c>
      <c r="H825">
        <v>0</v>
      </c>
      <c r="I825" s="1">
        <v>0.26758791438059681</v>
      </c>
    </row>
    <row r="826" spans="1:9" x14ac:dyDescent="0.3">
      <c r="A826" t="s">
        <v>23</v>
      </c>
      <c r="B826">
        <v>2019</v>
      </c>
      <c r="C826">
        <v>1</v>
      </c>
      <c r="D826" t="s">
        <v>13</v>
      </c>
      <c r="E826">
        <v>323272</v>
      </c>
      <c r="F826" s="6">
        <v>204585378.77191538</v>
      </c>
      <c r="G826" s="5">
        <v>73177896</v>
      </c>
      <c r="H826">
        <v>0</v>
      </c>
      <c r="I826" s="1">
        <v>2.7957264413821816</v>
      </c>
    </row>
    <row r="827" spans="1:9" x14ac:dyDescent="0.3">
      <c r="A827" t="s">
        <v>23</v>
      </c>
      <c r="B827">
        <v>2019</v>
      </c>
      <c r="C827">
        <v>2</v>
      </c>
      <c r="D827" t="s">
        <v>10</v>
      </c>
      <c r="E827">
        <v>12547493</v>
      </c>
      <c r="F827" s="6">
        <v>41853661230.465851</v>
      </c>
      <c r="G827" s="5">
        <v>83321095</v>
      </c>
      <c r="H827">
        <v>383793311</v>
      </c>
      <c r="I827" s="1">
        <v>502.31770514376763</v>
      </c>
    </row>
    <row r="828" spans="1:9" x14ac:dyDescent="0.3">
      <c r="A828" t="s">
        <v>23</v>
      </c>
      <c r="B828">
        <v>2019</v>
      </c>
      <c r="C828">
        <v>2</v>
      </c>
      <c r="D828" t="s">
        <v>9</v>
      </c>
      <c r="E828">
        <v>10434449</v>
      </c>
      <c r="F828" s="6">
        <v>4651874823.4286022</v>
      </c>
      <c r="G828" s="5">
        <v>83321095</v>
      </c>
      <c r="H828">
        <v>383793311</v>
      </c>
      <c r="I828" s="1">
        <v>55.830697177330691</v>
      </c>
    </row>
    <row r="829" spans="1:9" x14ac:dyDescent="0.3">
      <c r="A829" t="s">
        <v>23</v>
      </c>
      <c r="B829">
        <v>2019</v>
      </c>
      <c r="C829">
        <v>2</v>
      </c>
      <c r="D829" t="s">
        <v>11</v>
      </c>
      <c r="E829">
        <v>5486791</v>
      </c>
      <c r="F829" s="6">
        <v>2526448415.3585706</v>
      </c>
      <c r="G829" s="5">
        <v>83321095</v>
      </c>
      <c r="H829">
        <v>383793311</v>
      </c>
      <c r="I829" s="1">
        <v>30.321834048851262</v>
      </c>
    </row>
    <row r="830" spans="1:9" x14ac:dyDescent="0.3">
      <c r="A830" t="s">
        <v>23</v>
      </c>
      <c r="B830">
        <v>2019</v>
      </c>
      <c r="C830">
        <v>2</v>
      </c>
      <c r="D830" t="s">
        <v>12</v>
      </c>
      <c r="E830">
        <v>70502</v>
      </c>
      <c r="F830" s="6">
        <v>17349813.389733132</v>
      </c>
      <c r="G830" s="5">
        <v>83321095</v>
      </c>
      <c r="H830">
        <v>383793311</v>
      </c>
      <c r="I830" s="1">
        <v>0.20822834109097021</v>
      </c>
    </row>
    <row r="831" spans="1:9" x14ac:dyDescent="0.3">
      <c r="A831" t="s">
        <v>23</v>
      </c>
      <c r="B831">
        <v>2019</v>
      </c>
      <c r="C831">
        <v>2</v>
      </c>
      <c r="D831" t="s">
        <v>13</v>
      </c>
      <c r="E831">
        <v>442607</v>
      </c>
      <c r="F831" s="6">
        <v>271280936.62470841</v>
      </c>
      <c r="G831" s="5">
        <v>83321095</v>
      </c>
      <c r="H831">
        <v>383793311</v>
      </c>
      <c r="I831" s="1">
        <v>3.2558493935384361</v>
      </c>
    </row>
    <row r="832" spans="1:9" x14ac:dyDescent="0.3">
      <c r="A832" t="s">
        <v>23</v>
      </c>
      <c r="B832">
        <v>2019</v>
      </c>
      <c r="C832">
        <v>3</v>
      </c>
      <c r="D832" t="s">
        <v>10</v>
      </c>
      <c r="E832">
        <v>14529353</v>
      </c>
      <c r="F832" s="6">
        <v>49206585462.018684</v>
      </c>
      <c r="G832" s="5">
        <v>92722289</v>
      </c>
      <c r="H832">
        <v>1423856324</v>
      </c>
      <c r="I832" s="1">
        <v>530.68777736945947</v>
      </c>
    </row>
    <row r="833" spans="1:9" x14ac:dyDescent="0.3">
      <c r="A833" t="s">
        <v>23</v>
      </c>
      <c r="B833">
        <v>2019</v>
      </c>
      <c r="C833">
        <v>3</v>
      </c>
      <c r="D833" t="s">
        <v>11</v>
      </c>
      <c r="E833">
        <v>11788077</v>
      </c>
      <c r="F833" s="6">
        <v>4211116461.2911887</v>
      </c>
      <c r="G833" s="5">
        <v>92722289</v>
      </c>
      <c r="H833">
        <v>1423856324</v>
      </c>
      <c r="I833" s="1">
        <v>45.416442008794547</v>
      </c>
    </row>
    <row r="834" spans="1:9" x14ac:dyDescent="0.3">
      <c r="A834" t="s">
        <v>23</v>
      </c>
      <c r="B834">
        <v>2019</v>
      </c>
      <c r="C834">
        <v>3</v>
      </c>
      <c r="D834" t="s">
        <v>9</v>
      </c>
      <c r="E834">
        <v>11349625</v>
      </c>
      <c r="F834" s="6">
        <v>5768100024.4780588</v>
      </c>
      <c r="G834" s="5">
        <v>92722289</v>
      </c>
      <c r="H834">
        <v>1423856324</v>
      </c>
      <c r="I834" s="1">
        <v>62.208343718499648</v>
      </c>
    </row>
    <row r="835" spans="1:9" x14ac:dyDescent="0.3">
      <c r="A835" t="s">
        <v>23</v>
      </c>
      <c r="B835">
        <v>2019</v>
      </c>
      <c r="C835">
        <v>3</v>
      </c>
      <c r="D835" t="s">
        <v>12</v>
      </c>
      <c r="E835">
        <v>78609</v>
      </c>
      <c r="F835" s="6">
        <v>20507001.233050577</v>
      </c>
      <c r="G835" s="5">
        <v>92722289</v>
      </c>
      <c r="H835">
        <v>1423856324</v>
      </c>
      <c r="I835" s="1">
        <v>0.2211658216618291</v>
      </c>
    </row>
    <row r="836" spans="1:9" x14ac:dyDescent="0.3">
      <c r="A836" t="s">
        <v>23</v>
      </c>
      <c r="B836">
        <v>2019</v>
      </c>
      <c r="C836">
        <v>3</v>
      </c>
      <c r="D836" t="s">
        <v>13</v>
      </c>
      <c r="E836">
        <v>482985</v>
      </c>
      <c r="F836" s="6">
        <v>256386015.24681717</v>
      </c>
      <c r="G836" s="5">
        <v>92722289</v>
      </c>
      <c r="H836">
        <v>1423856324</v>
      </c>
      <c r="I836" s="1">
        <v>2.7650958363076774</v>
      </c>
    </row>
    <row r="837" spans="1:9" x14ac:dyDescent="0.3">
      <c r="A837" t="s">
        <v>23</v>
      </c>
      <c r="B837">
        <v>2019</v>
      </c>
      <c r="C837">
        <v>4</v>
      </c>
      <c r="D837" t="s">
        <v>10</v>
      </c>
      <c r="E837">
        <v>19107911</v>
      </c>
      <c r="F837" s="6">
        <v>64477452638.777802</v>
      </c>
      <c r="G837" s="5">
        <v>102561789</v>
      </c>
      <c r="H837">
        <v>1627711327</v>
      </c>
      <c r="I837" s="1">
        <v>628.66934427964986</v>
      </c>
    </row>
    <row r="838" spans="1:9" x14ac:dyDescent="0.3">
      <c r="A838" t="s">
        <v>23</v>
      </c>
      <c r="B838">
        <v>2019</v>
      </c>
      <c r="C838">
        <v>4</v>
      </c>
      <c r="D838" t="s">
        <v>9</v>
      </c>
      <c r="E838">
        <v>12967713</v>
      </c>
      <c r="F838" s="6">
        <v>6517891166.7226563</v>
      </c>
      <c r="G838" s="5">
        <v>102561789</v>
      </c>
      <c r="H838">
        <v>1627711327</v>
      </c>
      <c r="I838" s="1">
        <v>63.550872408462531</v>
      </c>
    </row>
    <row r="839" spans="1:9" x14ac:dyDescent="0.3">
      <c r="A839" t="s">
        <v>23</v>
      </c>
      <c r="B839">
        <v>2019</v>
      </c>
      <c r="C839">
        <v>4</v>
      </c>
      <c r="D839" t="s">
        <v>11</v>
      </c>
      <c r="E839">
        <v>9964076</v>
      </c>
      <c r="F839" s="6">
        <v>5480269119.7209482</v>
      </c>
      <c r="G839" s="5">
        <v>102561789</v>
      </c>
      <c r="H839">
        <v>1627711327</v>
      </c>
      <c r="I839" s="1">
        <v>53.43382923752381</v>
      </c>
    </row>
    <row r="840" spans="1:9" x14ac:dyDescent="0.3">
      <c r="A840" t="s">
        <v>23</v>
      </c>
      <c r="B840">
        <v>2019</v>
      </c>
      <c r="C840">
        <v>4</v>
      </c>
      <c r="D840" t="s">
        <v>12</v>
      </c>
      <c r="E840">
        <v>63498</v>
      </c>
      <c r="F840" s="6">
        <v>20202767.264147881</v>
      </c>
      <c r="G840" s="5">
        <v>102561789</v>
      </c>
      <c r="H840">
        <v>1627711327</v>
      </c>
      <c r="I840" s="1">
        <v>0.19698142418467254</v>
      </c>
    </row>
    <row r="841" spans="1:9" x14ac:dyDescent="0.3">
      <c r="A841" t="s">
        <v>23</v>
      </c>
      <c r="B841">
        <v>2019</v>
      </c>
      <c r="C841">
        <v>4</v>
      </c>
      <c r="D841" t="s">
        <v>13</v>
      </c>
      <c r="E841">
        <v>444434</v>
      </c>
      <c r="F841" s="6">
        <v>194846362.42851496</v>
      </c>
      <c r="G841" s="5">
        <v>102561789</v>
      </c>
      <c r="H841">
        <v>1627711327</v>
      </c>
      <c r="I841" s="1">
        <v>1.8997948878262543</v>
      </c>
    </row>
    <row r="842" spans="1:9" x14ac:dyDescent="0.3">
      <c r="A842" t="s">
        <v>23</v>
      </c>
      <c r="B842">
        <v>2020</v>
      </c>
      <c r="C842">
        <v>1</v>
      </c>
      <c r="D842" t="s">
        <v>10</v>
      </c>
      <c r="E842">
        <v>19068093</v>
      </c>
      <c r="F842" s="6">
        <v>72393727235.077835</v>
      </c>
      <c r="G842" s="5">
        <v>112858273</v>
      </c>
      <c r="H842">
        <v>1821656342</v>
      </c>
      <c r="I842" s="1">
        <v>641.45698237893328</v>
      </c>
    </row>
    <row r="843" spans="1:9" x14ac:dyDescent="0.3">
      <c r="A843" t="s">
        <v>23</v>
      </c>
      <c r="B843">
        <v>2020</v>
      </c>
      <c r="C843">
        <v>1</v>
      </c>
      <c r="D843" t="s">
        <v>9</v>
      </c>
      <c r="E843">
        <v>15648472</v>
      </c>
      <c r="F843" s="6">
        <v>7197595156.6908989</v>
      </c>
      <c r="G843" s="5">
        <v>112858273</v>
      </c>
      <c r="H843">
        <v>1821656342</v>
      </c>
      <c r="I843" s="1">
        <v>63.775520973025159</v>
      </c>
    </row>
    <row r="844" spans="1:9" x14ac:dyDescent="0.3">
      <c r="A844" t="s">
        <v>23</v>
      </c>
      <c r="B844">
        <v>2020</v>
      </c>
      <c r="C844">
        <v>1</v>
      </c>
      <c r="D844" t="s">
        <v>11</v>
      </c>
      <c r="E844">
        <v>12191478</v>
      </c>
      <c r="F844" s="6">
        <v>7210758662.2819328</v>
      </c>
      <c r="G844" s="5">
        <v>112858273</v>
      </c>
      <c r="H844">
        <v>1821656342</v>
      </c>
      <c r="I844" s="1">
        <v>63.892158462161944</v>
      </c>
    </row>
    <row r="845" spans="1:9" x14ac:dyDescent="0.3">
      <c r="A845" t="s">
        <v>23</v>
      </c>
      <c r="B845">
        <v>2020</v>
      </c>
      <c r="C845">
        <v>1</v>
      </c>
      <c r="D845" t="s">
        <v>12</v>
      </c>
      <c r="E845">
        <v>50753</v>
      </c>
      <c r="F845" s="6">
        <v>27460255.459661681</v>
      </c>
      <c r="G845" s="5">
        <v>112858273</v>
      </c>
      <c r="H845">
        <v>1821656342</v>
      </c>
      <c r="I845" s="1">
        <v>0.24331628271204966</v>
      </c>
    </row>
    <row r="846" spans="1:9" x14ac:dyDescent="0.3">
      <c r="A846" t="s">
        <v>23</v>
      </c>
      <c r="B846">
        <v>2020</v>
      </c>
      <c r="C846">
        <v>1</v>
      </c>
      <c r="D846" t="s">
        <v>13</v>
      </c>
      <c r="E846">
        <v>367621</v>
      </c>
      <c r="F846" s="6">
        <v>165535312.39278784</v>
      </c>
      <c r="G846" s="5">
        <v>112858273</v>
      </c>
      <c r="H846">
        <v>1821656342</v>
      </c>
      <c r="I846" s="1">
        <v>1.4667539028599865</v>
      </c>
    </row>
    <row r="847" spans="1:9" x14ac:dyDescent="0.3">
      <c r="A847" t="s">
        <v>23</v>
      </c>
      <c r="B847">
        <v>2020</v>
      </c>
      <c r="C847">
        <v>2</v>
      </c>
      <c r="D847" t="s">
        <v>9</v>
      </c>
      <c r="E847">
        <v>19971660</v>
      </c>
      <c r="F847" s="6">
        <v>8322688556.9900064</v>
      </c>
      <c r="G847" s="5">
        <v>125319227</v>
      </c>
      <c r="H847">
        <v>1707907949</v>
      </c>
      <c r="I847" s="1">
        <v>66.411904671180324</v>
      </c>
    </row>
    <row r="848" spans="1:9" x14ac:dyDescent="0.3">
      <c r="A848" t="s">
        <v>23</v>
      </c>
      <c r="B848">
        <v>2020</v>
      </c>
      <c r="C848">
        <v>2</v>
      </c>
      <c r="D848" t="s">
        <v>10</v>
      </c>
      <c r="E848">
        <v>17569398</v>
      </c>
      <c r="F848" s="6">
        <v>64723140394.229134</v>
      </c>
      <c r="G848" s="5">
        <v>125319227</v>
      </c>
      <c r="H848">
        <v>1707907949</v>
      </c>
      <c r="I848" s="1">
        <v>516.46616360176824</v>
      </c>
    </row>
    <row r="849" spans="1:9" x14ac:dyDescent="0.3">
      <c r="A849" t="s">
        <v>23</v>
      </c>
      <c r="B849">
        <v>2020</v>
      </c>
      <c r="C849">
        <v>2</v>
      </c>
      <c r="D849" t="s">
        <v>11</v>
      </c>
      <c r="E849">
        <v>9645967</v>
      </c>
      <c r="F849" s="6">
        <v>7196610931.5614424</v>
      </c>
      <c r="G849" s="5">
        <v>125319227</v>
      </c>
      <c r="H849">
        <v>1707907949</v>
      </c>
      <c r="I849" s="1">
        <v>57.42623142386158</v>
      </c>
    </row>
    <row r="850" spans="1:9" x14ac:dyDescent="0.3">
      <c r="A850" t="s">
        <v>23</v>
      </c>
      <c r="B850">
        <v>2020</v>
      </c>
      <c r="C850">
        <v>2</v>
      </c>
      <c r="D850" t="s">
        <v>12</v>
      </c>
      <c r="E850">
        <v>59617</v>
      </c>
      <c r="F850" s="6">
        <v>53132341.305008195</v>
      </c>
      <c r="G850" s="5">
        <v>125319227</v>
      </c>
      <c r="H850">
        <v>1707907949</v>
      </c>
      <c r="I850" s="1">
        <v>0.42397597381452246</v>
      </c>
    </row>
    <row r="851" spans="1:9" x14ac:dyDescent="0.3">
      <c r="A851" t="s">
        <v>23</v>
      </c>
      <c r="B851">
        <v>2020</v>
      </c>
      <c r="C851">
        <v>2</v>
      </c>
      <c r="D851" t="s">
        <v>13</v>
      </c>
      <c r="E851">
        <v>173543</v>
      </c>
      <c r="F851" s="6">
        <v>92274135.405044109</v>
      </c>
      <c r="G851" s="5">
        <v>125319227</v>
      </c>
      <c r="H851">
        <v>1707907949</v>
      </c>
      <c r="I851" s="1">
        <v>0.7363126761470058</v>
      </c>
    </row>
    <row r="852" spans="1:9" x14ac:dyDescent="0.3">
      <c r="A852" t="s">
        <v>23</v>
      </c>
      <c r="B852">
        <v>2020</v>
      </c>
      <c r="C852">
        <v>3</v>
      </c>
      <c r="D852" t="s">
        <v>10</v>
      </c>
      <c r="E852">
        <v>23130724</v>
      </c>
      <c r="F852" s="6">
        <v>89142122337.25531</v>
      </c>
      <c r="G852" s="5">
        <v>137146317</v>
      </c>
      <c r="H852">
        <v>2028427192</v>
      </c>
      <c r="I852" s="1">
        <v>649.9782443100919</v>
      </c>
    </row>
    <row r="853" spans="1:9" x14ac:dyDescent="0.3">
      <c r="A853" t="s">
        <v>23</v>
      </c>
      <c r="B853">
        <v>2020</v>
      </c>
      <c r="C853">
        <v>3</v>
      </c>
      <c r="D853" t="s">
        <v>11</v>
      </c>
      <c r="E853">
        <v>18338969</v>
      </c>
      <c r="F853" s="6">
        <v>12749796641.785404</v>
      </c>
      <c r="G853" s="5">
        <v>137146317</v>
      </c>
      <c r="H853">
        <v>2028427192</v>
      </c>
      <c r="I853" s="1">
        <v>92.964921849016221</v>
      </c>
    </row>
    <row r="854" spans="1:9" x14ac:dyDescent="0.3">
      <c r="A854" t="s">
        <v>23</v>
      </c>
      <c r="B854">
        <v>2020</v>
      </c>
      <c r="C854">
        <v>3</v>
      </c>
      <c r="D854" t="s">
        <v>9</v>
      </c>
      <c r="E854">
        <v>17481357</v>
      </c>
      <c r="F854" s="6">
        <v>9820654243.8088207</v>
      </c>
      <c r="G854" s="5">
        <v>137146317</v>
      </c>
      <c r="H854">
        <v>2028427192</v>
      </c>
      <c r="I854" s="1">
        <v>71.607130680795606</v>
      </c>
    </row>
    <row r="855" spans="1:9" x14ac:dyDescent="0.3">
      <c r="A855" t="s">
        <v>23</v>
      </c>
      <c r="B855">
        <v>2020</v>
      </c>
      <c r="C855">
        <v>3</v>
      </c>
      <c r="D855" t="s">
        <v>12</v>
      </c>
      <c r="E855">
        <v>92278</v>
      </c>
      <c r="F855" s="6">
        <v>84723188.621043354</v>
      </c>
      <c r="G855" s="5">
        <v>137146317</v>
      </c>
      <c r="H855">
        <v>2028427192</v>
      </c>
      <c r="I855" s="1">
        <v>0.61775766549416966</v>
      </c>
    </row>
    <row r="856" spans="1:9" x14ac:dyDescent="0.3">
      <c r="A856" t="s">
        <v>23</v>
      </c>
      <c r="B856">
        <v>2020</v>
      </c>
      <c r="C856">
        <v>3</v>
      </c>
      <c r="D856" t="s">
        <v>13</v>
      </c>
      <c r="E856">
        <v>246851</v>
      </c>
      <c r="F856" s="6">
        <v>124456073.24163358</v>
      </c>
      <c r="G856" s="5">
        <v>137146317</v>
      </c>
      <c r="H856">
        <v>2028427192</v>
      </c>
      <c r="I856" s="1">
        <v>0.90746930697113493</v>
      </c>
    </row>
    <row r="857" spans="1:9" x14ac:dyDescent="0.3">
      <c r="A857" t="s">
        <v>23</v>
      </c>
      <c r="B857">
        <v>2020</v>
      </c>
      <c r="C857">
        <v>4</v>
      </c>
      <c r="D857" t="s">
        <v>10</v>
      </c>
      <c r="E857">
        <v>29967258</v>
      </c>
      <c r="F857" s="6">
        <v>116743230330.36209</v>
      </c>
      <c r="G857" s="5">
        <v>149657233</v>
      </c>
      <c r="H857">
        <v>2535470883</v>
      </c>
      <c r="I857" s="1">
        <v>780.07075227939094</v>
      </c>
    </row>
    <row r="858" spans="1:9" x14ac:dyDescent="0.3">
      <c r="A858" t="s">
        <v>23</v>
      </c>
      <c r="B858">
        <v>2020</v>
      </c>
      <c r="C858">
        <v>4</v>
      </c>
      <c r="D858" t="s">
        <v>11</v>
      </c>
      <c r="E858">
        <v>28430460</v>
      </c>
      <c r="F858" s="6">
        <v>20844321156.652935</v>
      </c>
      <c r="G858" s="5">
        <v>149657233</v>
      </c>
      <c r="H858">
        <v>2535470883</v>
      </c>
      <c r="I858" s="1">
        <v>139.2804125721938</v>
      </c>
    </row>
    <row r="859" spans="1:9" x14ac:dyDescent="0.3">
      <c r="A859" t="s">
        <v>23</v>
      </c>
      <c r="B859">
        <v>2020</v>
      </c>
      <c r="C859">
        <v>4</v>
      </c>
      <c r="D859" t="s">
        <v>9</v>
      </c>
      <c r="E859">
        <v>18943669</v>
      </c>
      <c r="F859" s="6">
        <v>10441981826.080866</v>
      </c>
      <c r="G859" s="5">
        <v>149657233</v>
      </c>
      <c r="H859">
        <v>2535470883</v>
      </c>
      <c r="I859" s="1">
        <v>69.772650588033159</v>
      </c>
    </row>
    <row r="860" spans="1:9" x14ac:dyDescent="0.3">
      <c r="A860" t="s">
        <v>23</v>
      </c>
      <c r="B860">
        <v>2020</v>
      </c>
      <c r="C860">
        <v>4</v>
      </c>
      <c r="D860" t="s">
        <v>12</v>
      </c>
      <c r="E860">
        <v>113371</v>
      </c>
      <c r="F860" s="6">
        <v>120056733.8865249</v>
      </c>
      <c r="G860" s="5">
        <v>149657233</v>
      </c>
      <c r="H860">
        <v>2535470883</v>
      </c>
      <c r="I860" s="1">
        <v>0.80221136980746466</v>
      </c>
    </row>
    <row r="861" spans="1:9" x14ac:dyDescent="0.3">
      <c r="A861" t="s">
        <v>23</v>
      </c>
      <c r="B861">
        <v>2020</v>
      </c>
      <c r="C861">
        <v>4</v>
      </c>
      <c r="D861" t="s">
        <v>13</v>
      </c>
      <c r="E861">
        <v>373789</v>
      </c>
      <c r="F861" s="6">
        <v>243470065.45681778</v>
      </c>
      <c r="G861" s="5">
        <v>149657233</v>
      </c>
      <c r="H861">
        <v>2535470883</v>
      </c>
      <c r="I861" s="1">
        <v>1.6268513093304202</v>
      </c>
    </row>
    <row r="862" spans="1:9" x14ac:dyDescent="0.3">
      <c r="A862" t="s">
        <v>23</v>
      </c>
      <c r="B862">
        <v>2021</v>
      </c>
      <c r="C862">
        <v>1</v>
      </c>
      <c r="D862" t="s">
        <v>10</v>
      </c>
      <c r="E862">
        <v>36427493</v>
      </c>
      <c r="F862" s="6">
        <v>144818968373.02933</v>
      </c>
      <c r="G862" s="5">
        <v>161371386</v>
      </c>
      <c r="H862">
        <v>2912061614</v>
      </c>
      <c r="I862" s="1">
        <v>897.42656342450528</v>
      </c>
    </row>
    <row r="863" spans="1:9" x14ac:dyDescent="0.3">
      <c r="A863" t="s">
        <v>23</v>
      </c>
      <c r="B863">
        <v>2021</v>
      </c>
      <c r="C863">
        <v>1</v>
      </c>
      <c r="D863" t="s">
        <v>11</v>
      </c>
      <c r="E863">
        <v>35815382</v>
      </c>
      <c r="F863" s="6">
        <v>26512643894.003174</v>
      </c>
      <c r="G863" s="5">
        <v>161371386</v>
      </c>
      <c r="H863">
        <v>2912061614</v>
      </c>
      <c r="I863" s="1">
        <v>164.29581818181308</v>
      </c>
    </row>
    <row r="864" spans="1:9" x14ac:dyDescent="0.3">
      <c r="A864" t="s">
        <v>23</v>
      </c>
      <c r="B864">
        <v>2021</v>
      </c>
      <c r="C864">
        <v>1</v>
      </c>
      <c r="D864" t="s">
        <v>9</v>
      </c>
      <c r="E864">
        <v>22088838</v>
      </c>
      <c r="F864" s="6">
        <v>11996115292.377842</v>
      </c>
      <c r="G864" s="5">
        <v>161371386</v>
      </c>
      <c r="H864">
        <v>2912061614</v>
      </c>
      <c r="I864" s="1">
        <v>74.338552761626786</v>
      </c>
    </row>
    <row r="865" spans="1:9" x14ac:dyDescent="0.3">
      <c r="A865" t="s">
        <v>23</v>
      </c>
      <c r="B865">
        <v>2021</v>
      </c>
      <c r="C865">
        <v>1</v>
      </c>
      <c r="D865" t="s">
        <v>12</v>
      </c>
      <c r="E865">
        <v>126380</v>
      </c>
      <c r="F865" s="6">
        <v>137612317.73580322</v>
      </c>
      <c r="G865" s="5">
        <v>161371386</v>
      </c>
      <c r="H865">
        <v>2912061614</v>
      </c>
      <c r="I865" s="1">
        <v>0.85276777467724807</v>
      </c>
    </row>
    <row r="866" spans="1:9" x14ac:dyDescent="0.3">
      <c r="A866" t="s">
        <v>23</v>
      </c>
      <c r="B866">
        <v>2021</v>
      </c>
      <c r="C866">
        <v>1</v>
      </c>
      <c r="D866" t="s">
        <v>13</v>
      </c>
      <c r="E866">
        <v>316472</v>
      </c>
      <c r="F866" s="6">
        <v>235440836.3042438</v>
      </c>
      <c r="G866" s="5">
        <v>161371386</v>
      </c>
      <c r="H866">
        <v>2912061614</v>
      </c>
      <c r="I866" s="1">
        <v>1.4589999016569382</v>
      </c>
    </row>
    <row r="867" spans="1:9" x14ac:dyDescent="0.3">
      <c r="A867" t="s">
        <v>23</v>
      </c>
      <c r="B867">
        <v>2021</v>
      </c>
      <c r="C867">
        <v>2</v>
      </c>
      <c r="D867" t="s">
        <v>11</v>
      </c>
      <c r="E867">
        <v>42593432</v>
      </c>
      <c r="F867" s="6">
        <v>33542305033.829506</v>
      </c>
      <c r="G867" s="5">
        <v>173095791</v>
      </c>
      <c r="H867">
        <v>3106757973</v>
      </c>
      <c r="I867" s="1">
        <v>193.77885990208455</v>
      </c>
    </row>
    <row r="868" spans="1:9" x14ac:dyDescent="0.3">
      <c r="A868" t="s">
        <v>23</v>
      </c>
      <c r="B868">
        <v>2021</v>
      </c>
      <c r="C868">
        <v>2</v>
      </c>
      <c r="D868" t="s">
        <v>10</v>
      </c>
      <c r="E868">
        <v>41642387</v>
      </c>
      <c r="F868" s="6">
        <v>162483567902.30194</v>
      </c>
      <c r="G868" s="5">
        <v>173095791</v>
      </c>
      <c r="H868">
        <v>3106757973</v>
      </c>
      <c r="I868" s="1">
        <v>938.6916167262666</v>
      </c>
    </row>
    <row r="869" spans="1:9" x14ac:dyDescent="0.3">
      <c r="A869" t="s">
        <v>23</v>
      </c>
      <c r="B869">
        <v>2021</v>
      </c>
      <c r="C869">
        <v>2</v>
      </c>
      <c r="D869" t="s">
        <v>9</v>
      </c>
      <c r="E869">
        <v>27127405</v>
      </c>
      <c r="F869" s="6">
        <v>13750783181.944221</v>
      </c>
      <c r="G869" s="5">
        <v>173095791</v>
      </c>
      <c r="H869">
        <v>3106757973</v>
      </c>
      <c r="I869" s="1">
        <v>79.440309336835469</v>
      </c>
    </row>
    <row r="870" spans="1:9" x14ac:dyDescent="0.3">
      <c r="A870" t="s">
        <v>23</v>
      </c>
      <c r="B870">
        <v>2021</v>
      </c>
      <c r="C870">
        <v>2</v>
      </c>
      <c r="D870" t="s">
        <v>12</v>
      </c>
      <c r="E870">
        <v>128647</v>
      </c>
      <c r="F870" s="6">
        <v>136119996.70228249</v>
      </c>
      <c r="G870" s="5">
        <v>173095791</v>
      </c>
      <c r="H870">
        <v>3106757973</v>
      </c>
      <c r="I870" s="1">
        <v>0.78638536451924756</v>
      </c>
    </row>
    <row r="871" spans="1:9" x14ac:dyDescent="0.3">
      <c r="A871" t="s">
        <v>23</v>
      </c>
      <c r="B871">
        <v>2021</v>
      </c>
      <c r="C871">
        <v>2</v>
      </c>
      <c r="D871" t="s">
        <v>13</v>
      </c>
      <c r="E871">
        <v>349525</v>
      </c>
      <c r="F871" s="6">
        <v>249278437.33914098</v>
      </c>
      <c r="G871" s="5">
        <v>173095791</v>
      </c>
      <c r="H871">
        <v>3106757973</v>
      </c>
      <c r="I871" s="1">
        <v>1.440118421707556</v>
      </c>
    </row>
    <row r="872" spans="1:9" x14ac:dyDescent="0.3">
      <c r="A872" t="s">
        <v>23</v>
      </c>
      <c r="B872">
        <v>2021</v>
      </c>
      <c r="C872">
        <v>3</v>
      </c>
      <c r="D872" t="s">
        <v>11</v>
      </c>
      <c r="E872">
        <v>62934471</v>
      </c>
      <c r="F872" s="6">
        <v>48197579736.516457</v>
      </c>
      <c r="G872" s="5">
        <v>186414371</v>
      </c>
      <c r="H872">
        <v>4179858661</v>
      </c>
      <c r="I872" s="1">
        <v>258.55077308667609</v>
      </c>
    </row>
    <row r="873" spans="1:9" x14ac:dyDescent="0.3">
      <c r="A873" t="s">
        <v>23</v>
      </c>
      <c r="B873">
        <v>2021</v>
      </c>
      <c r="C873">
        <v>3</v>
      </c>
      <c r="D873" t="s">
        <v>10</v>
      </c>
      <c r="E873">
        <v>56134212</v>
      </c>
      <c r="F873" s="6">
        <v>208013326600.62402</v>
      </c>
      <c r="G873" s="5">
        <v>186414371</v>
      </c>
      <c r="H873">
        <v>4179858661</v>
      </c>
      <c r="I873" s="1">
        <v>1115.8652923846951</v>
      </c>
    </row>
    <row r="874" spans="1:9" x14ac:dyDescent="0.3">
      <c r="A874" t="s">
        <v>23</v>
      </c>
      <c r="B874">
        <v>2021</v>
      </c>
      <c r="C874">
        <v>3</v>
      </c>
      <c r="D874" t="s">
        <v>9</v>
      </c>
      <c r="E874">
        <v>29580901</v>
      </c>
      <c r="F874" s="6">
        <v>15945997372.058683</v>
      </c>
      <c r="G874" s="5">
        <v>186414371</v>
      </c>
      <c r="H874">
        <v>4179858661</v>
      </c>
      <c r="I874" s="1">
        <v>85.540601223597093</v>
      </c>
    </row>
    <row r="875" spans="1:9" x14ac:dyDescent="0.3">
      <c r="A875" t="s">
        <v>23</v>
      </c>
      <c r="B875">
        <v>2021</v>
      </c>
      <c r="C875">
        <v>3</v>
      </c>
      <c r="D875" t="s">
        <v>12</v>
      </c>
      <c r="E875">
        <v>125167</v>
      </c>
      <c r="F875" s="6">
        <v>163304131.14365229</v>
      </c>
      <c r="G875" s="5">
        <v>186414371</v>
      </c>
      <c r="H875">
        <v>4179858661</v>
      </c>
      <c r="I875" s="1">
        <v>0.87602758450233587</v>
      </c>
    </row>
    <row r="876" spans="1:9" x14ac:dyDescent="0.3">
      <c r="A876" t="s">
        <v>23</v>
      </c>
      <c r="B876">
        <v>2021</v>
      </c>
      <c r="C876">
        <v>3</v>
      </c>
      <c r="D876" t="s">
        <v>13</v>
      </c>
      <c r="E876">
        <v>473656</v>
      </c>
      <c r="F876" s="6">
        <v>304418273.24545926</v>
      </c>
      <c r="G876" s="5">
        <v>186414371</v>
      </c>
      <c r="H876">
        <v>4179858661</v>
      </c>
      <c r="I876" s="1">
        <v>1.6330193407967417</v>
      </c>
    </row>
    <row r="877" spans="1:9" x14ac:dyDescent="0.3">
      <c r="A877" t="s">
        <v>23</v>
      </c>
      <c r="B877">
        <v>2021</v>
      </c>
      <c r="C877">
        <v>4</v>
      </c>
      <c r="D877" t="s">
        <v>11</v>
      </c>
      <c r="E877">
        <v>84846502</v>
      </c>
      <c r="F877" s="6">
        <v>68717933161.869598</v>
      </c>
      <c r="G877" s="5">
        <v>199531211</v>
      </c>
      <c r="H877">
        <v>5366308299</v>
      </c>
      <c r="I877" s="1">
        <v>344.3969132321339</v>
      </c>
    </row>
    <row r="878" spans="1:9" x14ac:dyDescent="0.3">
      <c r="A878" t="s">
        <v>23</v>
      </c>
      <c r="B878">
        <v>2021</v>
      </c>
      <c r="C878">
        <v>4</v>
      </c>
      <c r="D878" t="s">
        <v>10</v>
      </c>
      <c r="E878">
        <v>67301686</v>
      </c>
      <c r="F878" s="6">
        <v>254338740726.63605</v>
      </c>
      <c r="G878" s="5">
        <v>199531211</v>
      </c>
      <c r="H878">
        <v>5366308299</v>
      </c>
      <c r="I878" s="1">
        <v>1274.6814869310649</v>
      </c>
    </row>
    <row r="879" spans="1:9" x14ac:dyDescent="0.3">
      <c r="A879" t="s">
        <v>23</v>
      </c>
      <c r="B879">
        <v>2021</v>
      </c>
      <c r="C879">
        <v>4</v>
      </c>
      <c r="D879" t="s">
        <v>9</v>
      </c>
      <c r="E879">
        <v>30072479</v>
      </c>
      <c r="F879" s="6">
        <v>18739034341.662392</v>
      </c>
      <c r="G879" s="5">
        <v>199531211</v>
      </c>
      <c r="H879">
        <v>5366308299</v>
      </c>
      <c r="I879" s="1">
        <v>93.915304015582763</v>
      </c>
    </row>
    <row r="880" spans="1:9" x14ac:dyDescent="0.3">
      <c r="A880" t="s">
        <v>23</v>
      </c>
      <c r="B880">
        <v>2021</v>
      </c>
      <c r="C880">
        <v>4</v>
      </c>
      <c r="D880" t="s">
        <v>12</v>
      </c>
      <c r="E880">
        <v>175393</v>
      </c>
      <c r="F880" s="6">
        <v>209214620.7057898</v>
      </c>
      <c r="G880" s="5">
        <v>199531211</v>
      </c>
      <c r="H880">
        <v>5366308299</v>
      </c>
      <c r="I880" s="1">
        <v>1.048530802059783</v>
      </c>
    </row>
    <row r="881" spans="1:9" x14ac:dyDescent="0.3">
      <c r="A881" t="s">
        <v>23</v>
      </c>
      <c r="B881">
        <v>2021</v>
      </c>
      <c r="C881">
        <v>4</v>
      </c>
      <c r="D881" t="s">
        <v>13</v>
      </c>
      <c r="E881">
        <v>591265</v>
      </c>
      <c r="F881" s="6">
        <v>377657202.7539646</v>
      </c>
      <c r="G881" s="5">
        <v>199531211</v>
      </c>
      <c r="H881">
        <v>5366308299</v>
      </c>
      <c r="I881" s="1">
        <v>1.8927224510954559</v>
      </c>
    </row>
    <row r="882" spans="1:9" x14ac:dyDescent="0.3">
      <c r="A882" t="s">
        <v>24</v>
      </c>
      <c r="B882">
        <v>2018</v>
      </c>
      <c r="C882">
        <v>1</v>
      </c>
      <c r="D882" t="s">
        <v>9</v>
      </c>
      <c r="E882">
        <v>2368002</v>
      </c>
      <c r="F882" s="6">
        <v>535578755.07945114</v>
      </c>
      <c r="G882" s="5">
        <v>20320927</v>
      </c>
      <c r="H882">
        <v>0</v>
      </c>
      <c r="I882" s="1">
        <v>26.356019835091733</v>
      </c>
    </row>
    <row r="883" spans="1:9" x14ac:dyDescent="0.3">
      <c r="A883" t="s">
        <v>24</v>
      </c>
      <c r="B883">
        <v>2018</v>
      </c>
      <c r="C883">
        <v>1</v>
      </c>
      <c r="D883" t="s">
        <v>10</v>
      </c>
      <c r="E883">
        <v>1607193</v>
      </c>
      <c r="F883" s="6">
        <v>5814807510.6866598</v>
      </c>
      <c r="G883" s="5">
        <v>20320927</v>
      </c>
      <c r="H883">
        <v>0</v>
      </c>
      <c r="I883" s="1">
        <v>286.14873281551871</v>
      </c>
    </row>
    <row r="884" spans="1:9" x14ac:dyDescent="0.3">
      <c r="A884" t="s">
        <v>24</v>
      </c>
      <c r="B884">
        <v>2018</v>
      </c>
      <c r="C884">
        <v>1</v>
      </c>
      <c r="D884" t="s">
        <v>11</v>
      </c>
      <c r="E884">
        <v>167816</v>
      </c>
      <c r="F884" s="6">
        <v>173513595.3537558</v>
      </c>
      <c r="G884" s="5">
        <v>20320927</v>
      </c>
      <c r="H884">
        <v>0</v>
      </c>
      <c r="I884" s="1">
        <v>8.5386653548706608</v>
      </c>
    </row>
    <row r="885" spans="1:9" x14ac:dyDescent="0.3">
      <c r="A885" t="s">
        <v>24</v>
      </c>
      <c r="B885">
        <v>2018</v>
      </c>
      <c r="C885">
        <v>1</v>
      </c>
      <c r="D885" t="s">
        <v>12</v>
      </c>
      <c r="E885">
        <v>128636</v>
      </c>
      <c r="F885" s="6">
        <v>27501068.014126316</v>
      </c>
      <c r="G885" s="5">
        <v>20320927</v>
      </c>
      <c r="H885">
        <v>0</v>
      </c>
      <c r="I885" s="1">
        <v>1.3533372770900813</v>
      </c>
    </row>
    <row r="886" spans="1:9" x14ac:dyDescent="0.3">
      <c r="A886" t="s">
        <v>24</v>
      </c>
      <c r="B886">
        <v>2018</v>
      </c>
      <c r="C886">
        <v>1</v>
      </c>
      <c r="D886" t="s">
        <v>13</v>
      </c>
      <c r="E886">
        <v>209123</v>
      </c>
      <c r="F886" s="6">
        <v>242110585.52640373</v>
      </c>
      <c r="G886" s="5">
        <v>20320927</v>
      </c>
      <c r="H886">
        <v>0</v>
      </c>
      <c r="I886" s="1">
        <v>11.91434748652971</v>
      </c>
    </row>
    <row r="887" spans="1:9" x14ac:dyDescent="0.3">
      <c r="A887" t="s">
        <v>24</v>
      </c>
      <c r="B887">
        <v>2018</v>
      </c>
      <c r="C887">
        <v>2</v>
      </c>
      <c r="D887" t="s">
        <v>9</v>
      </c>
      <c r="E887">
        <v>3054284</v>
      </c>
      <c r="F887" s="6">
        <v>984897276.651981</v>
      </c>
      <c r="G887" s="5">
        <v>26919431</v>
      </c>
      <c r="H887">
        <v>0</v>
      </c>
      <c r="I887" s="1">
        <v>36.586853438766255</v>
      </c>
    </row>
    <row r="888" spans="1:9" x14ac:dyDescent="0.3">
      <c r="A888" t="s">
        <v>24</v>
      </c>
      <c r="B888">
        <v>2018</v>
      </c>
      <c r="C888">
        <v>2</v>
      </c>
      <c r="D888" t="s">
        <v>10</v>
      </c>
      <c r="E888">
        <v>2388953</v>
      </c>
      <c r="F888" s="6">
        <v>9745924809.8514938</v>
      </c>
      <c r="G888" s="5">
        <v>26919431</v>
      </c>
      <c r="H888">
        <v>0</v>
      </c>
      <c r="I888" s="1">
        <v>362.04052046462255</v>
      </c>
    </row>
    <row r="889" spans="1:9" x14ac:dyDescent="0.3">
      <c r="A889" t="s">
        <v>24</v>
      </c>
      <c r="B889">
        <v>2018</v>
      </c>
      <c r="C889">
        <v>2</v>
      </c>
      <c r="D889" t="s">
        <v>11</v>
      </c>
      <c r="E889">
        <v>369916</v>
      </c>
      <c r="F889" s="6">
        <v>334118261.45344114</v>
      </c>
      <c r="G889" s="5">
        <v>26919431</v>
      </c>
      <c r="H889">
        <v>0</v>
      </c>
      <c r="I889" s="1">
        <v>12.41178765826964</v>
      </c>
    </row>
    <row r="890" spans="1:9" x14ac:dyDescent="0.3">
      <c r="A890" t="s">
        <v>24</v>
      </c>
      <c r="B890">
        <v>2018</v>
      </c>
      <c r="C890">
        <v>2</v>
      </c>
      <c r="D890" t="s">
        <v>12</v>
      </c>
      <c r="E890">
        <v>167570</v>
      </c>
      <c r="F890" s="6">
        <v>38145882.441803858</v>
      </c>
      <c r="G890" s="5">
        <v>26919431</v>
      </c>
      <c r="H890">
        <v>0</v>
      </c>
      <c r="I890" s="1">
        <v>1.4170389575397733</v>
      </c>
    </row>
    <row r="891" spans="1:9" x14ac:dyDescent="0.3">
      <c r="A891" t="s">
        <v>24</v>
      </c>
      <c r="B891">
        <v>2018</v>
      </c>
      <c r="C891">
        <v>2</v>
      </c>
      <c r="D891" t="s">
        <v>13</v>
      </c>
      <c r="E891">
        <v>170208</v>
      </c>
      <c r="F891" s="6">
        <v>217328211.71769944</v>
      </c>
      <c r="G891" s="5">
        <v>26919431</v>
      </c>
      <c r="H891">
        <v>0</v>
      </c>
      <c r="I891" s="1">
        <v>8.073284005063087</v>
      </c>
    </row>
    <row r="892" spans="1:9" x14ac:dyDescent="0.3">
      <c r="A892" t="s">
        <v>24</v>
      </c>
      <c r="B892">
        <v>2018</v>
      </c>
      <c r="C892">
        <v>3</v>
      </c>
      <c r="D892" t="s">
        <v>10</v>
      </c>
      <c r="E892">
        <v>3753981</v>
      </c>
      <c r="F892" s="6">
        <v>14429454356.345787</v>
      </c>
      <c r="G892" s="5">
        <v>33224378</v>
      </c>
      <c r="H892">
        <v>0</v>
      </c>
      <c r="I892" s="1">
        <v>434.30322025429001</v>
      </c>
    </row>
    <row r="893" spans="1:9" x14ac:dyDescent="0.3">
      <c r="A893" t="s">
        <v>24</v>
      </c>
      <c r="B893">
        <v>2018</v>
      </c>
      <c r="C893">
        <v>3</v>
      </c>
      <c r="D893" t="s">
        <v>9</v>
      </c>
      <c r="E893">
        <v>3203386</v>
      </c>
      <c r="F893" s="6">
        <v>1310467515.0605886</v>
      </c>
      <c r="G893" s="5">
        <v>33224378</v>
      </c>
      <c r="H893">
        <v>0</v>
      </c>
      <c r="I893" s="1">
        <v>39.442951048190835</v>
      </c>
    </row>
    <row r="894" spans="1:9" x14ac:dyDescent="0.3">
      <c r="A894" t="s">
        <v>24</v>
      </c>
      <c r="B894">
        <v>2018</v>
      </c>
      <c r="C894">
        <v>3</v>
      </c>
      <c r="D894" t="s">
        <v>11</v>
      </c>
      <c r="E894">
        <v>1003057</v>
      </c>
      <c r="F894" s="6">
        <v>427387637.93353713</v>
      </c>
      <c r="G894" s="5">
        <v>33224378</v>
      </c>
      <c r="H894">
        <v>0</v>
      </c>
      <c r="I894" s="1">
        <v>12.863676121597736</v>
      </c>
    </row>
    <row r="895" spans="1:9" x14ac:dyDescent="0.3">
      <c r="A895" t="s">
        <v>24</v>
      </c>
      <c r="B895">
        <v>2018</v>
      </c>
      <c r="C895">
        <v>3</v>
      </c>
      <c r="D895" t="s">
        <v>12</v>
      </c>
      <c r="E895">
        <v>100452</v>
      </c>
      <c r="F895" s="6">
        <v>17323790.814170156</v>
      </c>
      <c r="G895" s="5">
        <v>33224378</v>
      </c>
      <c r="H895">
        <v>0</v>
      </c>
      <c r="I895" s="1">
        <v>0.52141806279022451</v>
      </c>
    </row>
    <row r="896" spans="1:9" x14ac:dyDescent="0.3">
      <c r="A896" t="s">
        <v>24</v>
      </c>
      <c r="B896">
        <v>2018</v>
      </c>
      <c r="C896">
        <v>3</v>
      </c>
      <c r="D896" t="s">
        <v>13</v>
      </c>
      <c r="E896">
        <v>201148</v>
      </c>
      <c r="F896" s="6">
        <v>190505707.47361812</v>
      </c>
      <c r="G896" s="5">
        <v>33224378</v>
      </c>
      <c r="H896">
        <v>0</v>
      </c>
      <c r="I896" s="1">
        <v>5.7339134377058354</v>
      </c>
    </row>
    <row r="897" spans="1:9" x14ac:dyDescent="0.3">
      <c r="A897" t="s">
        <v>24</v>
      </c>
      <c r="B897">
        <v>2018</v>
      </c>
      <c r="C897">
        <v>4</v>
      </c>
      <c r="D897" t="s">
        <v>10</v>
      </c>
      <c r="E897">
        <v>5905032</v>
      </c>
      <c r="F897" s="6">
        <v>22416919746.938679</v>
      </c>
      <c r="G897" s="5">
        <v>41723869</v>
      </c>
      <c r="H897">
        <v>0</v>
      </c>
      <c r="I897" s="1">
        <v>537.26848166785965</v>
      </c>
    </row>
    <row r="898" spans="1:9" x14ac:dyDescent="0.3">
      <c r="A898" t="s">
        <v>24</v>
      </c>
      <c r="B898">
        <v>2018</v>
      </c>
      <c r="C898">
        <v>4</v>
      </c>
      <c r="D898" t="s">
        <v>9</v>
      </c>
      <c r="E898">
        <v>4116262</v>
      </c>
      <c r="F898" s="6">
        <v>1671040703.7317612</v>
      </c>
      <c r="G898" s="5">
        <v>41723869</v>
      </c>
      <c r="H898">
        <v>0</v>
      </c>
      <c r="I898" s="1">
        <v>40.049994014978843</v>
      </c>
    </row>
    <row r="899" spans="1:9" x14ac:dyDescent="0.3">
      <c r="A899" t="s">
        <v>24</v>
      </c>
      <c r="B899">
        <v>2018</v>
      </c>
      <c r="C899">
        <v>4</v>
      </c>
      <c r="D899" t="s">
        <v>11</v>
      </c>
      <c r="E899">
        <v>2413446</v>
      </c>
      <c r="F899" s="6">
        <v>1013407379.8963095</v>
      </c>
      <c r="G899" s="5">
        <v>41723869</v>
      </c>
      <c r="H899">
        <v>0</v>
      </c>
      <c r="I899" s="1">
        <v>24.288432597089919</v>
      </c>
    </row>
    <row r="900" spans="1:9" x14ac:dyDescent="0.3">
      <c r="A900" t="s">
        <v>24</v>
      </c>
      <c r="B900">
        <v>2018</v>
      </c>
      <c r="C900">
        <v>4</v>
      </c>
      <c r="D900" t="s">
        <v>12</v>
      </c>
      <c r="E900">
        <v>120711</v>
      </c>
      <c r="F900" s="6">
        <v>22252543.62175617</v>
      </c>
      <c r="G900" s="5">
        <v>41723869</v>
      </c>
      <c r="H900">
        <v>0</v>
      </c>
      <c r="I900" s="1">
        <v>0.5333288631923413</v>
      </c>
    </row>
    <row r="901" spans="1:9" x14ac:dyDescent="0.3">
      <c r="A901" t="s">
        <v>24</v>
      </c>
      <c r="B901">
        <v>2018</v>
      </c>
      <c r="C901">
        <v>4</v>
      </c>
      <c r="D901" t="s">
        <v>13</v>
      </c>
      <c r="E901">
        <v>394732</v>
      </c>
      <c r="F901" s="6">
        <v>267255642.26742023</v>
      </c>
      <c r="G901" s="5">
        <v>41723869</v>
      </c>
      <c r="H901">
        <v>0</v>
      </c>
      <c r="I901" s="1">
        <v>6.4053418024924831</v>
      </c>
    </row>
    <row r="902" spans="1:9" x14ac:dyDescent="0.3">
      <c r="A902" t="s">
        <v>24</v>
      </c>
      <c r="B902">
        <v>2019</v>
      </c>
      <c r="C902">
        <v>1</v>
      </c>
      <c r="D902" t="s">
        <v>10</v>
      </c>
      <c r="E902">
        <v>12622225</v>
      </c>
      <c r="F902" s="6">
        <v>30283578836.619068</v>
      </c>
      <c r="G902" s="5">
        <v>49926437</v>
      </c>
      <c r="H902">
        <v>0</v>
      </c>
      <c r="I902" s="1">
        <v>606.56399006840945</v>
      </c>
    </row>
    <row r="903" spans="1:9" x14ac:dyDescent="0.3">
      <c r="A903" t="s">
        <v>24</v>
      </c>
      <c r="B903">
        <v>2019</v>
      </c>
      <c r="C903">
        <v>1</v>
      </c>
      <c r="D903" t="s">
        <v>9</v>
      </c>
      <c r="E903">
        <v>5576577</v>
      </c>
      <c r="F903" s="6">
        <v>2202061874.5361757</v>
      </c>
      <c r="G903" s="5">
        <v>49926437</v>
      </c>
      <c r="H903">
        <v>0</v>
      </c>
      <c r="I903" s="1">
        <v>44.106129074185198</v>
      </c>
    </row>
    <row r="904" spans="1:9" x14ac:dyDescent="0.3">
      <c r="A904" t="s">
        <v>24</v>
      </c>
      <c r="B904">
        <v>2019</v>
      </c>
      <c r="C904">
        <v>1</v>
      </c>
      <c r="D904" t="s">
        <v>11</v>
      </c>
      <c r="E904">
        <v>3361995</v>
      </c>
      <c r="F904" s="6">
        <v>1292375556.3150868</v>
      </c>
      <c r="G904" s="5">
        <v>49926437</v>
      </c>
      <c r="H904">
        <v>0</v>
      </c>
      <c r="I904" s="1">
        <v>25.885595567636578</v>
      </c>
    </row>
    <row r="905" spans="1:9" x14ac:dyDescent="0.3">
      <c r="A905" t="s">
        <v>24</v>
      </c>
      <c r="B905">
        <v>2019</v>
      </c>
      <c r="C905">
        <v>1</v>
      </c>
      <c r="D905" t="s">
        <v>12</v>
      </c>
      <c r="E905">
        <v>101786</v>
      </c>
      <c r="F905" s="6">
        <v>15201736.002431491</v>
      </c>
      <c r="G905" s="5">
        <v>49926437</v>
      </c>
      <c r="H905">
        <v>0</v>
      </c>
      <c r="I905" s="1">
        <v>0.30448269325590954</v>
      </c>
    </row>
    <row r="906" spans="1:9" x14ac:dyDescent="0.3">
      <c r="A906" t="s">
        <v>24</v>
      </c>
      <c r="B906">
        <v>2019</v>
      </c>
      <c r="C906">
        <v>1</v>
      </c>
      <c r="D906" t="s">
        <v>13</v>
      </c>
      <c r="E906">
        <v>473192</v>
      </c>
      <c r="F906" s="6">
        <v>258437718.15887585</v>
      </c>
      <c r="G906" s="5">
        <v>49926437</v>
      </c>
      <c r="H906">
        <v>0</v>
      </c>
      <c r="I906" s="1">
        <v>5.1763701495237049</v>
      </c>
    </row>
    <row r="907" spans="1:9" x14ac:dyDescent="0.3">
      <c r="A907" t="s">
        <v>24</v>
      </c>
      <c r="B907">
        <v>2019</v>
      </c>
      <c r="C907">
        <v>2</v>
      </c>
      <c r="D907" t="s">
        <v>10</v>
      </c>
      <c r="E907">
        <v>10387562</v>
      </c>
      <c r="F907" s="6">
        <v>37056084813.575783</v>
      </c>
      <c r="G907" s="5">
        <v>56958330</v>
      </c>
      <c r="H907">
        <v>351221145</v>
      </c>
      <c r="I907" s="1">
        <v>650.58236106247818</v>
      </c>
    </row>
    <row r="908" spans="1:9" x14ac:dyDescent="0.3">
      <c r="A908" t="s">
        <v>24</v>
      </c>
      <c r="B908">
        <v>2019</v>
      </c>
      <c r="C908">
        <v>2</v>
      </c>
      <c r="D908" t="s">
        <v>9</v>
      </c>
      <c r="E908">
        <v>5902923</v>
      </c>
      <c r="F908" s="6">
        <v>2838724048.0896106</v>
      </c>
      <c r="G908" s="5">
        <v>56958330</v>
      </c>
      <c r="H908">
        <v>351221145</v>
      </c>
      <c r="I908" s="1">
        <v>49.838610929948445</v>
      </c>
    </row>
    <row r="909" spans="1:9" x14ac:dyDescent="0.3">
      <c r="A909" t="s">
        <v>24</v>
      </c>
      <c r="B909">
        <v>2019</v>
      </c>
      <c r="C909">
        <v>2</v>
      </c>
      <c r="D909" t="s">
        <v>11</v>
      </c>
      <c r="E909">
        <v>5738283</v>
      </c>
      <c r="F909" s="6">
        <v>2292901816.1432047</v>
      </c>
      <c r="G909" s="5">
        <v>56958330</v>
      </c>
      <c r="H909">
        <v>351221145</v>
      </c>
      <c r="I909" s="1">
        <v>40.255776743159508</v>
      </c>
    </row>
    <row r="910" spans="1:9" x14ac:dyDescent="0.3">
      <c r="A910" t="s">
        <v>24</v>
      </c>
      <c r="B910">
        <v>2019</v>
      </c>
      <c r="C910">
        <v>2</v>
      </c>
      <c r="D910" t="s">
        <v>12</v>
      </c>
      <c r="E910">
        <v>57488</v>
      </c>
      <c r="F910" s="6">
        <v>12080285.227121718</v>
      </c>
      <c r="G910" s="5">
        <v>56958330</v>
      </c>
      <c r="H910">
        <v>351221145</v>
      </c>
      <c r="I910" s="1">
        <v>0.21208987740900617</v>
      </c>
    </row>
    <row r="911" spans="1:9" x14ac:dyDescent="0.3">
      <c r="A911" t="s">
        <v>24</v>
      </c>
      <c r="B911">
        <v>2019</v>
      </c>
      <c r="C911">
        <v>2</v>
      </c>
      <c r="D911" t="s">
        <v>13</v>
      </c>
      <c r="E911">
        <v>655560</v>
      </c>
      <c r="F911" s="6">
        <v>301748850.18049377</v>
      </c>
      <c r="G911" s="5">
        <v>56958330</v>
      </c>
      <c r="H911">
        <v>351221145</v>
      </c>
      <c r="I911" s="1">
        <v>5.2977123834300226</v>
      </c>
    </row>
    <row r="912" spans="1:9" x14ac:dyDescent="0.3">
      <c r="A912" t="s">
        <v>24</v>
      </c>
      <c r="B912">
        <v>2019</v>
      </c>
      <c r="C912">
        <v>3</v>
      </c>
      <c r="D912" t="s">
        <v>10</v>
      </c>
      <c r="E912">
        <v>11775288</v>
      </c>
      <c r="F912" s="6">
        <v>43738290119.928497</v>
      </c>
      <c r="G912" s="5">
        <v>63621272</v>
      </c>
      <c r="H912">
        <v>1301658457</v>
      </c>
      <c r="I912" s="1">
        <v>687.47902619627757</v>
      </c>
    </row>
    <row r="913" spans="1:9" x14ac:dyDescent="0.3">
      <c r="A913" t="s">
        <v>24</v>
      </c>
      <c r="B913">
        <v>2019</v>
      </c>
      <c r="C913">
        <v>3</v>
      </c>
      <c r="D913" t="s">
        <v>11</v>
      </c>
      <c r="E913">
        <v>9386779</v>
      </c>
      <c r="F913" s="6">
        <v>3615636827.8118167</v>
      </c>
      <c r="G913" s="5">
        <v>63621272</v>
      </c>
      <c r="H913">
        <v>1301658457</v>
      </c>
      <c r="I913" s="1">
        <v>56.830627778265999</v>
      </c>
    </row>
    <row r="914" spans="1:9" x14ac:dyDescent="0.3">
      <c r="A914" t="s">
        <v>24</v>
      </c>
      <c r="B914">
        <v>2019</v>
      </c>
      <c r="C914">
        <v>3</v>
      </c>
      <c r="D914" t="s">
        <v>9</v>
      </c>
      <c r="E914">
        <v>8289987</v>
      </c>
      <c r="F914" s="6">
        <v>4817098564.8236408</v>
      </c>
      <c r="G914" s="5">
        <v>63621272</v>
      </c>
      <c r="H914">
        <v>1301658457</v>
      </c>
      <c r="I914" s="1">
        <v>75.715219350277067</v>
      </c>
    </row>
    <row r="915" spans="1:9" x14ac:dyDescent="0.3">
      <c r="A915" t="s">
        <v>24</v>
      </c>
      <c r="B915">
        <v>2019</v>
      </c>
      <c r="C915">
        <v>3</v>
      </c>
      <c r="D915" t="s">
        <v>12</v>
      </c>
      <c r="E915">
        <v>61503</v>
      </c>
      <c r="F915" s="6">
        <v>16715100.880217994</v>
      </c>
      <c r="G915" s="5">
        <v>63621272</v>
      </c>
      <c r="H915">
        <v>1301658457</v>
      </c>
      <c r="I915" s="1">
        <v>0.26272817808826571</v>
      </c>
    </row>
    <row r="916" spans="1:9" x14ac:dyDescent="0.3">
      <c r="A916" t="s">
        <v>24</v>
      </c>
      <c r="B916">
        <v>2019</v>
      </c>
      <c r="C916">
        <v>3</v>
      </c>
      <c r="D916" t="s">
        <v>13</v>
      </c>
      <c r="E916">
        <v>829974</v>
      </c>
      <c r="F916" s="6">
        <v>301378585.99785972</v>
      </c>
      <c r="G916" s="5">
        <v>63621272</v>
      </c>
      <c r="H916">
        <v>1301658457</v>
      </c>
      <c r="I916" s="1">
        <v>4.7370726256126998</v>
      </c>
    </row>
    <row r="917" spans="1:9" x14ac:dyDescent="0.3">
      <c r="A917" t="s">
        <v>24</v>
      </c>
      <c r="B917">
        <v>2019</v>
      </c>
      <c r="C917">
        <v>4</v>
      </c>
      <c r="D917" t="s">
        <v>10</v>
      </c>
      <c r="E917">
        <v>15729819</v>
      </c>
      <c r="F917" s="6">
        <v>58242027266.144432</v>
      </c>
      <c r="G917" s="5">
        <v>70033469</v>
      </c>
      <c r="H917">
        <v>1503940768</v>
      </c>
      <c r="I917" s="1">
        <v>831.63133424312355</v>
      </c>
    </row>
    <row r="918" spans="1:9" x14ac:dyDescent="0.3">
      <c r="A918" t="s">
        <v>24</v>
      </c>
      <c r="B918">
        <v>2019</v>
      </c>
      <c r="C918">
        <v>4</v>
      </c>
      <c r="D918" t="s">
        <v>11</v>
      </c>
      <c r="E918">
        <v>11615667</v>
      </c>
      <c r="F918" s="6">
        <v>5253780278.2364264</v>
      </c>
      <c r="G918" s="5">
        <v>70033469</v>
      </c>
      <c r="H918">
        <v>1503940768</v>
      </c>
      <c r="I918" s="1">
        <v>75.018135660771378</v>
      </c>
    </row>
    <row r="919" spans="1:9" x14ac:dyDescent="0.3">
      <c r="A919" t="s">
        <v>24</v>
      </c>
      <c r="B919">
        <v>2019</v>
      </c>
      <c r="C919">
        <v>4</v>
      </c>
      <c r="D919" t="s">
        <v>9</v>
      </c>
      <c r="E919">
        <v>9648003</v>
      </c>
      <c r="F919" s="6">
        <v>5637358525.7561941</v>
      </c>
      <c r="G919" s="5">
        <v>70033469</v>
      </c>
      <c r="H919">
        <v>1503940768</v>
      </c>
      <c r="I919" s="1">
        <v>80.495206167156937</v>
      </c>
    </row>
    <row r="920" spans="1:9" x14ac:dyDescent="0.3">
      <c r="A920" t="s">
        <v>24</v>
      </c>
      <c r="B920">
        <v>2019</v>
      </c>
      <c r="C920">
        <v>4</v>
      </c>
      <c r="D920" t="s">
        <v>12</v>
      </c>
      <c r="E920">
        <v>41688</v>
      </c>
      <c r="F920" s="6">
        <v>13756049.144287623</v>
      </c>
      <c r="G920" s="5">
        <v>70033469</v>
      </c>
      <c r="H920">
        <v>1503940768</v>
      </c>
      <c r="I920" s="1">
        <v>0.19642107324838676</v>
      </c>
    </row>
    <row r="921" spans="1:9" x14ac:dyDescent="0.3">
      <c r="A921" t="s">
        <v>24</v>
      </c>
      <c r="B921">
        <v>2019</v>
      </c>
      <c r="C921">
        <v>4</v>
      </c>
      <c r="D921" t="s">
        <v>13</v>
      </c>
      <c r="E921">
        <v>790808</v>
      </c>
      <c r="F921" s="6">
        <v>212797749.81994924</v>
      </c>
      <c r="G921" s="5">
        <v>70033469</v>
      </c>
      <c r="H921">
        <v>1503940768</v>
      </c>
      <c r="I921" s="1">
        <v>3.0385150537088093</v>
      </c>
    </row>
    <row r="922" spans="1:9" x14ac:dyDescent="0.3">
      <c r="A922" t="s">
        <v>24</v>
      </c>
      <c r="B922">
        <v>2020</v>
      </c>
      <c r="C922">
        <v>1</v>
      </c>
      <c r="D922" t="s">
        <v>10</v>
      </c>
      <c r="E922">
        <v>17728235</v>
      </c>
      <c r="F922" s="6">
        <v>68367245528.071487</v>
      </c>
      <c r="G922" s="5">
        <v>77206470</v>
      </c>
      <c r="H922">
        <v>1735728148</v>
      </c>
      <c r="I922" s="1">
        <v>885.51186873420693</v>
      </c>
    </row>
    <row r="923" spans="1:9" x14ac:dyDescent="0.3">
      <c r="A923" t="s">
        <v>24</v>
      </c>
      <c r="B923">
        <v>2020</v>
      </c>
      <c r="C923">
        <v>1</v>
      </c>
      <c r="D923" t="s">
        <v>11</v>
      </c>
      <c r="E923">
        <v>14327020</v>
      </c>
      <c r="F923" s="6">
        <v>7075196609.2248783</v>
      </c>
      <c r="G923" s="5">
        <v>77206470</v>
      </c>
      <c r="H923">
        <v>1735728148</v>
      </c>
      <c r="I923" s="1">
        <v>91.639944284784406</v>
      </c>
    </row>
    <row r="924" spans="1:9" x14ac:dyDescent="0.3">
      <c r="A924" t="s">
        <v>24</v>
      </c>
      <c r="B924">
        <v>2020</v>
      </c>
      <c r="C924">
        <v>1</v>
      </c>
      <c r="D924" t="s">
        <v>9</v>
      </c>
      <c r="E924">
        <v>11346112</v>
      </c>
      <c r="F924" s="6">
        <v>6331682016.5163221</v>
      </c>
      <c r="G924" s="5">
        <v>77206470</v>
      </c>
      <c r="H924">
        <v>1735728148</v>
      </c>
      <c r="I924" s="1">
        <v>82.009733336031587</v>
      </c>
    </row>
    <row r="925" spans="1:9" x14ac:dyDescent="0.3">
      <c r="A925" t="s">
        <v>24</v>
      </c>
      <c r="B925">
        <v>2020</v>
      </c>
      <c r="C925">
        <v>1</v>
      </c>
      <c r="D925" t="s">
        <v>12</v>
      </c>
      <c r="E925">
        <v>34488</v>
      </c>
      <c r="F925" s="6">
        <v>25266730.188326702</v>
      </c>
      <c r="G925" s="5">
        <v>77206470</v>
      </c>
      <c r="H925">
        <v>1735728148</v>
      </c>
      <c r="I925" s="1">
        <v>0.32726182389023489</v>
      </c>
    </row>
    <row r="926" spans="1:9" x14ac:dyDescent="0.3">
      <c r="A926" t="s">
        <v>24</v>
      </c>
      <c r="B926">
        <v>2020</v>
      </c>
      <c r="C926">
        <v>1</v>
      </c>
      <c r="D926" t="s">
        <v>13</v>
      </c>
      <c r="E926">
        <v>600232</v>
      </c>
      <c r="F926" s="6">
        <v>176823674.24305555</v>
      </c>
      <c r="G926" s="5">
        <v>77206470</v>
      </c>
      <c r="H926">
        <v>1735728148</v>
      </c>
      <c r="I926" s="1">
        <v>2.2902701579680507</v>
      </c>
    </row>
    <row r="927" spans="1:9" x14ac:dyDescent="0.3">
      <c r="A927" t="s">
        <v>24</v>
      </c>
      <c r="B927">
        <v>2020</v>
      </c>
      <c r="C927">
        <v>2</v>
      </c>
      <c r="D927" t="s">
        <v>10</v>
      </c>
      <c r="E927">
        <v>17334369</v>
      </c>
      <c r="F927" s="6">
        <v>66645492690.678391</v>
      </c>
      <c r="G927" s="5">
        <v>84511658</v>
      </c>
      <c r="H927">
        <v>1580151353</v>
      </c>
      <c r="I927" s="1">
        <v>788.59525736293551</v>
      </c>
    </row>
    <row r="928" spans="1:9" x14ac:dyDescent="0.3">
      <c r="A928" t="s">
        <v>24</v>
      </c>
      <c r="B928">
        <v>2020</v>
      </c>
      <c r="C928">
        <v>2</v>
      </c>
      <c r="D928" t="s">
        <v>9</v>
      </c>
      <c r="E928">
        <v>12740328</v>
      </c>
      <c r="F928" s="6">
        <v>6547618491.5324049</v>
      </c>
      <c r="G928" s="5">
        <v>84511658</v>
      </c>
      <c r="H928">
        <v>1580151353</v>
      </c>
      <c r="I928" s="1">
        <v>77.475920440850956</v>
      </c>
    </row>
    <row r="929" spans="1:9" x14ac:dyDescent="0.3">
      <c r="A929" t="s">
        <v>24</v>
      </c>
      <c r="B929">
        <v>2020</v>
      </c>
      <c r="C929">
        <v>2</v>
      </c>
      <c r="D929" t="s">
        <v>11</v>
      </c>
      <c r="E929">
        <v>11527654</v>
      </c>
      <c r="F929" s="6">
        <v>7393393677.7585011</v>
      </c>
      <c r="G929" s="5">
        <v>84511658</v>
      </c>
      <c r="H929">
        <v>1580151353</v>
      </c>
      <c r="I929" s="1">
        <v>87.483713522204255</v>
      </c>
    </row>
    <row r="930" spans="1:9" x14ac:dyDescent="0.3">
      <c r="A930" t="s">
        <v>24</v>
      </c>
      <c r="B930">
        <v>2020</v>
      </c>
      <c r="C930">
        <v>2</v>
      </c>
      <c r="D930" t="s">
        <v>12</v>
      </c>
      <c r="E930">
        <v>48759</v>
      </c>
      <c r="F930" s="6">
        <v>49209527.29146181</v>
      </c>
      <c r="G930" s="5">
        <v>84511658</v>
      </c>
      <c r="H930">
        <v>1580151353</v>
      </c>
      <c r="I930" s="1">
        <v>0.58228093562502126</v>
      </c>
    </row>
    <row r="931" spans="1:9" x14ac:dyDescent="0.3">
      <c r="A931" t="s">
        <v>24</v>
      </c>
      <c r="B931">
        <v>2020</v>
      </c>
      <c r="C931">
        <v>2</v>
      </c>
      <c r="D931" t="s">
        <v>13</v>
      </c>
      <c r="E931">
        <v>129940</v>
      </c>
      <c r="F931" s="6">
        <v>75550536.679935873</v>
      </c>
      <c r="G931" s="5">
        <v>84511658</v>
      </c>
      <c r="H931">
        <v>1580151353</v>
      </c>
      <c r="I931" s="1">
        <v>0.89396585592884559</v>
      </c>
    </row>
    <row r="932" spans="1:9" x14ac:dyDescent="0.3">
      <c r="A932" t="s">
        <v>24</v>
      </c>
      <c r="B932">
        <v>2020</v>
      </c>
      <c r="C932">
        <v>3</v>
      </c>
      <c r="D932" t="s">
        <v>10</v>
      </c>
      <c r="E932">
        <v>24123449</v>
      </c>
      <c r="F932" s="6">
        <v>88796356487.110245</v>
      </c>
      <c r="G932" s="5">
        <v>92386976</v>
      </c>
      <c r="H932">
        <v>2074762459</v>
      </c>
      <c r="I932" s="1">
        <v>961.13500334841831</v>
      </c>
    </row>
    <row r="933" spans="1:9" x14ac:dyDescent="0.3">
      <c r="A933" t="s">
        <v>24</v>
      </c>
      <c r="B933">
        <v>2020</v>
      </c>
      <c r="C933">
        <v>3</v>
      </c>
      <c r="D933" t="s">
        <v>11</v>
      </c>
      <c r="E933">
        <v>20845136</v>
      </c>
      <c r="F933" s="6">
        <v>12141560866.982178</v>
      </c>
      <c r="G933" s="5">
        <v>92386976</v>
      </c>
      <c r="H933">
        <v>2074762459</v>
      </c>
      <c r="I933" s="1">
        <v>131.42069794537034</v>
      </c>
    </row>
    <row r="934" spans="1:9" x14ac:dyDescent="0.3">
      <c r="A934" t="s">
        <v>24</v>
      </c>
      <c r="B934">
        <v>2020</v>
      </c>
      <c r="C934">
        <v>3</v>
      </c>
      <c r="D934" t="s">
        <v>9</v>
      </c>
      <c r="E934">
        <v>12716319</v>
      </c>
      <c r="F934" s="6">
        <v>8452802892.5044956</v>
      </c>
      <c r="G934" s="5">
        <v>92386976</v>
      </c>
      <c r="H934">
        <v>2074762459</v>
      </c>
      <c r="I934" s="1">
        <v>91.493447003877421</v>
      </c>
    </row>
    <row r="935" spans="1:9" x14ac:dyDescent="0.3">
      <c r="A935" t="s">
        <v>24</v>
      </c>
      <c r="B935">
        <v>2020</v>
      </c>
      <c r="C935">
        <v>3</v>
      </c>
      <c r="D935" t="s">
        <v>12</v>
      </c>
      <c r="E935">
        <v>66457</v>
      </c>
      <c r="F935" s="6">
        <v>80854296.930401295</v>
      </c>
      <c r="G935" s="5">
        <v>92386976</v>
      </c>
      <c r="H935">
        <v>2074762459</v>
      </c>
      <c r="I935" s="1">
        <v>0.87516986085139636</v>
      </c>
    </row>
    <row r="936" spans="1:9" x14ac:dyDescent="0.3">
      <c r="A936" t="s">
        <v>24</v>
      </c>
      <c r="B936">
        <v>2020</v>
      </c>
      <c r="C936">
        <v>3</v>
      </c>
      <c r="D936" t="s">
        <v>13</v>
      </c>
      <c r="E936">
        <v>186818</v>
      </c>
      <c r="F936" s="6">
        <v>96375902.203463078</v>
      </c>
      <c r="G936" s="5">
        <v>92386976</v>
      </c>
      <c r="H936">
        <v>2074762459</v>
      </c>
      <c r="I936" s="1">
        <v>1.0431762828070386</v>
      </c>
    </row>
    <row r="937" spans="1:9" x14ac:dyDescent="0.3">
      <c r="A937" t="s">
        <v>24</v>
      </c>
      <c r="B937">
        <v>2020</v>
      </c>
      <c r="C937">
        <v>4</v>
      </c>
      <c r="D937" t="s">
        <v>11</v>
      </c>
      <c r="E937">
        <v>34063692</v>
      </c>
      <c r="F937" s="6">
        <v>21382305452.06797</v>
      </c>
      <c r="G937" s="5">
        <v>100428603</v>
      </c>
      <c r="H937">
        <v>2597114377</v>
      </c>
      <c r="I937" s="1">
        <v>212.91051367176709</v>
      </c>
    </row>
    <row r="938" spans="1:9" x14ac:dyDescent="0.3">
      <c r="A938" t="s">
        <v>24</v>
      </c>
      <c r="B938">
        <v>2020</v>
      </c>
      <c r="C938">
        <v>4</v>
      </c>
      <c r="D938" t="s">
        <v>10</v>
      </c>
      <c r="E938">
        <v>33920789</v>
      </c>
      <c r="F938" s="6">
        <v>128613933346.85507</v>
      </c>
      <c r="G938" s="5">
        <v>100428603</v>
      </c>
      <c r="H938">
        <v>2597114377</v>
      </c>
      <c r="I938" s="1">
        <v>1280.6504273175549</v>
      </c>
    </row>
    <row r="939" spans="1:9" x14ac:dyDescent="0.3">
      <c r="A939" t="s">
        <v>24</v>
      </c>
      <c r="B939">
        <v>2020</v>
      </c>
      <c r="C939">
        <v>4</v>
      </c>
      <c r="D939" t="s">
        <v>9</v>
      </c>
      <c r="E939">
        <v>14682896</v>
      </c>
      <c r="F939" s="6">
        <v>9675471300.7316532</v>
      </c>
      <c r="G939" s="5">
        <v>100428603</v>
      </c>
      <c r="H939">
        <v>2597114377</v>
      </c>
      <c r="I939" s="1">
        <v>96.341789208515166</v>
      </c>
    </row>
    <row r="940" spans="1:9" x14ac:dyDescent="0.3">
      <c r="A940" t="s">
        <v>24</v>
      </c>
      <c r="B940">
        <v>2020</v>
      </c>
      <c r="C940">
        <v>4</v>
      </c>
      <c r="D940" t="s">
        <v>12</v>
      </c>
      <c r="E940">
        <v>84881</v>
      </c>
      <c r="F940" s="6">
        <v>103265693.75364488</v>
      </c>
      <c r="G940" s="5">
        <v>100428603</v>
      </c>
      <c r="H940">
        <v>2597114377</v>
      </c>
      <c r="I940" s="1">
        <v>1.0282498279264611</v>
      </c>
    </row>
    <row r="941" spans="1:9" x14ac:dyDescent="0.3">
      <c r="A941" t="s">
        <v>24</v>
      </c>
      <c r="B941">
        <v>2020</v>
      </c>
      <c r="C941">
        <v>4</v>
      </c>
      <c r="D941" t="s">
        <v>13</v>
      </c>
      <c r="E941">
        <v>419181</v>
      </c>
      <c r="F941" s="6">
        <v>223528573.13344151</v>
      </c>
      <c r="G941" s="5">
        <v>100428603</v>
      </c>
      <c r="H941">
        <v>2597114377</v>
      </c>
      <c r="I941" s="1">
        <v>2.2257461167058303</v>
      </c>
    </row>
    <row r="942" spans="1:9" x14ac:dyDescent="0.3">
      <c r="A942" t="s">
        <v>24</v>
      </c>
      <c r="B942">
        <v>2021</v>
      </c>
      <c r="C942">
        <v>1</v>
      </c>
      <c r="D942" t="s">
        <v>11</v>
      </c>
      <c r="E942">
        <v>39363588</v>
      </c>
      <c r="F942" s="6">
        <v>23389100227.155342</v>
      </c>
      <c r="G942" s="5">
        <v>108106955</v>
      </c>
      <c r="H942">
        <v>2933553513</v>
      </c>
      <c r="I942" s="1">
        <v>216.35148476021124</v>
      </c>
    </row>
    <row r="943" spans="1:9" x14ac:dyDescent="0.3">
      <c r="A943" t="s">
        <v>24</v>
      </c>
      <c r="B943">
        <v>2021</v>
      </c>
      <c r="C943">
        <v>1</v>
      </c>
      <c r="D943" t="s">
        <v>10</v>
      </c>
      <c r="E943">
        <v>36764622</v>
      </c>
      <c r="F943" s="6">
        <v>135970636784.61835</v>
      </c>
      <c r="G943" s="5">
        <v>108106955</v>
      </c>
      <c r="H943">
        <v>2933553513</v>
      </c>
      <c r="I943" s="1">
        <v>1257.7418056462541</v>
      </c>
    </row>
    <row r="944" spans="1:9" x14ac:dyDescent="0.3">
      <c r="A944" t="s">
        <v>24</v>
      </c>
      <c r="B944">
        <v>2021</v>
      </c>
      <c r="C944">
        <v>1</v>
      </c>
      <c r="D944" t="s">
        <v>9</v>
      </c>
      <c r="E944">
        <v>13680353</v>
      </c>
      <c r="F944" s="6">
        <v>9260346909.4406738</v>
      </c>
      <c r="G944" s="5">
        <v>108106955</v>
      </c>
      <c r="H944">
        <v>2933553513</v>
      </c>
      <c r="I944" s="1">
        <v>85.659122573942383</v>
      </c>
    </row>
    <row r="945" spans="1:9" x14ac:dyDescent="0.3">
      <c r="A945" t="s">
        <v>24</v>
      </c>
      <c r="B945">
        <v>2021</v>
      </c>
      <c r="C945">
        <v>1</v>
      </c>
      <c r="D945" t="s">
        <v>12</v>
      </c>
      <c r="E945">
        <v>79784</v>
      </c>
      <c r="F945" s="6">
        <v>99672809.992282182</v>
      </c>
      <c r="G945" s="5">
        <v>108106955</v>
      </c>
      <c r="H945">
        <v>2933553513</v>
      </c>
      <c r="I945" s="1">
        <v>0.92198332653326687</v>
      </c>
    </row>
    <row r="946" spans="1:9" x14ac:dyDescent="0.3">
      <c r="A946" t="s">
        <v>24</v>
      </c>
      <c r="B946">
        <v>2021</v>
      </c>
      <c r="C946">
        <v>1</v>
      </c>
      <c r="D946" t="s">
        <v>13</v>
      </c>
      <c r="E946">
        <v>364437</v>
      </c>
      <c r="F946" s="6">
        <v>218544351.22172093</v>
      </c>
      <c r="G946" s="5">
        <v>108106955</v>
      </c>
      <c r="H946">
        <v>2933553513</v>
      </c>
      <c r="I946" s="1">
        <v>2.0215568112312563</v>
      </c>
    </row>
    <row r="947" spans="1:9" x14ac:dyDescent="0.3">
      <c r="A947" t="s">
        <v>24</v>
      </c>
      <c r="B947">
        <v>2021</v>
      </c>
      <c r="C947">
        <v>2</v>
      </c>
      <c r="D947" t="s">
        <v>11</v>
      </c>
      <c r="E947">
        <v>45335533</v>
      </c>
      <c r="F947" s="6">
        <v>29119078263.957985</v>
      </c>
      <c r="G947" s="5">
        <v>115836534</v>
      </c>
      <c r="H947">
        <v>2574577566</v>
      </c>
      <c r="I947" s="1">
        <v>251.38077995287725</v>
      </c>
    </row>
    <row r="948" spans="1:9" x14ac:dyDescent="0.3">
      <c r="A948" t="s">
        <v>24</v>
      </c>
      <c r="B948">
        <v>2021</v>
      </c>
      <c r="C948">
        <v>2</v>
      </c>
      <c r="D948" t="s">
        <v>10</v>
      </c>
      <c r="E948">
        <v>44086559</v>
      </c>
      <c r="F948" s="6">
        <v>161073685336.66681</v>
      </c>
      <c r="G948" s="5">
        <v>115836534</v>
      </c>
      <c r="H948">
        <v>2574577566</v>
      </c>
      <c r="I948" s="1">
        <v>1390.5257674290117</v>
      </c>
    </row>
    <row r="949" spans="1:9" x14ac:dyDescent="0.3">
      <c r="A949" t="s">
        <v>24</v>
      </c>
      <c r="B949">
        <v>2021</v>
      </c>
      <c r="C949">
        <v>2</v>
      </c>
      <c r="D949" t="s">
        <v>9</v>
      </c>
      <c r="E949">
        <v>15861047</v>
      </c>
      <c r="F949" s="6">
        <v>9839496894.9714088</v>
      </c>
      <c r="G949" s="5">
        <v>115836534</v>
      </c>
      <c r="H949">
        <v>2574577566</v>
      </c>
      <c r="I949" s="1">
        <v>84.942949820748339</v>
      </c>
    </row>
    <row r="950" spans="1:9" x14ac:dyDescent="0.3">
      <c r="A950" t="s">
        <v>24</v>
      </c>
      <c r="B950">
        <v>2021</v>
      </c>
      <c r="C950">
        <v>2</v>
      </c>
      <c r="D950" t="s">
        <v>12</v>
      </c>
      <c r="E950">
        <v>85821</v>
      </c>
      <c r="F950" s="6">
        <v>97238136.09517692</v>
      </c>
      <c r="G950" s="5">
        <v>115836534</v>
      </c>
      <c r="H950">
        <v>2574577566</v>
      </c>
      <c r="I950" s="1">
        <v>0.83944272793225083</v>
      </c>
    </row>
    <row r="951" spans="1:9" x14ac:dyDescent="0.3">
      <c r="A951" t="s">
        <v>24</v>
      </c>
      <c r="B951">
        <v>2021</v>
      </c>
      <c r="C951">
        <v>2</v>
      </c>
      <c r="D951" t="s">
        <v>13</v>
      </c>
      <c r="E951">
        <v>311896</v>
      </c>
      <c r="F951" s="6">
        <v>227855606.99266592</v>
      </c>
      <c r="G951" s="5">
        <v>115836534</v>
      </c>
      <c r="H951">
        <v>2574577566</v>
      </c>
      <c r="I951" s="1">
        <v>1.9670444127123652</v>
      </c>
    </row>
    <row r="952" spans="1:9" x14ac:dyDescent="0.3">
      <c r="A952" t="s">
        <v>24</v>
      </c>
      <c r="B952">
        <v>2021</v>
      </c>
      <c r="C952">
        <v>3</v>
      </c>
      <c r="D952" t="s">
        <v>11</v>
      </c>
      <c r="E952">
        <v>66885213</v>
      </c>
      <c r="F952" s="6">
        <v>40190922826.606293</v>
      </c>
      <c r="G952" s="5">
        <v>124578696</v>
      </c>
      <c r="H952">
        <v>3265725155</v>
      </c>
      <c r="I952" s="1">
        <v>322.61473363476443</v>
      </c>
    </row>
    <row r="953" spans="1:9" x14ac:dyDescent="0.3">
      <c r="A953" t="s">
        <v>24</v>
      </c>
      <c r="B953">
        <v>2021</v>
      </c>
      <c r="C953">
        <v>3</v>
      </c>
      <c r="D953" t="s">
        <v>10</v>
      </c>
      <c r="E953">
        <v>55929958</v>
      </c>
      <c r="F953" s="6">
        <v>188548678300.52469</v>
      </c>
      <c r="G953" s="5">
        <v>124578696</v>
      </c>
      <c r="H953">
        <v>3265725155</v>
      </c>
      <c r="I953" s="1">
        <v>1513.4905433632464</v>
      </c>
    </row>
    <row r="954" spans="1:9" x14ac:dyDescent="0.3">
      <c r="A954" t="s">
        <v>24</v>
      </c>
      <c r="B954">
        <v>2021</v>
      </c>
      <c r="C954">
        <v>3</v>
      </c>
      <c r="D954" t="s">
        <v>9</v>
      </c>
      <c r="E954">
        <v>17087955</v>
      </c>
      <c r="F954" s="6">
        <v>11681457468.964512</v>
      </c>
      <c r="G954" s="5">
        <v>124578696</v>
      </c>
      <c r="H954">
        <v>3265725155</v>
      </c>
      <c r="I954" s="1">
        <v>93.767697399598021</v>
      </c>
    </row>
    <row r="955" spans="1:9" x14ac:dyDescent="0.3">
      <c r="A955" t="s">
        <v>24</v>
      </c>
      <c r="B955">
        <v>2021</v>
      </c>
      <c r="C955">
        <v>3</v>
      </c>
      <c r="D955" t="s">
        <v>12</v>
      </c>
      <c r="E955">
        <v>77496</v>
      </c>
      <c r="F955" s="6">
        <v>116592181.46997279</v>
      </c>
      <c r="G955" s="5">
        <v>124578696</v>
      </c>
      <c r="H955">
        <v>3265725155</v>
      </c>
      <c r="I955" s="1">
        <v>0.9358918114696978</v>
      </c>
    </row>
    <row r="956" spans="1:9" x14ac:dyDescent="0.3">
      <c r="A956" t="s">
        <v>24</v>
      </c>
      <c r="B956">
        <v>2021</v>
      </c>
      <c r="C956">
        <v>3</v>
      </c>
      <c r="D956" t="s">
        <v>13</v>
      </c>
      <c r="E956">
        <v>479071</v>
      </c>
      <c r="F956" s="6">
        <v>289441481.64370304</v>
      </c>
      <c r="G956" s="5">
        <v>124578696</v>
      </c>
      <c r="H956">
        <v>3265725155</v>
      </c>
      <c r="I956" s="1">
        <v>2.3233625887664053</v>
      </c>
    </row>
    <row r="957" spans="1:9" x14ac:dyDescent="0.3">
      <c r="A957" t="s">
        <v>24</v>
      </c>
      <c r="B957">
        <v>2021</v>
      </c>
      <c r="C957">
        <v>4</v>
      </c>
      <c r="D957" t="s">
        <v>11</v>
      </c>
      <c r="E957">
        <v>84993587</v>
      </c>
      <c r="F957" s="6">
        <v>56325102920.506706</v>
      </c>
      <c r="G957" s="5">
        <v>133280829</v>
      </c>
      <c r="H957">
        <v>4863946857</v>
      </c>
      <c r="I957" s="1">
        <v>422.60468623365711</v>
      </c>
    </row>
    <row r="958" spans="1:9" x14ac:dyDescent="0.3">
      <c r="A958" t="s">
        <v>24</v>
      </c>
      <c r="B958">
        <v>2021</v>
      </c>
      <c r="C958">
        <v>4</v>
      </c>
      <c r="D958" t="s">
        <v>10</v>
      </c>
      <c r="E958">
        <v>66548306</v>
      </c>
      <c r="F958" s="6">
        <v>238638993818.09595</v>
      </c>
      <c r="G958" s="5">
        <v>133280829</v>
      </c>
      <c r="H958">
        <v>4863946857</v>
      </c>
      <c r="I958" s="1">
        <v>1790.4975202254777</v>
      </c>
    </row>
    <row r="959" spans="1:9" x14ac:dyDescent="0.3">
      <c r="A959" t="s">
        <v>24</v>
      </c>
      <c r="B959">
        <v>2021</v>
      </c>
      <c r="C959">
        <v>4</v>
      </c>
      <c r="D959" t="s">
        <v>9</v>
      </c>
      <c r="E959">
        <v>17632752</v>
      </c>
      <c r="F959" s="6">
        <v>13817258646.066364</v>
      </c>
      <c r="G959" s="5">
        <v>133280829</v>
      </c>
      <c r="H959">
        <v>4863946857</v>
      </c>
      <c r="I959" s="1">
        <v>103.67026338098755</v>
      </c>
    </row>
    <row r="960" spans="1:9" x14ac:dyDescent="0.3">
      <c r="A960" t="s">
        <v>24</v>
      </c>
      <c r="B960">
        <v>2021</v>
      </c>
      <c r="C960">
        <v>4</v>
      </c>
      <c r="D960" t="s">
        <v>12</v>
      </c>
      <c r="E960">
        <v>105050</v>
      </c>
      <c r="F960" s="6">
        <v>151421306.61683068</v>
      </c>
      <c r="G960" s="5">
        <v>133280829</v>
      </c>
      <c r="H960">
        <v>4863946857</v>
      </c>
      <c r="I960" s="1">
        <v>1.1361071787513468</v>
      </c>
    </row>
    <row r="961" spans="1:9" x14ac:dyDescent="0.3">
      <c r="A961" t="s">
        <v>24</v>
      </c>
      <c r="B961">
        <v>2021</v>
      </c>
      <c r="C961">
        <v>4</v>
      </c>
      <c r="D961" t="s">
        <v>13</v>
      </c>
      <c r="E961">
        <v>407280</v>
      </c>
      <c r="F961" s="6">
        <v>307822609.17479354</v>
      </c>
      <c r="G961" s="5">
        <v>133280829</v>
      </c>
      <c r="H961">
        <v>4863946857</v>
      </c>
      <c r="I961" s="1">
        <v>2.3095790406195142</v>
      </c>
    </row>
    <row r="962" spans="1:9" x14ac:dyDescent="0.3">
      <c r="A962" t="s">
        <v>25</v>
      </c>
      <c r="B962">
        <v>2018</v>
      </c>
      <c r="C962">
        <v>1</v>
      </c>
      <c r="D962" t="s">
        <v>9</v>
      </c>
      <c r="E962">
        <v>284371</v>
      </c>
      <c r="F962" s="6">
        <v>49871175.826074272</v>
      </c>
      <c r="G962" s="5">
        <v>2501103</v>
      </c>
      <c r="H962">
        <v>0</v>
      </c>
      <c r="I962" s="1">
        <v>19.939672946725615</v>
      </c>
    </row>
    <row r="963" spans="1:9" x14ac:dyDescent="0.3">
      <c r="A963" t="s">
        <v>25</v>
      </c>
      <c r="B963">
        <v>2018</v>
      </c>
      <c r="C963">
        <v>1</v>
      </c>
      <c r="D963" t="s">
        <v>10</v>
      </c>
      <c r="E963">
        <v>154572</v>
      </c>
      <c r="F963" s="6">
        <v>546222027.48353028</v>
      </c>
      <c r="G963" s="5">
        <v>2501103</v>
      </c>
      <c r="H963">
        <v>0</v>
      </c>
      <c r="I963" s="1">
        <v>218.39245624171826</v>
      </c>
    </row>
    <row r="964" spans="1:9" x14ac:dyDescent="0.3">
      <c r="A964" t="s">
        <v>25</v>
      </c>
      <c r="B964">
        <v>2018</v>
      </c>
      <c r="C964">
        <v>1</v>
      </c>
      <c r="D964" t="s">
        <v>11</v>
      </c>
      <c r="E964">
        <v>13241</v>
      </c>
      <c r="F964" s="6">
        <v>13851230.834952449</v>
      </c>
      <c r="G964" s="5">
        <v>2501103</v>
      </c>
      <c r="H964">
        <v>0</v>
      </c>
      <c r="I964" s="1">
        <v>5.5380489467856577</v>
      </c>
    </row>
    <row r="965" spans="1:9" x14ac:dyDescent="0.3">
      <c r="A965" t="s">
        <v>25</v>
      </c>
      <c r="B965">
        <v>2018</v>
      </c>
      <c r="C965">
        <v>1</v>
      </c>
      <c r="D965" t="s">
        <v>12</v>
      </c>
      <c r="E965">
        <v>8955</v>
      </c>
      <c r="F965" s="6">
        <v>2040522.724771278</v>
      </c>
      <c r="G965" s="5">
        <v>2501103</v>
      </c>
      <c r="H965">
        <v>0</v>
      </c>
      <c r="I965" s="1">
        <v>0.81584913726914809</v>
      </c>
    </row>
    <row r="966" spans="1:9" x14ac:dyDescent="0.3">
      <c r="A966" t="s">
        <v>25</v>
      </c>
      <c r="B966">
        <v>2018</v>
      </c>
      <c r="C966">
        <v>1</v>
      </c>
      <c r="D966" t="s">
        <v>13</v>
      </c>
      <c r="E966">
        <v>20779</v>
      </c>
      <c r="F966" s="6">
        <v>16752849.503009535</v>
      </c>
      <c r="G966" s="5">
        <v>2501103</v>
      </c>
      <c r="H966">
        <v>0</v>
      </c>
      <c r="I966" s="1">
        <v>6.6981845621749825</v>
      </c>
    </row>
    <row r="967" spans="1:9" x14ac:dyDescent="0.3">
      <c r="A967" t="s">
        <v>25</v>
      </c>
      <c r="B967">
        <v>2018</v>
      </c>
      <c r="C967">
        <v>2</v>
      </c>
      <c r="D967" t="s">
        <v>9</v>
      </c>
      <c r="E967">
        <v>385642</v>
      </c>
      <c r="F967" s="6">
        <v>83714322.414041996</v>
      </c>
      <c r="G967" s="5">
        <v>3468289</v>
      </c>
      <c r="H967">
        <v>0</v>
      </c>
      <c r="I967" s="1">
        <v>24.137066551847898</v>
      </c>
    </row>
    <row r="968" spans="1:9" x14ac:dyDescent="0.3">
      <c r="A968" t="s">
        <v>25</v>
      </c>
      <c r="B968">
        <v>2018</v>
      </c>
      <c r="C968">
        <v>2</v>
      </c>
      <c r="D968" t="s">
        <v>10</v>
      </c>
      <c r="E968">
        <v>243436</v>
      </c>
      <c r="F968" s="6">
        <v>1043702964.1513071</v>
      </c>
      <c r="G968" s="5">
        <v>3468289</v>
      </c>
      <c r="H968">
        <v>0</v>
      </c>
      <c r="I968" s="1">
        <v>300.92733453045787</v>
      </c>
    </row>
    <row r="969" spans="1:9" x14ac:dyDescent="0.3">
      <c r="A969" t="s">
        <v>25</v>
      </c>
      <c r="B969">
        <v>2018</v>
      </c>
      <c r="C969">
        <v>2</v>
      </c>
      <c r="D969" t="s">
        <v>11</v>
      </c>
      <c r="E969">
        <v>27851</v>
      </c>
      <c r="F969" s="6">
        <v>31961300.882765952</v>
      </c>
      <c r="G969" s="5">
        <v>3468289</v>
      </c>
      <c r="H969">
        <v>0</v>
      </c>
      <c r="I969" s="1">
        <v>9.2152934437602951</v>
      </c>
    </row>
    <row r="970" spans="1:9" x14ac:dyDescent="0.3">
      <c r="A970" t="s">
        <v>25</v>
      </c>
      <c r="B970">
        <v>2018</v>
      </c>
      <c r="C970">
        <v>2</v>
      </c>
      <c r="D970" t="s">
        <v>12</v>
      </c>
      <c r="E970">
        <v>11330</v>
      </c>
      <c r="F970" s="6">
        <v>4108919.3075577794</v>
      </c>
      <c r="G970" s="5">
        <v>3468289</v>
      </c>
      <c r="H970">
        <v>0</v>
      </c>
      <c r="I970" s="1">
        <v>1.1847107630182432</v>
      </c>
    </row>
    <row r="971" spans="1:9" x14ac:dyDescent="0.3">
      <c r="A971" t="s">
        <v>25</v>
      </c>
      <c r="B971">
        <v>2018</v>
      </c>
      <c r="C971">
        <v>2</v>
      </c>
      <c r="D971" t="s">
        <v>13</v>
      </c>
      <c r="E971">
        <v>19436</v>
      </c>
      <c r="F971" s="6">
        <v>19681794.59544668</v>
      </c>
      <c r="G971" s="5">
        <v>3468289</v>
      </c>
      <c r="H971">
        <v>0</v>
      </c>
      <c r="I971" s="1">
        <v>5.6747850584096886</v>
      </c>
    </row>
    <row r="972" spans="1:9" x14ac:dyDescent="0.3">
      <c r="A972" t="s">
        <v>25</v>
      </c>
      <c r="B972">
        <v>2018</v>
      </c>
      <c r="C972">
        <v>3</v>
      </c>
      <c r="D972" t="s">
        <v>9</v>
      </c>
      <c r="E972">
        <v>457449</v>
      </c>
      <c r="F972" s="6">
        <v>108456077.51862916</v>
      </c>
      <c r="G972" s="5">
        <v>4483974</v>
      </c>
      <c r="H972">
        <v>0</v>
      </c>
      <c r="I972" s="1">
        <v>24.187490275061624</v>
      </c>
    </row>
    <row r="973" spans="1:9" x14ac:dyDescent="0.3">
      <c r="A973" t="s">
        <v>25</v>
      </c>
      <c r="B973">
        <v>2018</v>
      </c>
      <c r="C973">
        <v>3</v>
      </c>
      <c r="D973" t="s">
        <v>10</v>
      </c>
      <c r="E973">
        <v>362755</v>
      </c>
      <c r="F973" s="6">
        <v>1596570994.9854269</v>
      </c>
      <c r="G973" s="5">
        <v>4483974</v>
      </c>
      <c r="H973">
        <v>0</v>
      </c>
      <c r="I973" s="1">
        <v>356.06160851633547</v>
      </c>
    </row>
    <row r="974" spans="1:9" x14ac:dyDescent="0.3">
      <c r="A974" t="s">
        <v>25</v>
      </c>
      <c r="B974">
        <v>2018</v>
      </c>
      <c r="C974">
        <v>3</v>
      </c>
      <c r="D974" t="s">
        <v>11</v>
      </c>
      <c r="E974">
        <v>40675</v>
      </c>
      <c r="F974" s="6">
        <v>31168155.221930541</v>
      </c>
      <c r="G974" s="5">
        <v>4483974</v>
      </c>
      <c r="H974">
        <v>0</v>
      </c>
      <c r="I974" s="1">
        <v>6.9510115852434788</v>
      </c>
    </row>
    <row r="975" spans="1:9" x14ac:dyDescent="0.3">
      <c r="A975" t="s">
        <v>25</v>
      </c>
      <c r="B975">
        <v>2018</v>
      </c>
      <c r="C975">
        <v>3</v>
      </c>
      <c r="D975" t="s">
        <v>12</v>
      </c>
      <c r="E975">
        <v>8182</v>
      </c>
      <c r="F975" s="6">
        <v>1552275.0537747287</v>
      </c>
      <c r="G975" s="5">
        <v>4483974</v>
      </c>
      <c r="H975">
        <v>0</v>
      </c>
      <c r="I975" s="1">
        <v>0.34618288459628194</v>
      </c>
    </row>
    <row r="976" spans="1:9" x14ac:dyDescent="0.3">
      <c r="A976" t="s">
        <v>25</v>
      </c>
      <c r="B976">
        <v>2018</v>
      </c>
      <c r="C976">
        <v>3</v>
      </c>
      <c r="D976" t="s">
        <v>13</v>
      </c>
      <c r="E976">
        <v>17693</v>
      </c>
      <c r="F976" s="6">
        <v>16293930.078267336</v>
      </c>
      <c r="G976" s="5">
        <v>4483974</v>
      </c>
      <c r="H976">
        <v>0</v>
      </c>
      <c r="I976" s="1">
        <v>3.6338145757016735</v>
      </c>
    </row>
    <row r="977" spans="1:9" x14ac:dyDescent="0.3">
      <c r="A977" t="s">
        <v>25</v>
      </c>
      <c r="B977">
        <v>2018</v>
      </c>
      <c r="C977">
        <v>4</v>
      </c>
      <c r="D977" t="s">
        <v>9</v>
      </c>
      <c r="E977">
        <v>598325</v>
      </c>
      <c r="F977" s="6">
        <v>143031082.44320169</v>
      </c>
      <c r="G977" s="5">
        <v>5789773</v>
      </c>
      <c r="H977">
        <v>0</v>
      </c>
      <c r="I977" s="1">
        <v>24.70409158410903</v>
      </c>
    </row>
    <row r="978" spans="1:9" x14ac:dyDescent="0.3">
      <c r="A978" t="s">
        <v>25</v>
      </c>
      <c r="B978">
        <v>2018</v>
      </c>
      <c r="C978">
        <v>4</v>
      </c>
      <c r="D978" t="s">
        <v>10</v>
      </c>
      <c r="E978">
        <v>590518</v>
      </c>
      <c r="F978" s="6">
        <v>2367228879.4462624</v>
      </c>
      <c r="G978" s="5">
        <v>5789773</v>
      </c>
      <c r="H978">
        <v>0</v>
      </c>
      <c r="I978" s="1">
        <v>408.86385000694543</v>
      </c>
    </row>
    <row r="979" spans="1:9" x14ac:dyDescent="0.3">
      <c r="A979" t="s">
        <v>25</v>
      </c>
      <c r="B979">
        <v>2018</v>
      </c>
      <c r="C979">
        <v>4</v>
      </c>
      <c r="D979" t="s">
        <v>11</v>
      </c>
      <c r="E979">
        <v>86963</v>
      </c>
      <c r="F979" s="6">
        <v>87575811.800143346</v>
      </c>
      <c r="G979" s="5">
        <v>5789773</v>
      </c>
      <c r="H979">
        <v>0</v>
      </c>
      <c r="I979" s="1">
        <v>15.125949117546291</v>
      </c>
    </row>
    <row r="980" spans="1:9" x14ac:dyDescent="0.3">
      <c r="A980" t="s">
        <v>25</v>
      </c>
      <c r="B980">
        <v>2018</v>
      </c>
      <c r="C980">
        <v>4</v>
      </c>
      <c r="D980" t="s">
        <v>12</v>
      </c>
      <c r="E980">
        <v>11834</v>
      </c>
      <c r="F980" s="6">
        <v>2283052.7909772652</v>
      </c>
      <c r="G980" s="5">
        <v>5789773</v>
      </c>
      <c r="H980">
        <v>0</v>
      </c>
      <c r="I980" s="1">
        <v>0.39432509547045547</v>
      </c>
    </row>
    <row r="981" spans="1:9" x14ac:dyDescent="0.3">
      <c r="A981" t="s">
        <v>25</v>
      </c>
      <c r="B981">
        <v>2018</v>
      </c>
      <c r="C981">
        <v>4</v>
      </c>
      <c r="D981" t="s">
        <v>13</v>
      </c>
      <c r="E981">
        <v>20243</v>
      </c>
      <c r="F981" s="6">
        <v>21180141.658664487</v>
      </c>
      <c r="G981" s="5">
        <v>5789773</v>
      </c>
      <c r="H981">
        <v>0</v>
      </c>
      <c r="I981" s="1">
        <v>3.6581989757913629</v>
      </c>
    </row>
    <row r="982" spans="1:9" x14ac:dyDescent="0.3">
      <c r="A982" t="s">
        <v>25</v>
      </c>
      <c r="B982">
        <v>2019</v>
      </c>
      <c r="C982">
        <v>1</v>
      </c>
      <c r="D982" t="s">
        <v>10</v>
      </c>
      <c r="E982">
        <v>1178280</v>
      </c>
      <c r="F982" s="6">
        <v>3066233587.9236507</v>
      </c>
      <c r="G982" s="5">
        <v>7185255</v>
      </c>
      <c r="H982">
        <v>0</v>
      </c>
      <c r="I982" s="1">
        <v>426.73970345153384</v>
      </c>
    </row>
    <row r="983" spans="1:9" x14ac:dyDescent="0.3">
      <c r="A983" t="s">
        <v>25</v>
      </c>
      <c r="B983">
        <v>2019</v>
      </c>
      <c r="C983">
        <v>1</v>
      </c>
      <c r="D983" t="s">
        <v>9</v>
      </c>
      <c r="E983">
        <v>844570</v>
      </c>
      <c r="F983" s="6">
        <v>209521987.03977025</v>
      </c>
      <c r="G983" s="5">
        <v>7185255</v>
      </c>
      <c r="H983">
        <v>0</v>
      </c>
      <c r="I983" s="1">
        <v>29.159993213848395</v>
      </c>
    </row>
    <row r="984" spans="1:9" x14ac:dyDescent="0.3">
      <c r="A984" t="s">
        <v>25</v>
      </c>
      <c r="B984">
        <v>2019</v>
      </c>
      <c r="C984">
        <v>1</v>
      </c>
      <c r="D984" t="s">
        <v>11</v>
      </c>
      <c r="E984">
        <v>115553</v>
      </c>
      <c r="F984" s="6">
        <v>86624660.311204299</v>
      </c>
      <c r="G984" s="5">
        <v>7185255</v>
      </c>
      <c r="H984">
        <v>0</v>
      </c>
      <c r="I984" s="1">
        <v>12.055892283740006</v>
      </c>
    </row>
    <row r="985" spans="1:9" x14ac:dyDescent="0.3">
      <c r="A985" t="s">
        <v>25</v>
      </c>
      <c r="B985">
        <v>2019</v>
      </c>
      <c r="C985">
        <v>1</v>
      </c>
      <c r="D985" t="s">
        <v>12</v>
      </c>
      <c r="E985">
        <v>9585</v>
      </c>
      <c r="F985" s="6">
        <v>1424229.9989233727</v>
      </c>
      <c r="G985" s="5">
        <v>7185255</v>
      </c>
      <c r="H985">
        <v>0</v>
      </c>
      <c r="I985" s="1">
        <v>0.19821565120839452</v>
      </c>
    </row>
    <row r="986" spans="1:9" x14ac:dyDescent="0.3">
      <c r="A986" t="s">
        <v>25</v>
      </c>
      <c r="B986">
        <v>2019</v>
      </c>
      <c r="C986">
        <v>1</v>
      </c>
      <c r="D986" t="s">
        <v>13</v>
      </c>
      <c r="E986">
        <v>20730</v>
      </c>
      <c r="F986" s="6">
        <v>17676977.717503674</v>
      </c>
      <c r="G986" s="5">
        <v>7185255</v>
      </c>
      <c r="H986">
        <v>0</v>
      </c>
      <c r="I986" s="1">
        <v>2.4601740254874285</v>
      </c>
    </row>
    <row r="987" spans="1:9" x14ac:dyDescent="0.3">
      <c r="A987" t="s">
        <v>25</v>
      </c>
      <c r="B987">
        <v>2019</v>
      </c>
      <c r="C987">
        <v>2</v>
      </c>
      <c r="D987" t="s">
        <v>10</v>
      </c>
      <c r="E987">
        <v>1141873</v>
      </c>
      <c r="F987" s="6">
        <v>4428007670.9587078</v>
      </c>
      <c r="G987" s="5">
        <v>8498633</v>
      </c>
      <c r="H987">
        <v>36538821</v>
      </c>
      <c r="I987" s="1">
        <v>521.02587215599351</v>
      </c>
    </row>
    <row r="988" spans="1:9" x14ac:dyDescent="0.3">
      <c r="A988" t="s">
        <v>25</v>
      </c>
      <c r="B988">
        <v>2019</v>
      </c>
      <c r="C988">
        <v>2</v>
      </c>
      <c r="D988" t="s">
        <v>9</v>
      </c>
      <c r="E988">
        <v>1076793</v>
      </c>
      <c r="F988" s="6">
        <v>279864579.97562265</v>
      </c>
      <c r="G988" s="5">
        <v>8498633</v>
      </c>
      <c r="H988">
        <v>36538821</v>
      </c>
      <c r="I988" s="1">
        <v>32.930540708796656</v>
      </c>
    </row>
    <row r="989" spans="1:9" x14ac:dyDescent="0.3">
      <c r="A989" t="s">
        <v>25</v>
      </c>
      <c r="B989">
        <v>2019</v>
      </c>
      <c r="C989">
        <v>2</v>
      </c>
      <c r="D989" t="s">
        <v>11</v>
      </c>
      <c r="E989">
        <v>248517</v>
      </c>
      <c r="F989" s="6">
        <v>141088575.8726466</v>
      </c>
      <c r="G989" s="5">
        <v>8498633</v>
      </c>
      <c r="H989">
        <v>36538821</v>
      </c>
      <c r="I989" s="1">
        <v>16.601325868836387</v>
      </c>
    </row>
    <row r="990" spans="1:9" x14ac:dyDescent="0.3">
      <c r="A990" t="s">
        <v>25</v>
      </c>
      <c r="B990">
        <v>2019</v>
      </c>
      <c r="C990">
        <v>2</v>
      </c>
      <c r="D990" t="s">
        <v>12</v>
      </c>
      <c r="E990">
        <v>5013</v>
      </c>
      <c r="F990" s="6">
        <v>1453651.5352588107</v>
      </c>
      <c r="G990" s="5">
        <v>8498633</v>
      </c>
      <c r="H990">
        <v>36538821</v>
      </c>
      <c r="I990" s="1">
        <v>0.17104533579209866</v>
      </c>
    </row>
    <row r="991" spans="1:9" x14ac:dyDescent="0.3">
      <c r="A991" t="s">
        <v>25</v>
      </c>
      <c r="B991">
        <v>2019</v>
      </c>
      <c r="C991">
        <v>2</v>
      </c>
      <c r="D991" t="s">
        <v>13</v>
      </c>
      <c r="E991">
        <v>30110</v>
      </c>
      <c r="F991" s="6">
        <v>25469495.268363245</v>
      </c>
      <c r="G991" s="5">
        <v>8498633</v>
      </c>
      <c r="H991">
        <v>36538821</v>
      </c>
      <c r="I991" s="1">
        <v>2.9968931789810487</v>
      </c>
    </row>
    <row r="992" spans="1:9" x14ac:dyDescent="0.3">
      <c r="A992" t="s">
        <v>25</v>
      </c>
      <c r="B992">
        <v>2019</v>
      </c>
      <c r="C992">
        <v>3</v>
      </c>
      <c r="D992" t="s">
        <v>9</v>
      </c>
      <c r="E992">
        <v>1212659</v>
      </c>
      <c r="F992" s="6">
        <v>327570066.99671471</v>
      </c>
      <c r="G992" s="5">
        <v>9638024</v>
      </c>
      <c r="H992">
        <v>117928151</v>
      </c>
      <c r="I992" s="1">
        <v>33.987264090306759</v>
      </c>
    </row>
    <row r="993" spans="1:9" x14ac:dyDescent="0.3">
      <c r="A993" t="s">
        <v>25</v>
      </c>
      <c r="B993">
        <v>2019</v>
      </c>
      <c r="C993">
        <v>3</v>
      </c>
      <c r="D993" t="s">
        <v>10</v>
      </c>
      <c r="E993">
        <v>1181680</v>
      </c>
      <c r="F993" s="6">
        <v>5039276845.2952127</v>
      </c>
      <c r="G993" s="5">
        <v>9638024</v>
      </c>
      <c r="H993">
        <v>117928151</v>
      </c>
      <c r="I993" s="1">
        <v>522.85373488333425</v>
      </c>
    </row>
    <row r="994" spans="1:9" x14ac:dyDescent="0.3">
      <c r="A994" t="s">
        <v>25</v>
      </c>
      <c r="B994">
        <v>2019</v>
      </c>
      <c r="C994">
        <v>3</v>
      </c>
      <c r="D994" t="s">
        <v>11</v>
      </c>
      <c r="E994">
        <v>312575</v>
      </c>
      <c r="F994" s="6">
        <v>182746198.16430056</v>
      </c>
      <c r="G994" s="5">
        <v>9638024</v>
      </c>
      <c r="H994">
        <v>117928151</v>
      </c>
      <c r="I994" s="1">
        <v>18.960961102016405</v>
      </c>
    </row>
    <row r="995" spans="1:9" x14ac:dyDescent="0.3">
      <c r="A995" t="s">
        <v>25</v>
      </c>
      <c r="B995">
        <v>2019</v>
      </c>
      <c r="C995">
        <v>3</v>
      </c>
      <c r="D995" t="s">
        <v>12</v>
      </c>
      <c r="E995">
        <v>3096</v>
      </c>
      <c r="F995" s="6">
        <v>1775673.9713265826</v>
      </c>
      <c r="G995" s="5">
        <v>9638024</v>
      </c>
      <c r="H995">
        <v>117928151</v>
      </c>
      <c r="I995" s="1">
        <v>0.18423630936451107</v>
      </c>
    </row>
    <row r="996" spans="1:9" x14ac:dyDescent="0.3">
      <c r="A996" t="s">
        <v>25</v>
      </c>
      <c r="B996">
        <v>2019</v>
      </c>
      <c r="C996">
        <v>3</v>
      </c>
      <c r="D996" t="s">
        <v>13</v>
      </c>
      <c r="E996">
        <v>25170</v>
      </c>
      <c r="F996" s="6">
        <v>20649996.695780389</v>
      </c>
      <c r="G996" s="5">
        <v>9638024</v>
      </c>
      <c r="H996">
        <v>117928151</v>
      </c>
      <c r="I996" s="1">
        <v>2.1425550191388183</v>
      </c>
    </row>
    <row r="997" spans="1:9" x14ac:dyDescent="0.3">
      <c r="A997" t="s">
        <v>25</v>
      </c>
      <c r="B997">
        <v>2019</v>
      </c>
      <c r="C997">
        <v>4</v>
      </c>
      <c r="D997" t="s">
        <v>10</v>
      </c>
      <c r="E997">
        <v>1579582</v>
      </c>
      <c r="F997" s="6">
        <v>6533855301.069828</v>
      </c>
      <c r="G997" s="5">
        <v>10845395</v>
      </c>
      <c r="H997">
        <v>139016944</v>
      </c>
      <c r="I997" s="1">
        <v>602.45434131904165</v>
      </c>
    </row>
    <row r="998" spans="1:9" x14ac:dyDescent="0.3">
      <c r="A998" t="s">
        <v>25</v>
      </c>
      <c r="B998">
        <v>2019</v>
      </c>
      <c r="C998">
        <v>4</v>
      </c>
      <c r="D998" t="s">
        <v>9</v>
      </c>
      <c r="E998">
        <v>1442940</v>
      </c>
      <c r="F998" s="6">
        <v>402619114.99428564</v>
      </c>
      <c r="G998" s="5">
        <v>10845395</v>
      </c>
      <c r="H998">
        <v>139016944</v>
      </c>
      <c r="I998" s="1">
        <v>37.123508640698255</v>
      </c>
    </row>
    <row r="999" spans="1:9" x14ac:dyDescent="0.3">
      <c r="A999" t="s">
        <v>25</v>
      </c>
      <c r="B999">
        <v>2019</v>
      </c>
      <c r="C999">
        <v>4</v>
      </c>
      <c r="D999" t="s">
        <v>11</v>
      </c>
      <c r="E999">
        <v>467309</v>
      </c>
      <c r="F999" s="6">
        <v>314965060.63526958</v>
      </c>
      <c r="G999" s="5">
        <v>10845395</v>
      </c>
      <c r="H999">
        <v>139016944</v>
      </c>
      <c r="I999" s="1">
        <v>29.041363697243813</v>
      </c>
    </row>
    <row r="1000" spans="1:9" x14ac:dyDescent="0.3">
      <c r="A1000" t="s">
        <v>25</v>
      </c>
      <c r="B1000">
        <v>2019</v>
      </c>
      <c r="C1000">
        <v>4</v>
      </c>
      <c r="D1000" t="s">
        <v>12</v>
      </c>
      <c r="E1000">
        <v>4576</v>
      </c>
      <c r="F1000" s="6">
        <v>1769641.9665086274</v>
      </c>
      <c r="G1000" s="5">
        <v>10845395</v>
      </c>
      <c r="H1000">
        <v>139016944</v>
      </c>
      <c r="I1000" s="1">
        <v>0.16316989528815018</v>
      </c>
    </row>
    <row r="1001" spans="1:9" x14ac:dyDescent="0.3">
      <c r="A1001" t="s">
        <v>25</v>
      </c>
      <c r="B1001">
        <v>2019</v>
      </c>
      <c r="C1001">
        <v>4</v>
      </c>
      <c r="D1001" t="s">
        <v>13</v>
      </c>
      <c r="E1001">
        <v>22239</v>
      </c>
      <c r="F1001" s="6">
        <v>17954418.582290154</v>
      </c>
      <c r="G1001" s="5">
        <v>10845395</v>
      </c>
      <c r="H1001">
        <v>139016944</v>
      </c>
      <c r="I1001" s="1">
        <v>1.6554877514641149</v>
      </c>
    </row>
    <row r="1002" spans="1:9" x14ac:dyDescent="0.3">
      <c r="A1002" t="s">
        <v>25</v>
      </c>
      <c r="B1002">
        <v>2020</v>
      </c>
      <c r="C1002">
        <v>1</v>
      </c>
      <c r="D1002" t="s">
        <v>9</v>
      </c>
      <c r="E1002">
        <v>1815157</v>
      </c>
      <c r="F1002" s="6">
        <v>542356756.96786058</v>
      </c>
      <c r="G1002" s="5">
        <v>12166275</v>
      </c>
      <c r="H1002">
        <v>161041144</v>
      </c>
      <c r="I1002" s="1">
        <v>44.57870276381724</v>
      </c>
    </row>
    <row r="1003" spans="1:9" x14ac:dyDescent="0.3">
      <c r="A1003" t="s">
        <v>25</v>
      </c>
      <c r="B1003">
        <v>2020</v>
      </c>
      <c r="C1003">
        <v>1</v>
      </c>
      <c r="D1003" t="s">
        <v>10</v>
      </c>
      <c r="E1003">
        <v>1594806</v>
      </c>
      <c r="F1003" s="6">
        <v>6431826925.1188021</v>
      </c>
      <c r="G1003" s="5">
        <v>12166275</v>
      </c>
      <c r="H1003">
        <v>161041144</v>
      </c>
      <c r="I1003" s="1">
        <v>528.66032743126402</v>
      </c>
    </row>
    <row r="1004" spans="1:9" x14ac:dyDescent="0.3">
      <c r="A1004" t="s">
        <v>25</v>
      </c>
      <c r="B1004">
        <v>2020</v>
      </c>
      <c r="C1004">
        <v>1</v>
      </c>
      <c r="D1004" t="s">
        <v>11</v>
      </c>
      <c r="E1004">
        <v>711018</v>
      </c>
      <c r="F1004" s="6">
        <v>427497010.10439825</v>
      </c>
      <c r="G1004" s="5">
        <v>12166275</v>
      </c>
      <c r="H1004">
        <v>161041144</v>
      </c>
      <c r="I1004" s="1">
        <v>35.137871707190428</v>
      </c>
    </row>
    <row r="1005" spans="1:9" x14ac:dyDescent="0.3">
      <c r="A1005" t="s">
        <v>25</v>
      </c>
      <c r="B1005">
        <v>2020</v>
      </c>
      <c r="C1005">
        <v>1</v>
      </c>
      <c r="D1005" t="s">
        <v>12</v>
      </c>
      <c r="E1005">
        <v>4711</v>
      </c>
      <c r="F1005" s="6">
        <v>3172303.6900622216</v>
      </c>
      <c r="G1005" s="5">
        <v>12166275</v>
      </c>
      <c r="H1005">
        <v>161041144</v>
      </c>
      <c r="I1005" s="1">
        <v>0.26074568346204746</v>
      </c>
    </row>
    <row r="1006" spans="1:9" x14ac:dyDescent="0.3">
      <c r="A1006" t="s">
        <v>25</v>
      </c>
      <c r="B1006">
        <v>2020</v>
      </c>
      <c r="C1006">
        <v>1</v>
      </c>
      <c r="D1006" t="s">
        <v>13</v>
      </c>
      <c r="E1006">
        <v>18788</v>
      </c>
      <c r="F1006" s="6">
        <v>14613755.241563875</v>
      </c>
      <c r="G1006" s="5">
        <v>12166275</v>
      </c>
      <c r="H1006">
        <v>161041144</v>
      </c>
      <c r="I1006" s="1">
        <v>1.2011692355765322</v>
      </c>
    </row>
    <row r="1007" spans="1:9" x14ac:dyDescent="0.3">
      <c r="A1007" t="s">
        <v>25</v>
      </c>
      <c r="B1007">
        <v>2020</v>
      </c>
      <c r="C1007">
        <v>2</v>
      </c>
      <c r="D1007" t="s">
        <v>9</v>
      </c>
      <c r="E1007">
        <v>2558935</v>
      </c>
      <c r="F1007" s="6">
        <v>802231470.16289222</v>
      </c>
      <c r="G1007" s="5">
        <v>13748537</v>
      </c>
      <c r="H1007">
        <v>177381380</v>
      </c>
      <c r="I1007" s="1">
        <v>58.350315394495588</v>
      </c>
    </row>
    <row r="1008" spans="1:9" x14ac:dyDescent="0.3">
      <c r="A1008" t="s">
        <v>25</v>
      </c>
      <c r="B1008">
        <v>2020</v>
      </c>
      <c r="C1008">
        <v>2</v>
      </c>
      <c r="D1008" t="s">
        <v>10</v>
      </c>
      <c r="E1008">
        <v>1544488</v>
      </c>
      <c r="F1008" s="6">
        <v>6738488218.6403284</v>
      </c>
      <c r="G1008" s="5">
        <v>13748537</v>
      </c>
      <c r="H1008">
        <v>177381380</v>
      </c>
      <c r="I1008" s="1">
        <v>490.12401964225927</v>
      </c>
    </row>
    <row r="1009" spans="1:9" x14ac:dyDescent="0.3">
      <c r="A1009" t="s">
        <v>25</v>
      </c>
      <c r="B1009">
        <v>2020</v>
      </c>
      <c r="C1009">
        <v>2</v>
      </c>
      <c r="D1009" t="s">
        <v>11</v>
      </c>
      <c r="E1009">
        <v>570031</v>
      </c>
      <c r="F1009" s="6">
        <v>479165630.6102103</v>
      </c>
      <c r="G1009" s="5">
        <v>13748537</v>
      </c>
      <c r="H1009">
        <v>177381380</v>
      </c>
      <c r="I1009" s="1">
        <v>34.852117764254501</v>
      </c>
    </row>
    <row r="1010" spans="1:9" x14ac:dyDescent="0.3">
      <c r="A1010" t="s">
        <v>25</v>
      </c>
      <c r="B1010">
        <v>2020</v>
      </c>
      <c r="C1010">
        <v>2</v>
      </c>
      <c r="D1010" t="s">
        <v>12</v>
      </c>
      <c r="E1010">
        <v>7634</v>
      </c>
      <c r="F1010" s="6">
        <v>7359757.7375393026</v>
      </c>
      <c r="G1010" s="5">
        <v>13748537</v>
      </c>
      <c r="H1010">
        <v>177381380</v>
      </c>
      <c r="I1010" s="1">
        <v>0.5353120653884339</v>
      </c>
    </row>
    <row r="1011" spans="1:9" x14ac:dyDescent="0.3">
      <c r="A1011" t="s">
        <v>25</v>
      </c>
      <c r="B1011">
        <v>2020</v>
      </c>
      <c r="C1011">
        <v>2</v>
      </c>
      <c r="D1011" t="s">
        <v>13</v>
      </c>
      <c r="E1011">
        <v>14642</v>
      </c>
      <c r="F1011" s="6">
        <v>9659685.392965626</v>
      </c>
      <c r="G1011" s="5">
        <v>13748537</v>
      </c>
      <c r="H1011">
        <v>177381380</v>
      </c>
      <c r="I1011" s="1">
        <v>0.7025973303898172</v>
      </c>
    </row>
    <row r="1012" spans="1:9" x14ac:dyDescent="0.3">
      <c r="A1012" t="s">
        <v>25</v>
      </c>
      <c r="B1012">
        <v>2020</v>
      </c>
      <c r="C1012">
        <v>3</v>
      </c>
      <c r="D1012" t="s">
        <v>9</v>
      </c>
      <c r="E1012">
        <v>2416395</v>
      </c>
      <c r="F1012" s="6">
        <v>834567922.27426136</v>
      </c>
      <c r="G1012" s="5">
        <v>15164974</v>
      </c>
      <c r="H1012">
        <v>202529250</v>
      </c>
      <c r="I1012" s="1">
        <v>55.032598293558657</v>
      </c>
    </row>
    <row r="1013" spans="1:9" x14ac:dyDescent="0.3">
      <c r="A1013" t="s">
        <v>25</v>
      </c>
      <c r="B1013">
        <v>2020</v>
      </c>
      <c r="C1013">
        <v>3</v>
      </c>
      <c r="D1013" t="s">
        <v>10</v>
      </c>
      <c r="E1013">
        <v>1954492</v>
      </c>
      <c r="F1013" s="6">
        <v>8806586536.659174</v>
      </c>
      <c r="G1013" s="5">
        <v>15164974</v>
      </c>
      <c r="H1013">
        <v>202529250</v>
      </c>
      <c r="I1013" s="1">
        <v>580.71886814043819</v>
      </c>
    </row>
    <row r="1014" spans="1:9" x14ac:dyDescent="0.3">
      <c r="A1014" t="s">
        <v>25</v>
      </c>
      <c r="B1014">
        <v>2020</v>
      </c>
      <c r="C1014">
        <v>3</v>
      </c>
      <c r="D1014" t="s">
        <v>11</v>
      </c>
      <c r="E1014">
        <v>1090445</v>
      </c>
      <c r="F1014" s="6">
        <v>851539467.33755803</v>
      </c>
      <c r="G1014" s="5">
        <v>15164974</v>
      </c>
      <c r="H1014">
        <v>202529250</v>
      </c>
      <c r="I1014" s="1">
        <v>56.151726164354649</v>
      </c>
    </row>
    <row r="1015" spans="1:9" x14ac:dyDescent="0.3">
      <c r="A1015" t="s">
        <v>25</v>
      </c>
      <c r="B1015">
        <v>2020</v>
      </c>
      <c r="C1015">
        <v>3</v>
      </c>
      <c r="D1015" t="s">
        <v>12</v>
      </c>
      <c r="E1015">
        <v>9543</v>
      </c>
      <c r="F1015" s="6">
        <v>11391079.288736572</v>
      </c>
      <c r="G1015" s="5">
        <v>15164974</v>
      </c>
      <c r="H1015">
        <v>202529250</v>
      </c>
      <c r="I1015" s="1">
        <v>0.75114400385629232</v>
      </c>
    </row>
    <row r="1016" spans="1:9" x14ac:dyDescent="0.3">
      <c r="A1016" t="s">
        <v>25</v>
      </c>
      <c r="B1016">
        <v>2020</v>
      </c>
      <c r="C1016">
        <v>3</v>
      </c>
      <c r="D1016" t="s">
        <v>13</v>
      </c>
      <c r="E1016">
        <v>19001</v>
      </c>
      <c r="F1016" s="6">
        <v>11969008.527252048</v>
      </c>
      <c r="G1016" s="5">
        <v>15164974</v>
      </c>
      <c r="H1016">
        <v>202529250</v>
      </c>
      <c r="I1016" s="1">
        <v>0.78925348155902197</v>
      </c>
    </row>
    <row r="1017" spans="1:9" x14ac:dyDescent="0.3">
      <c r="A1017" t="s">
        <v>25</v>
      </c>
      <c r="B1017">
        <v>2020</v>
      </c>
      <c r="C1017">
        <v>4</v>
      </c>
      <c r="D1017" t="s">
        <v>9</v>
      </c>
      <c r="E1017">
        <v>2638030</v>
      </c>
      <c r="F1017" s="6">
        <v>936305777.72508776</v>
      </c>
      <c r="G1017" s="5">
        <v>16596426</v>
      </c>
      <c r="H1017">
        <v>242012628</v>
      </c>
      <c r="I1017" s="1">
        <v>56.416108969791914</v>
      </c>
    </row>
    <row r="1018" spans="1:9" x14ac:dyDescent="0.3">
      <c r="A1018" t="s">
        <v>25</v>
      </c>
      <c r="B1018">
        <v>2020</v>
      </c>
      <c r="C1018">
        <v>4</v>
      </c>
      <c r="D1018" t="s">
        <v>10</v>
      </c>
      <c r="E1018">
        <v>2594659</v>
      </c>
      <c r="F1018" s="6">
        <v>11426268857.229637</v>
      </c>
      <c r="G1018" s="5">
        <v>16596426</v>
      </c>
      <c r="H1018">
        <v>242012628</v>
      </c>
      <c r="I1018" s="1">
        <v>688.47767930454643</v>
      </c>
    </row>
    <row r="1019" spans="1:9" x14ac:dyDescent="0.3">
      <c r="A1019" t="s">
        <v>25</v>
      </c>
      <c r="B1019">
        <v>2020</v>
      </c>
      <c r="C1019">
        <v>4</v>
      </c>
      <c r="D1019" t="s">
        <v>11</v>
      </c>
      <c r="E1019">
        <v>2001259</v>
      </c>
      <c r="F1019" s="6">
        <v>1589433440.2684097</v>
      </c>
      <c r="G1019" s="5">
        <v>16596426</v>
      </c>
      <c r="H1019">
        <v>242012628</v>
      </c>
      <c r="I1019" s="1">
        <v>95.769621740753692</v>
      </c>
    </row>
    <row r="1020" spans="1:9" x14ac:dyDescent="0.3">
      <c r="A1020" t="s">
        <v>25</v>
      </c>
      <c r="B1020">
        <v>2020</v>
      </c>
      <c r="C1020">
        <v>4</v>
      </c>
      <c r="D1020" t="s">
        <v>12</v>
      </c>
      <c r="E1020">
        <v>11353</v>
      </c>
      <c r="F1020" s="6">
        <v>15534252.217986543</v>
      </c>
      <c r="G1020" s="5">
        <v>16596426</v>
      </c>
      <c r="H1020">
        <v>242012628</v>
      </c>
      <c r="I1020" s="1">
        <v>0.93599984827977678</v>
      </c>
    </row>
    <row r="1021" spans="1:9" x14ac:dyDescent="0.3">
      <c r="A1021" t="s">
        <v>25</v>
      </c>
      <c r="B1021">
        <v>2020</v>
      </c>
      <c r="C1021">
        <v>4</v>
      </c>
      <c r="D1021" t="s">
        <v>13</v>
      </c>
      <c r="E1021">
        <v>27027</v>
      </c>
      <c r="F1021" s="6">
        <v>21510781.371782862</v>
      </c>
      <c r="G1021" s="5">
        <v>16596426</v>
      </c>
      <c r="H1021">
        <v>242012628</v>
      </c>
      <c r="I1021" s="1">
        <v>1.29610925700406</v>
      </c>
    </row>
    <row r="1022" spans="1:9" x14ac:dyDescent="0.3">
      <c r="A1022" t="s">
        <v>25</v>
      </c>
      <c r="B1022">
        <v>2021</v>
      </c>
      <c r="C1022">
        <v>1</v>
      </c>
      <c r="D1022" t="s">
        <v>10</v>
      </c>
      <c r="E1022">
        <v>2845733</v>
      </c>
      <c r="F1022" s="6">
        <v>11358078843.572702</v>
      </c>
      <c r="G1022" s="5">
        <v>17852461</v>
      </c>
      <c r="H1022">
        <v>266509034</v>
      </c>
      <c r="I1022" s="1">
        <v>636.21922174050417</v>
      </c>
    </row>
    <row r="1023" spans="1:9" x14ac:dyDescent="0.3">
      <c r="A1023" t="s">
        <v>25</v>
      </c>
      <c r="B1023">
        <v>2021</v>
      </c>
      <c r="C1023">
        <v>1</v>
      </c>
      <c r="D1023" t="s">
        <v>9</v>
      </c>
      <c r="E1023">
        <v>2547359</v>
      </c>
      <c r="F1023" s="6">
        <v>948929031.64433908</v>
      </c>
      <c r="G1023" s="5">
        <v>17852461</v>
      </c>
      <c r="H1023">
        <v>266509034</v>
      </c>
      <c r="I1023" s="1">
        <v>53.153961890427269</v>
      </c>
    </row>
    <row r="1024" spans="1:9" x14ac:dyDescent="0.3">
      <c r="A1024" t="s">
        <v>25</v>
      </c>
      <c r="B1024">
        <v>2021</v>
      </c>
      <c r="C1024">
        <v>1</v>
      </c>
      <c r="D1024" t="s">
        <v>11</v>
      </c>
      <c r="E1024">
        <v>2186946</v>
      </c>
      <c r="F1024" s="6">
        <v>1778219850.8347864</v>
      </c>
      <c r="G1024" s="5">
        <v>17852461</v>
      </c>
      <c r="H1024">
        <v>266509034</v>
      </c>
      <c r="I1024" s="1">
        <v>99.606426858167424</v>
      </c>
    </row>
    <row r="1025" spans="1:9" x14ac:dyDescent="0.3">
      <c r="A1025" t="s">
        <v>25</v>
      </c>
      <c r="B1025">
        <v>2021</v>
      </c>
      <c r="C1025">
        <v>1</v>
      </c>
      <c r="D1025" t="s">
        <v>12</v>
      </c>
      <c r="E1025">
        <v>12561</v>
      </c>
      <c r="F1025" s="6">
        <v>16554205.504427344</v>
      </c>
      <c r="G1025" s="5">
        <v>17852461</v>
      </c>
      <c r="H1025">
        <v>266509034</v>
      </c>
      <c r="I1025" s="1">
        <v>0.92727862586717558</v>
      </c>
    </row>
    <row r="1026" spans="1:9" x14ac:dyDescent="0.3">
      <c r="A1026" t="s">
        <v>25</v>
      </c>
      <c r="B1026">
        <v>2021</v>
      </c>
      <c r="C1026">
        <v>1</v>
      </c>
      <c r="D1026" t="s">
        <v>13</v>
      </c>
      <c r="E1026">
        <v>21430</v>
      </c>
      <c r="F1026" s="6">
        <v>18764977.931273177</v>
      </c>
      <c r="G1026" s="5">
        <v>17852461</v>
      </c>
      <c r="H1026">
        <v>266509034</v>
      </c>
      <c r="I1026" s="1">
        <v>1.0511143495159114</v>
      </c>
    </row>
    <row r="1027" spans="1:9" x14ac:dyDescent="0.3">
      <c r="A1027" t="s">
        <v>25</v>
      </c>
      <c r="B1027">
        <v>2021</v>
      </c>
      <c r="C1027">
        <v>2</v>
      </c>
      <c r="D1027" t="s">
        <v>10</v>
      </c>
      <c r="E1027">
        <v>3340531</v>
      </c>
      <c r="F1027" s="6">
        <v>13035543546.663971</v>
      </c>
      <c r="G1027" s="5">
        <v>19174661</v>
      </c>
      <c r="H1027">
        <v>475969747</v>
      </c>
      <c r="I1027" s="1">
        <v>679.83176060656149</v>
      </c>
    </row>
    <row r="1028" spans="1:9" x14ac:dyDescent="0.3">
      <c r="A1028" t="s">
        <v>25</v>
      </c>
      <c r="B1028">
        <v>2021</v>
      </c>
      <c r="C1028">
        <v>2</v>
      </c>
      <c r="D1028" t="s">
        <v>9</v>
      </c>
      <c r="E1028">
        <v>3216602</v>
      </c>
      <c r="F1028" s="6">
        <v>1045789841.916208</v>
      </c>
      <c r="G1028" s="5">
        <v>19174661</v>
      </c>
      <c r="H1028">
        <v>475969747</v>
      </c>
      <c r="I1028" s="1">
        <v>54.540199793686469</v>
      </c>
    </row>
    <row r="1029" spans="1:9" x14ac:dyDescent="0.3">
      <c r="A1029" t="s">
        <v>25</v>
      </c>
      <c r="B1029">
        <v>2021</v>
      </c>
      <c r="C1029">
        <v>2</v>
      </c>
      <c r="D1029" t="s">
        <v>11</v>
      </c>
      <c r="E1029">
        <v>2883209</v>
      </c>
      <c r="F1029" s="6">
        <v>2378084375.1994772</v>
      </c>
      <c r="G1029" s="5">
        <v>19174661</v>
      </c>
      <c r="H1029">
        <v>475969747</v>
      </c>
      <c r="I1029" s="1">
        <v>124.0222382653585</v>
      </c>
    </row>
    <row r="1030" spans="1:9" x14ac:dyDescent="0.3">
      <c r="A1030" t="s">
        <v>25</v>
      </c>
      <c r="B1030">
        <v>2021</v>
      </c>
      <c r="C1030">
        <v>2</v>
      </c>
      <c r="D1030" t="s">
        <v>12</v>
      </c>
      <c r="E1030">
        <v>14642</v>
      </c>
      <c r="F1030" s="6">
        <v>16428390.62373627</v>
      </c>
      <c r="G1030" s="5">
        <v>19174661</v>
      </c>
      <c r="H1030">
        <v>475969747</v>
      </c>
      <c r="I1030" s="1">
        <v>0.85677606627497982</v>
      </c>
    </row>
    <row r="1031" spans="1:9" x14ac:dyDescent="0.3">
      <c r="A1031" t="s">
        <v>25</v>
      </c>
      <c r="B1031">
        <v>2021</v>
      </c>
      <c r="C1031">
        <v>2</v>
      </c>
      <c r="D1031" t="s">
        <v>13</v>
      </c>
      <c r="E1031">
        <v>28918</v>
      </c>
      <c r="F1031" s="6">
        <v>19788385.405835297</v>
      </c>
      <c r="G1031" s="5">
        <v>19174661</v>
      </c>
      <c r="H1031">
        <v>475969747</v>
      </c>
      <c r="I1031" s="1">
        <v>1.0320070537797408</v>
      </c>
    </row>
    <row r="1032" spans="1:9" x14ac:dyDescent="0.3">
      <c r="A1032" t="s">
        <v>25</v>
      </c>
      <c r="B1032">
        <v>2021</v>
      </c>
      <c r="C1032">
        <v>3</v>
      </c>
      <c r="D1032" t="s">
        <v>10</v>
      </c>
      <c r="E1032">
        <v>4455153</v>
      </c>
      <c r="F1032" s="6">
        <v>16560383923.204865</v>
      </c>
      <c r="G1032" s="5">
        <v>20686886</v>
      </c>
      <c r="H1032">
        <v>582673168</v>
      </c>
      <c r="I1032" s="1">
        <v>800.52570131651828</v>
      </c>
    </row>
    <row r="1033" spans="1:9" x14ac:dyDescent="0.3">
      <c r="A1033" t="s">
        <v>25</v>
      </c>
      <c r="B1033">
        <v>2021</v>
      </c>
      <c r="C1033">
        <v>3</v>
      </c>
      <c r="D1033" t="s">
        <v>11</v>
      </c>
      <c r="E1033">
        <v>4198808</v>
      </c>
      <c r="F1033" s="6">
        <v>3524434949.6340828</v>
      </c>
      <c r="G1033" s="5">
        <v>20686886</v>
      </c>
      <c r="H1033">
        <v>582673168</v>
      </c>
      <c r="I1033" s="1">
        <v>170.37049218688995</v>
      </c>
    </row>
    <row r="1034" spans="1:9" x14ac:dyDescent="0.3">
      <c r="A1034" t="s">
        <v>25</v>
      </c>
      <c r="B1034">
        <v>2021</v>
      </c>
      <c r="C1034">
        <v>3</v>
      </c>
      <c r="D1034" t="s">
        <v>9</v>
      </c>
      <c r="E1034">
        <v>3359406</v>
      </c>
      <c r="F1034" s="6">
        <v>1178802736.5280356</v>
      </c>
      <c r="G1034" s="5">
        <v>20686886</v>
      </c>
      <c r="H1034">
        <v>582673168</v>
      </c>
      <c r="I1034" s="1">
        <v>56.983092405886303</v>
      </c>
    </row>
    <row r="1035" spans="1:9" x14ac:dyDescent="0.3">
      <c r="A1035" t="s">
        <v>25</v>
      </c>
      <c r="B1035">
        <v>2021</v>
      </c>
      <c r="C1035">
        <v>3</v>
      </c>
      <c r="D1035" t="s">
        <v>12</v>
      </c>
      <c r="E1035">
        <v>14497</v>
      </c>
      <c r="F1035" s="6">
        <v>22805774.600357123</v>
      </c>
      <c r="G1035" s="5">
        <v>20686886</v>
      </c>
      <c r="H1035">
        <v>582673168</v>
      </c>
      <c r="I1035" s="1">
        <v>1.102426658142609</v>
      </c>
    </row>
    <row r="1036" spans="1:9" x14ac:dyDescent="0.3">
      <c r="A1036" t="s">
        <v>25</v>
      </c>
      <c r="B1036">
        <v>2021</v>
      </c>
      <c r="C1036">
        <v>3</v>
      </c>
      <c r="D1036" t="s">
        <v>13</v>
      </c>
      <c r="E1036">
        <v>36303</v>
      </c>
      <c r="F1036" s="6">
        <v>23834687.160697926</v>
      </c>
      <c r="G1036" s="5">
        <v>20686886</v>
      </c>
      <c r="H1036">
        <v>582673168</v>
      </c>
      <c r="I1036" s="1">
        <v>1.1521640889159406</v>
      </c>
    </row>
    <row r="1037" spans="1:9" x14ac:dyDescent="0.3">
      <c r="A1037" t="s">
        <v>25</v>
      </c>
      <c r="B1037">
        <v>2021</v>
      </c>
      <c r="C1037">
        <v>4</v>
      </c>
      <c r="D1037" t="s">
        <v>11</v>
      </c>
      <c r="E1037">
        <v>6062931</v>
      </c>
      <c r="F1037" s="6">
        <v>5228613146.7434511</v>
      </c>
      <c r="G1037" s="5">
        <v>22151217</v>
      </c>
      <c r="H1037">
        <v>524380802</v>
      </c>
      <c r="I1037" s="1">
        <v>236.04180062627941</v>
      </c>
    </row>
    <row r="1038" spans="1:9" x14ac:dyDescent="0.3">
      <c r="A1038" t="s">
        <v>25</v>
      </c>
      <c r="B1038">
        <v>2021</v>
      </c>
      <c r="C1038">
        <v>4</v>
      </c>
      <c r="D1038" t="s">
        <v>10</v>
      </c>
      <c r="E1038">
        <v>5323397</v>
      </c>
      <c r="F1038" s="6">
        <v>19568394324.584805</v>
      </c>
      <c r="G1038" s="5">
        <v>22151217</v>
      </c>
      <c r="H1038">
        <v>524380802</v>
      </c>
      <c r="I1038" s="1">
        <v>883.40041653624735</v>
      </c>
    </row>
    <row r="1039" spans="1:9" x14ac:dyDescent="0.3">
      <c r="A1039" t="s">
        <v>25</v>
      </c>
      <c r="B1039">
        <v>2021</v>
      </c>
      <c r="C1039">
        <v>4</v>
      </c>
      <c r="D1039" t="s">
        <v>9</v>
      </c>
      <c r="E1039">
        <v>3211367</v>
      </c>
      <c r="F1039" s="6">
        <v>1278824361.8371379</v>
      </c>
      <c r="G1039" s="5">
        <v>22151217</v>
      </c>
      <c r="H1039">
        <v>524380802</v>
      </c>
      <c r="I1039" s="1">
        <v>57.731562190787891</v>
      </c>
    </row>
    <row r="1040" spans="1:9" x14ac:dyDescent="0.3">
      <c r="A1040" t="s">
        <v>25</v>
      </c>
      <c r="B1040">
        <v>2021</v>
      </c>
      <c r="C1040">
        <v>4</v>
      </c>
      <c r="D1040" t="s">
        <v>12</v>
      </c>
      <c r="E1040">
        <v>18198</v>
      </c>
      <c r="F1040" s="6">
        <v>24809740.714031782</v>
      </c>
      <c r="G1040" s="5">
        <v>22151217</v>
      </c>
      <c r="H1040">
        <v>524380802</v>
      </c>
      <c r="I1040" s="1">
        <v>1.1200170498095785</v>
      </c>
    </row>
    <row r="1041" spans="1:9" x14ac:dyDescent="0.3">
      <c r="A1041" t="s">
        <v>25</v>
      </c>
      <c r="B1041">
        <v>2021</v>
      </c>
      <c r="C1041">
        <v>4</v>
      </c>
      <c r="D1041" t="s">
        <v>13</v>
      </c>
      <c r="E1041">
        <v>50971</v>
      </c>
      <c r="F1041" s="6">
        <v>35578926.746394522</v>
      </c>
      <c r="G1041" s="5">
        <v>22151217</v>
      </c>
      <c r="H1041">
        <v>524380802</v>
      </c>
      <c r="I1041" s="1">
        <v>1.6061838384046585</v>
      </c>
    </row>
    <row r="1042" spans="1:9" x14ac:dyDescent="0.3">
      <c r="A1042" t="s">
        <v>26</v>
      </c>
      <c r="B1042">
        <v>2018</v>
      </c>
      <c r="C1042">
        <v>1</v>
      </c>
      <c r="D1042" t="s">
        <v>9</v>
      </c>
      <c r="E1042">
        <v>457813</v>
      </c>
      <c r="F1042" s="6">
        <v>78812610.351290122</v>
      </c>
      <c r="G1042" s="5">
        <v>1940675</v>
      </c>
      <c r="H1042">
        <v>0</v>
      </c>
      <c r="I1042" s="1">
        <v>40.610926791600924</v>
      </c>
    </row>
    <row r="1043" spans="1:9" x14ac:dyDescent="0.3">
      <c r="A1043" t="s">
        <v>26</v>
      </c>
      <c r="B1043">
        <v>2018</v>
      </c>
      <c r="C1043">
        <v>1</v>
      </c>
      <c r="D1043" t="s">
        <v>10</v>
      </c>
      <c r="E1043">
        <v>353621</v>
      </c>
      <c r="F1043" s="6">
        <v>861670157.93100119</v>
      </c>
      <c r="G1043" s="5">
        <v>1940675</v>
      </c>
      <c r="H1043">
        <v>0</v>
      </c>
      <c r="I1043" s="1">
        <v>444.00538881111015</v>
      </c>
    </row>
    <row r="1044" spans="1:9" x14ac:dyDescent="0.3">
      <c r="A1044" t="s">
        <v>26</v>
      </c>
      <c r="B1044">
        <v>2018</v>
      </c>
      <c r="C1044">
        <v>1</v>
      </c>
      <c r="D1044" t="s">
        <v>12</v>
      </c>
      <c r="E1044">
        <v>65683</v>
      </c>
      <c r="F1044" s="6">
        <v>10269382.6199755</v>
      </c>
      <c r="G1044" s="5">
        <v>1940675</v>
      </c>
      <c r="H1044">
        <v>0</v>
      </c>
      <c r="I1044" s="1">
        <v>5.29165502723305</v>
      </c>
    </row>
    <row r="1045" spans="1:9" x14ac:dyDescent="0.3">
      <c r="A1045" t="s">
        <v>26</v>
      </c>
      <c r="B1045">
        <v>2018</v>
      </c>
      <c r="C1045">
        <v>1</v>
      </c>
      <c r="D1045" t="s">
        <v>11</v>
      </c>
      <c r="E1045">
        <v>28696</v>
      </c>
      <c r="F1045" s="6">
        <v>30967525.638810236</v>
      </c>
      <c r="G1045" s="5">
        <v>1940675</v>
      </c>
      <c r="H1045">
        <v>0</v>
      </c>
      <c r="I1045" s="1">
        <v>15.957090001576892</v>
      </c>
    </row>
    <row r="1046" spans="1:9" x14ac:dyDescent="0.3">
      <c r="A1046" t="s">
        <v>26</v>
      </c>
      <c r="B1046">
        <v>2018</v>
      </c>
      <c r="C1046">
        <v>1</v>
      </c>
      <c r="D1046" t="s">
        <v>13</v>
      </c>
      <c r="E1046">
        <v>35755</v>
      </c>
      <c r="F1046" s="6">
        <v>23651562.715049967</v>
      </c>
      <c r="G1046" s="5">
        <v>1940675</v>
      </c>
      <c r="H1046">
        <v>0</v>
      </c>
      <c r="I1046" s="1">
        <v>12.18728675076969</v>
      </c>
    </row>
    <row r="1047" spans="1:9" x14ac:dyDescent="0.3">
      <c r="A1047" t="s">
        <v>26</v>
      </c>
      <c r="B1047">
        <v>2018</v>
      </c>
      <c r="C1047">
        <v>2</v>
      </c>
      <c r="D1047" t="s">
        <v>9</v>
      </c>
      <c r="E1047">
        <v>794502</v>
      </c>
      <c r="F1047" s="6">
        <v>166762242.91718757</v>
      </c>
      <c r="G1047" s="5">
        <v>2877699</v>
      </c>
      <c r="H1047">
        <v>0</v>
      </c>
      <c r="I1047" s="1">
        <v>57.949856088905605</v>
      </c>
    </row>
    <row r="1048" spans="1:9" x14ac:dyDescent="0.3">
      <c r="A1048" t="s">
        <v>26</v>
      </c>
      <c r="B1048">
        <v>2018</v>
      </c>
      <c r="C1048">
        <v>2</v>
      </c>
      <c r="D1048" t="s">
        <v>10</v>
      </c>
      <c r="E1048">
        <v>771844</v>
      </c>
      <c r="F1048" s="6">
        <v>2372961687.5536175</v>
      </c>
      <c r="G1048" s="5">
        <v>2877699</v>
      </c>
      <c r="H1048">
        <v>0</v>
      </c>
      <c r="I1048" s="1">
        <v>824.60385452183061</v>
      </c>
    </row>
    <row r="1049" spans="1:9" x14ac:dyDescent="0.3">
      <c r="A1049" t="s">
        <v>26</v>
      </c>
      <c r="B1049">
        <v>2018</v>
      </c>
      <c r="C1049">
        <v>2</v>
      </c>
      <c r="D1049" t="s">
        <v>12</v>
      </c>
      <c r="E1049">
        <v>112422</v>
      </c>
      <c r="F1049" s="6">
        <v>15636116.813860631</v>
      </c>
      <c r="G1049" s="5">
        <v>2877699</v>
      </c>
      <c r="H1049">
        <v>0</v>
      </c>
      <c r="I1049" s="1">
        <v>5.4335484058133359</v>
      </c>
    </row>
    <row r="1050" spans="1:9" x14ac:dyDescent="0.3">
      <c r="A1050" t="s">
        <v>26</v>
      </c>
      <c r="B1050">
        <v>2018</v>
      </c>
      <c r="C1050">
        <v>2</v>
      </c>
      <c r="D1050" t="s">
        <v>11</v>
      </c>
      <c r="E1050">
        <v>79248</v>
      </c>
      <c r="F1050" s="6">
        <v>64454257.525262199</v>
      </c>
      <c r="G1050" s="5">
        <v>2877699</v>
      </c>
      <c r="H1050">
        <v>0</v>
      </c>
      <c r="I1050" s="1">
        <v>22.39784547489581</v>
      </c>
    </row>
    <row r="1051" spans="1:9" x14ac:dyDescent="0.3">
      <c r="A1051" t="s">
        <v>26</v>
      </c>
      <c r="B1051">
        <v>2018</v>
      </c>
      <c r="C1051">
        <v>2</v>
      </c>
      <c r="D1051" t="s">
        <v>13</v>
      </c>
      <c r="E1051">
        <v>38310</v>
      </c>
      <c r="F1051" s="6">
        <v>31391931.692946266</v>
      </c>
      <c r="G1051" s="5">
        <v>2877699</v>
      </c>
      <c r="H1051">
        <v>0</v>
      </c>
      <c r="I1051" s="1">
        <v>10.908691872550349</v>
      </c>
    </row>
    <row r="1052" spans="1:9" x14ac:dyDescent="0.3">
      <c r="A1052" t="s">
        <v>26</v>
      </c>
      <c r="B1052">
        <v>2018</v>
      </c>
      <c r="C1052">
        <v>3</v>
      </c>
      <c r="D1052" t="s">
        <v>10</v>
      </c>
      <c r="E1052">
        <v>1260453</v>
      </c>
      <c r="F1052" s="6">
        <v>3616022745.5645847</v>
      </c>
      <c r="G1052" s="5">
        <v>3767819</v>
      </c>
      <c r="H1052">
        <v>0</v>
      </c>
      <c r="I1052" s="1">
        <v>959.7124345847252</v>
      </c>
    </row>
    <row r="1053" spans="1:9" x14ac:dyDescent="0.3">
      <c r="A1053" t="s">
        <v>26</v>
      </c>
      <c r="B1053">
        <v>2018</v>
      </c>
      <c r="C1053">
        <v>3</v>
      </c>
      <c r="D1053" t="s">
        <v>9</v>
      </c>
      <c r="E1053">
        <v>822143</v>
      </c>
      <c r="F1053" s="6">
        <v>203079955.34644008</v>
      </c>
      <c r="G1053" s="5">
        <v>3767819</v>
      </c>
      <c r="H1053">
        <v>0</v>
      </c>
      <c r="I1053" s="1">
        <v>53.898543254450409</v>
      </c>
    </row>
    <row r="1054" spans="1:9" x14ac:dyDescent="0.3">
      <c r="A1054" t="s">
        <v>26</v>
      </c>
      <c r="B1054">
        <v>2018</v>
      </c>
      <c r="C1054">
        <v>3</v>
      </c>
      <c r="D1054" t="s">
        <v>11</v>
      </c>
      <c r="E1054">
        <v>140076</v>
      </c>
      <c r="F1054" s="6">
        <v>82826475.187970519</v>
      </c>
      <c r="G1054" s="5">
        <v>3767819</v>
      </c>
      <c r="H1054">
        <v>0</v>
      </c>
      <c r="I1054" s="1">
        <v>21.982604575211951</v>
      </c>
    </row>
    <row r="1055" spans="1:9" x14ac:dyDescent="0.3">
      <c r="A1055" t="s">
        <v>26</v>
      </c>
      <c r="B1055">
        <v>2018</v>
      </c>
      <c r="C1055">
        <v>3</v>
      </c>
      <c r="D1055" t="s">
        <v>12</v>
      </c>
      <c r="E1055">
        <v>44464</v>
      </c>
      <c r="F1055" s="6">
        <v>6397888.3546260595</v>
      </c>
      <c r="G1055" s="5">
        <v>3767819</v>
      </c>
      <c r="H1055">
        <v>0</v>
      </c>
      <c r="I1055" s="1">
        <v>1.6980349519512641</v>
      </c>
    </row>
    <row r="1056" spans="1:9" x14ac:dyDescent="0.3">
      <c r="A1056" t="s">
        <v>26</v>
      </c>
      <c r="B1056">
        <v>2018</v>
      </c>
      <c r="C1056">
        <v>3</v>
      </c>
      <c r="D1056" t="s">
        <v>13</v>
      </c>
      <c r="E1056">
        <v>36825</v>
      </c>
      <c r="F1056" s="6">
        <v>26373935.004048545</v>
      </c>
      <c r="G1056" s="5">
        <v>3767819</v>
      </c>
      <c r="H1056">
        <v>0</v>
      </c>
      <c r="I1056" s="1">
        <v>6.9997882074612781</v>
      </c>
    </row>
    <row r="1057" spans="1:9" x14ac:dyDescent="0.3">
      <c r="A1057" t="s">
        <v>26</v>
      </c>
      <c r="B1057">
        <v>2018</v>
      </c>
      <c r="C1057">
        <v>4</v>
      </c>
      <c r="D1057" t="s">
        <v>10</v>
      </c>
      <c r="E1057">
        <v>1265457</v>
      </c>
      <c r="F1057" s="6">
        <v>5151829745.2629833</v>
      </c>
      <c r="G1057" s="5">
        <v>4802193</v>
      </c>
      <c r="H1057">
        <v>0</v>
      </c>
      <c r="I1057" s="1">
        <v>1072.8077245672932</v>
      </c>
    </row>
    <row r="1058" spans="1:9" x14ac:dyDescent="0.3">
      <c r="A1058" t="s">
        <v>26</v>
      </c>
      <c r="B1058">
        <v>2018</v>
      </c>
      <c r="C1058">
        <v>4</v>
      </c>
      <c r="D1058" t="s">
        <v>9</v>
      </c>
      <c r="E1058">
        <v>970724</v>
      </c>
      <c r="F1058" s="6">
        <v>254473764.00233167</v>
      </c>
      <c r="G1058" s="5">
        <v>4802193</v>
      </c>
      <c r="H1058">
        <v>0</v>
      </c>
      <c r="I1058" s="1">
        <v>52.991157165555755</v>
      </c>
    </row>
    <row r="1059" spans="1:9" x14ac:dyDescent="0.3">
      <c r="A1059" t="s">
        <v>26</v>
      </c>
      <c r="B1059">
        <v>2018</v>
      </c>
      <c r="C1059">
        <v>4</v>
      </c>
      <c r="D1059" t="s">
        <v>11</v>
      </c>
      <c r="E1059">
        <v>402303</v>
      </c>
      <c r="F1059" s="6">
        <v>215771001.5429565</v>
      </c>
      <c r="G1059" s="5">
        <v>4802193</v>
      </c>
      <c r="H1059">
        <v>0</v>
      </c>
      <c r="I1059" s="1">
        <v>44.931763788535051</v>
      </c>
    </row>
    <row r="1060" spans="1:9" x14ac:dyDescent="0.3">
      <c r="A1060" t="s">
        <v>26</v>
      </c>
      <c r="B1060">
        <v>2018</v>
      </c>
      <c r="C1060">
        <v>4</v>
      </c>
      <c r="D1060" t="s">
        <v>12</v>
      </c>
      <c r="E1060">
        <v>33775</v>
      </c>
      <c r="F1060" s="6">
        <v>6072177.152358056</v>
      </c>
      <c r="G1060" s="5">
        <v>4802193</v>
      </c>
      <c r="H1060">
        <v>0</v>
      </c>
      <c r="I1060" s="1">
        <v>1.2644592069410905</v>
      </c>
    </row>
    <row r="1061" spans="1:9" x14ac:dyDescent="0.3">
      <c r="A1061" t="s">
        <v>26</v>
      </c>
      <c r="B1061">
        <v>2018</v>
      </c>
      <c r="C1061">
        <v>4</v>
      </c>
      <c r="D1061" t="s">
        <v>13</v>
      </c>
      <c r="E1061">
        <v>49051</v>
      </c>
      <c r="F1061" s="6">
        <v>36573577.736889333</v>
      </c>
      <c r="G1061" s="5">
        <v>4802193</v>
      </c>
      <c r="H1061">
        <v>0</v>
      </c>
      <c r="I1061" s="1">
        <v>7.6160157946357705</v>
      </c>
    </row>
    <row r="1062" spans="1:9" x14ac:dyDescent="0.3">
      <c r="A1062" t="s">
        <v>26</v>
      </c>
      <c r="B1062">
        <v>2019</v>
      </c>
      <c r="C1062">
        <v>1</v>
      </c>
      <c r="D1062" t="s">
        <v>10</v>
      </c>
      <c r="E1062">
        <v>1913720</v>
      </c>
      <c r="F1062" s="6">
        <v>5414709531.8367348</v>
      </c>
      <c r="G1062" s="5">
        <v>5837359</v>
      </c>
      <c r="H1062">
        <v>0</v>
      </c>
      <c r="I1062" s="1">
        <v>927.59577264936672</v>
      </c>
    </row>
    <row r="1063" spans="1:9" x14ac:dyDescent="0.3">
      <c r="A1063" t="s">
        <v>26</v>
      </c>
      <c r="B1063">
        <v>2019</v>
      </c>
      <c r="C1063">
        <v>1</v>
      </c>
      <c r="D1063" t="s">
        <v>9</v>
      </c>
      <c r="E1063">
        <v>1131953</v>
      </c>
      <c r="F1063" s="6">
        <v>302663112.88848048</v>
      </c>
      <c r="G1063" s="5">
        <v>5837359</v>
      </c>
      <c r="H1063">
        <v>0</v>
      </c>
      <c r="I1063" s="1">
        <v>51.849323108015199</v>
      </c>
    </row>
    <row r="1064" spans="1:9" x14ac:dyDescent="0.3">
      <c r="A1064" t="s">
        <v>26</v>
      </c>
      <c r="B1064">
        <v>2019</v>
      </c>
      <c r="C1064">
        <v>1</v>
      </c>
      <c r="D1064" t="s">
        <v>11</v>
      </c>
      <c r="E1064">
        <v>452379</v>
      </c>
      <c r="F1064" s="6">
        <v>199219534.93760535</v>
      </c>
      <c r="G1064" s="5">
        <v>5837359</v>
      </c>
      <c r="H1064">
        <v>0</v>
      </c>
      <c r="I1064" s="1">
        <v>34.128367800850583</v>
      </c>
    </row>
    <row r="1065" spans="1:9" x14ac:dyDescent="0.3">
      <c r="A1065" t="s">
        <v>26</v>
      </c>
      <c r="B1065">
        <v>2019</v>
      </c>
      <c r="C1065">
        <v>1</v>
      </c>
      <c r="D1065" t="s">
        <v>12</v>
      </c>
      <c r="E1065">
        <v>43247</v>
      </c>
      <c r="F1065" s="6">
        <v>4593545.2019220516</v>
      </c>
      <c r="G1065" s="5">
        <v>5837359</v>
      </c>
      <c r="H1065">
        <v>0</v>
      </c>
      <c r="I1065" s="1">
        <v>0.78692182576436565</v>
      </c>
    </row>
    <row r="1066" spans="1:9" x14ac:dyDescent="0.3">
      <c r="A1066" t="s">
        <v>26</v>
      </c>
      <c r="B1066">
        <v>2019</v>
      </c>
      <c r="C1066">
        <v>1</v>
      </c>
      <c r="D1066" t="s">
        <v>13</v>
      </c>
      <c r="E1066">
        <v>43688</v>
      </c>
      <c r="F1066" s="6">
        <v>30649751.656273112</v>
      </c>
      <c r="G1066" s="5">
        <v>5837359</v>
      </c>
      <c r="H1066">
        <v>0</v>
      </c>
      <c r="I1066" s="1">
        <v>5.2506196134712821</v>
      </c>
    </row>
    <row r="1067" spans="1:9" x14ac:dyDescent="0.3">
      <c r="A1067" t="s">
        <v>26</v>
      </c>
      <c r="B1067">
        <v>2019</v>
      </c>
      <c r="C1067">
        <v>2</v>
      </c>
      <c r="D1067" t="s">
        <v>10</v>
      </c>
      <c r="E1067">
        <v>1180781</v>
      </c>
      <c r="F1067" s="6">
        <v>5666318253.4620762</v>
      </c>
      <c r="G1067" s="5">
        <v>6943123</v>
      </c>
      <c r="H1067">
        <v>29759103</v>
      </c>
      <c r="I1067" s="1">
        <v>816.10512351028149</v>
      </c>
    </row>
    <row r="1068" spans="1:9" x14ac:dyDescent="0.3">
      <c r="A1068" t="s">
        <v>26</v>
      </c>
      <c r="B1068">
        <v>2019</v>
      </c>
      <c r="C1068">
        <v>2</v>
      </c>
      <c r="D1068" t="s">
        <v>9</v>
      </c>
      <c r="E1068">
        <v>706569</v>
      </c>
      <c r="F1068" s="6">
        <v>215937468.94414753</v>
      </c>
      <c r="G1068" s="5">
        <v>6943123</v>
      </c>
      <c r="H1068">
        <v>29759103</v>
      </c>
      <c r="I1068" s="1">
        <v>31.100913658615514</v>
      </c>
    </row>
    <row r="1069" spans="1:9" x14ac:dyDescent="0.3">
      <c r="A1069" t="s">
        <v>26</v>
      </c>
      <c r="B1069">
        <v>2019</v>
      </c>
      <c r="C1069">
        <v>2</v>
      </c>
      <c r="D1069" t="s">
        <v>11</v>
      </c>
      <c r="E1069">
        <v>353678</v>
      </c>
      <c r="F1069" s="6">
        <v>188931529.4882364</v>
      </c>
      <c r="G1069" s="5">
        <v>6943123</v>
      </c>
      <c r="H1069">
        <v>29759103</v>
      </c>
      <c r="I1069" s="1">
        <v>27.211318233630081</v>
      </c>
    </row>
    <row r="1070" spans="1:9" x14ac:dyDescent="0.3">
      <c r="A1070" t="s">
        <v>26</v>
      </c>
      <c r="B1070">
        <v>2019</v>
      </c>
      <c r="C1070">
        <v>2</v>
      </c>
      <c r="D1070" t="s">
        <v>12</v>
      </c>
      <c r="E1070">
        <v>22663</v>
      </c>
      <c r="F1070" s="6">
        <v>2652961.3536974541</v>
      </c>
      <c r="G1070" s="5">
        <v>6943123</v>
      </c>
      <c r="H1070">
        <v>29759103</v>
      </c>
      <c r="I1070" s="1">
        <v>0.38209914381431154</v>
      </c>
    </row>
    <row r="1071" spans="1:9" x14ac:dyDescent="0.3">
      <c r="A1071" t="s">
        <v>26</v>
      </c>
      <c r="B1071">
        <v>2019</v>
      </c>
      <c r="C1071">
        <v>2</v>
      </c>
      <c r="D1071" t="s">
        <v>13</v>
      </c>
      <c r="E1071">
        <v>32664</v>
      </c>
      <c r="F1071" s="6">
        <v>26301988.315348372</v>
      </c>
      <c r="G1071" s="5">
        <v>6943123</v>
      </c>
      <c r="H1071">
        <v>29759103</v>
      </c>
      <c r="I1071" s="1">
        <v>3.7882071677757074</v>
      </c>
    </row>
    <row r="1072" spans="1:9" x14ac:dyDescent="0.3">
      <c r="A1072" t="s">
        <v>26</v>
      </c>
      <c r="B1072">
        <v>2019</v>
      </c>
      <c r="C1072">
        <v>3</v>
      </c>
      <c r="D1072" t="s">
        <v>10</v>
      </c>
      <c r="E1072">
        <v>618694</v>
      </c>
      <c r="F1072" s="6">
        <v>3499425217.9582095</v>
      </c>
      <c r="G1072" s="5">
        <v>7243005</v>
      </c>
      <c r="H1072">
        <v>42283109</v>
      </c>
      <c r="I1072" s="1">
        <v>483.14549250735149</v>
      </c>
    </row>
    <row r="1073" spans="1:9" x14ac:dyDescent="0.3">
      <c r="A1073" t="s">
        <v>26</v>
      </c>
      <c r="B1073">
        <v>2019</v>
      </c>
      <c r="C1073">
        <v>3</v>
      </c>
      <c r="D1073" t="s">
        <v>9</v>
      </c>
      <c r="E1073">
        <v>318061</v>
      </c>
      <c r="F1073" s="6">
        <v>111964437.03321175</v>
      </c>
      <c r="G1073" s="5">
        <v>7243005</v>
      </c>
      <c r="H1073">
        <v>42283109</v>
      </c>
      <c r="I1073" s="1">
        <v>15.458285205272087</v>
      </c>
    </row>
    <row r="1074" spans="1:9" x14ac:dyDescent="0.3">
      <c r="A1074" t="s">
        <v>26</v>
      </c>
      <c r="B1074">
        <v>2019</v>
      </c>
      <c r="C1074">
        <v>3</v>
      </c>
      <c r="D1074" t="s">
        <v>11</v>
      </c>
      <c r="E1074">
        <v>165115</v>
      </c>
      <c r="F1074" s="6">
        <v>120736230.08884756</v>
      </c>
      <c r="G1074" s="5">
        <v>7243005</v>
      </c>
      <c r="H1074">
        <v>42283109</v>
      </c>
      <c r="I1074" s="1">
        <v>16.669356170380603</v>
      </c>
    </row>
    <row r="1075" spans="1:9" x14ac:dyDescent="0.3">
      <c r="A1075" t="s">
        <v>26</v>
      </c>
      <c r="B1075">
        <v>2019</v>
      </c>
      <c r="C1075">
        <v>3</v>
      </c>
      <c r="D1075" t="s">
        <v>12</v>
      </c>
      <c r="E1075">
        <v>2895</v>
      </c>
      <c r="F1075" s="6">
        <v>658515.88254828518</v>
      </c>
      <c r="G1075" s="5">
        <v>7243005</v>
      </c>
      <c r="H1075">
        <v>42283109</v>
      </c>
      <c r="I1075" s="1">
        <v>9.0917496612011886E-2</v>
      </c>
    </row>
    <row r="1076" spans="1:9" x14ac:dyDescent="0.3">
      <c r="A1076" t="s">
        <v>26</v>
      </c>
      <c r="B1076">
        <v>2019</v>
      </c>
      <c r="C1076">
        <v>3</v>
      </c>
      <c r="D1076" t="s">
        <v>13</v>
      </c>
      <c r="E1076">
        <v>11761</v>
      </c>
      <c r="F1076" s="6">
        <v>11446090.81965122</v>
      </c>
      <c r="G1076" s="5">
        <v>7243005</v>
      </c>
      <c r="H1076">
        <v>42283109</v>
      </c>
      <c r="I1076" s="1">
        <v>1.5802958605787543</v>
      </c>
    </row>
    <row r="1077" spans="1:9" x14ac:dyDescent="0.3">
      <c r="A1077" t="s">
        <v>26</v>
      </c>
      <c r="B1077">
        <v>2019</v>
      </c>
      <c r="C1077">
        <v>4</v>
      </c>
      <c r="D1077" t="s">
        <v>10</v>
      </c>
      <c r="E1077">
        <v>310620</v>
      </c>
      <c r="F1077" s="6">
        <v>1799955855.9714913</v>
      </c>
      <c r="G1077" s="5">
        <v>7407037</v>
      </c>
      <c r="H1077">
        <v>10984292</v>
      </c>
      <c r="I1077" s="1">
        <v>243.00619208078632</v>
      </c>
    </row>
    <row r="1078" spans="1:9" x14ac:dyDescent="0.3">
      <c r="A1078" t="s">
        <v>26</v>
      </c>
      <c r="B1078">
        <v>2019</v>
      </c>
      <c r="C1078">
        <v>4</v>
      </c>
      <c r="D1078" t="s">
        <v>11</v>
      </c>
      <c r="E1078">
        <v>91303</v>
      </c>
      <c r="F1078" s="6">
        <v>77859073.823173761</v>
      </c>
      <c r="G1078" s="5">
        <v>7407037</v>
      </c>
      <c r="H1078">
        <v>10984292</v>
      </c>
      <c r="I1078" s="1">
        <v>10.511500593715647</v>
      </c>
    </row>
    <row r="1079" spans="1:9" x14ac:dyDescent="0.3">
      <c r="A1079" t="s">
        <v>26</v>
      </c>
      <c r="B1079">
        <v>2019</v>
      </c>
      <c r="C1079">
        <v>4</v>
      </c>
      <c r="D1079" t="s">
        <v>9</v>
      </c>
      <c r="E1079">
        <v>84803</v>
      </c>
      <c r="F1079" s="6">
        <v>49065907.045780972</v>
      </c>
      <c r="G1079" s="5">
        <v>7407037</v>
      </c>
      <c r="H1079">
        <v>10984292</v>
      </c>
      <c r="I1079" s="1">
        <v>6.6242286957363614</v>
      </c>
    </row>
    <row r="1080" spans="1:9" x14ac:dyDescent="0.3">
      <c r="A1080" t="s">
        <v>26</v>
      </c>
      <c r="B1080">
        <v>2019</v>
      </c>
      <c r="C1080">
        <v>4</v>
      </c>
      <c r="D1080" t="s">
        <v>12</v>
      </c>
      <c r="E1080">
        <v>197</v>
      </c>
      <c r="F1080" s="6">
        <v>213741.28620327619</v>
      </c>
      <c r="G1080" s="5">
        <v>7407037</v>
      </c>
      <c r="H1080">
        <v>10984292</v>
      </c>
      <c r="I1080" s="1">
        <v>2.8856516607555248E-2</v>
      </c>
    </row>
    <row r="1081" spans="1:9" x14ac:dyDescent="0.3">
      <c r="A1081" t="s">
        <v>26</v>
      </c>
      <c r="B1081">
        <v>2019</v>
      </c>
      <c r="C1081">
        <v>4</v>
      </c>
      <c r="D1081" t="s">
        <v>13</v>
      </c>
      <c r="E1081">
        <v>3005</v>
      </c>
      <c r="F1081" s="6">
        <v>2601419.6959477984</v>
      </c>
      <c r="G1081" s="5">
        <v>7407037</v>
      </c>
      <c r="H1081">
        <v>10984292</v>
      </c>
      <c r="I1081" s="1">
        <v>0.35120922117005737</v>
      </c>
    </row>
    <row r="1082" spans="1:9" x14ac:dyDescent="0.3">
      <c r="A1082" t="s">
        <v>26</v>
      </c>
      <c r="B1082">
        <v>2020</v>
      </c>
      <c r="C1082">
        <v>1</v>
      </c>
      <c r="D1082" t="s">
        <v>10</v>
      </c>
      <c r="E1082">
        <v>435154</v>
      </c>
      <c r="F1082" s="6">
        <v>2654638582.0865793</v>
      </c>
      <c r="G1082" s="5">
        <v>8089488</v>
      </c>
      <c r="H1082">
        <v>49245834</v>
      </c>
      <c r="I1082" s="1">
        <v>328.15903578651444</v>
      </c>
    </row>
    <row r="1083" spans="1:9" x14ac:dyDescent="0.3">
      <c r="A1083" t="s">
        <v>26</v>
      </c>
      <c r="B1083">
        <v>2020</v>
      </c>
      <c r="C1083">
        <v>1</v>
      </c>
      <c r="D1083" t="s">
        <v>9</v>
      </c>
      <c r="E1083">
        <v>341357</v>
      </c>
      <c r="F1083" s="6">
        <v>144213068.71202034</v>
      </c>
      <c r="G1083" s="5">
        <v>8089488</v>
      </c>
      <c r="H1083">
        <v>49245834</v>
      </c>
      <c r="I1083" s="1">
        <v>17.827218324821093</v>
      </c>
    </row>
    <row r="1084" spans="1:9" x14ac:dyDescent="0.3">
      <c r="A1084" t="s">
        <v>26</v>
      </c>
      <c r="B1084">
        <v>2020</v>
      </c>
      <c r="C1084">
        <v>1</v>
      </c>
      <c r="D1084" t="s">
        <v>11</v>
      </c>
      <c r="E1084">
        <v>135241</v>
      </c>
      <c r="F1084" s="6">
        <v>131144418.96503358</v>
      </c>
      <c r="G1084" s="5">
        <v>8089488</v>
      </c>
      <c r="H1084">
        <v>49245834</v>
      </c>
      <c r="I1084" s="1">
        <v>16.211708202674085</v>
      </c>
    </row>
    <row r="1085" spans="1:9" x14ac:dyDescent="0.3">
      <c r="A1085" t="s">
        <v>26</v>
      </c>
      <c r="B1085">
        <v>2020</v>
      </c>
      <c r="C1085">
        <v>1</v>
      </c>
      <c r="D1085" t="s">
        <v>12</v>
      </c>
      <c r="E1085">
        <v>2350</v>
      </c>
      <c r="F1085" s="6">
        <v>2116665.1182805505</v>
      </c>
      <c r="G1085" s="5">
        <v>8089488</v>
      </c>
      <c r="H1085">
        <v>49245834</v>
      </c>
      <c r="I1085" s="1">
        <v>0.26165625293968547</v>
      </c>
    </row>
    <row r="1086" spans="1:9" x14ac:dyDescent="0.3">
      <c r="A1086" t="s">
        <v>26</v>
      </c>
      <c r="B1086">
        <v>2020</v>
      </c>
      <c r="C1086">
        <v>1</v>
      </c>
      <c r="D1086" t="s">
        <v>13</v>
      </c>
      <c r="E1086">
        <v>7528</v>
      </c>
      <c r="F1086" s="6">
        <v>5530441.6521029454</v>
      </c>
      <c r="G1086" s="5">
        <v>8089488</v>
      </c>
      <c r="H1086">
        <v>49245834</v>
      </c>
      <c r="I1086" s="1">
        <v>0.68365781024744032</v>
      </c>
    </row>
    <row r="1087" spans="1:9" x14ac:dyDescent="0.3">
      <c r="A1087" t="s">
        <v>26</v>
      </c>
      <c r="B1087">
        <v>2020</v>
      </c>
      <c r="C1087">
        <v>2</v>
      </c>
      <c r="D1087" t="s">
        <v>10</v>
      </c>
      <c r="E1087">
        <v>1238380</v>
      </c>
      <c r="F1087" s="6">
        <v>7426818530.258213</v>
      </c>
      <c r="G1087" s="5">
        <v>9298234</v>
      </c>
      <c r="H1087">
        <v>108423183</v>
      </c>
      <c r="I1087" s="1">
        <v>798.73431129590983</v>
      </c>
    </row>
    <row r="1088" spans="1:9" x14ac:dyDescent="0.3">
      <c r="A1088" t="s">
        <v>26</v>
      </c>
      <c r="B1088">
        <v>2020</v>
      </c>
      <c r="C1088">
        <v>2</v>
      </c>
      <c r="D1088" t="s">
        <v>9</v>
      </c>
      <c r="E1088">
        <v>1028741</v>
      </c>
      <c r="F1088" s="6">
        <v>413037418.32063264</v>
      </c>
      <c r="G1088" s="5">
        <v>9298234</v>
      </c>
      <c r="H1088">
        <v>108423183</v>
      </c>
      <c r="I1088" s="1">
        <v>44.421060850978009</v>
      </c>
    </row>
    <row r="1089" spans="1:9" x14ac:dyDescent="0.3">
      <c r="A1089" t="s">
        <v>26</v>
      </c>
      <c r="B1089">
        <v>2020</v>
      </c>
      <c r="C1089">
        <v>2</v>
      </c>
      <c r="D1089" t="s">
        <v>11</v>
      </c>
      <c r="E1089">
        <v>341375</v>
      </c>
      <c r="F1089" s="6">
        <v>403026357.76740712</v>
      </c>
      <c r="G1089" s="5">
        <v>9298234</v>
      </c>
      <c r="H1089">
        <v>108423183</v>
      </c>
      <c r="I1089" s="1">
        <v>43.344398276856346</v>
      </c>
    </row>
    <row r="1090" spans="1:9" x14ac:dyDescent="0.3">
      <c r="A1090" t="s">
        <v>26</v>
      </c>
      <c r="B1090">
        <v>2020</v>
      </c>
      <c r="C1090">
        <v>2</v>
      </c>
      <c r="D1090" t="s">
        <v>12</v>
      </c>
      <c r="E1090">
        <v>9130</v>
      </c>
      <c r="F1090" s="6">
        <v>10415041.341445928</v>
      </c>
      <c r="G1090" s="5">
        <v>9298234</v>
      </c>
      <c r="H1090">
        <v>108423183</v>
      </c>
      <c r="I1090" s="1">
        <v>1.1201096188207276</v>
      </c>
    </row>
    <row r="1091" spans="1:9" x14ac:dyDescent="0.3">
      <c r="A1091" t="s">
        <v>26</v>
      </c>
      <c r="B1091">
        <v>2020</v>
      </c>
      <c r="C1091">
        <v>2</v>
      </c>
      <c r="D1091" t="s">
        <v>13</v>
      </c>
      <c r="E1091">
        <v>17380</v>
      </c>
      <c r="F1091" s="6">
        <v>12351591.57084975</v>
      </c>
      <c r="G1091" s="5">
        <v>9298234</v>
      </c>
      <c r="H1091">
        <v>108423183</v>
      </c>
      <c r="I1091" s="1">
        <v>1.3283803753325363</v>
      </c>
    </row>
    <row r="1092" spans="1:9" x14ac:dyDescent="0.3">
      <c r="A1092" t="s">
        <v>26</v>
      </c>
      <c r="B1092">
        <v>2020</v>
      </c>
      <c r="C1092">
        <v>3</v>
      </c>
      <c r="D1092" t="s">
        <v>10</v>
      </c>
      <c r="E1092">
        <v>1787154</v>
      </c>
      <c r="F1092" s="6">
        <v>10837119046.792652</v>
      </c>
      <c r="G1092" s="5">
        <v>10448009</v>
      </c>
      <c r="H1092">
        <v>125877994</v>
      </c>
      <c r="I1092" s="1">
        <v>1037.2425068539519</v>
      </c>
    </row>
    <row r="1093" spans="1:9" x14ac:dyDescent="0.3">
      <c r="A1093" t="s">
        <v>26</v>
      </c>
      <c r="B1093">
        <v>2020</v>
      </c>
      <c r="C1093">
        <v>3</v>
      </c>
      <c r="D1093" t="s">
        <v>9</v>
      </c>
      <c r="E1093">
        <v>1005745</v>
      </c>
      <c r="F1093" s="6">
        <v>443743222.50064701</v>
      </c>
      <c r="G1093" s="5">
        <v>10448009</v>
      </c>
      <c r="H1093">
        <v>125877994</v>
      </c>
      <c r="I1093" s="1">
        <v>42.471558217517519</v>
      </c>
    </row>
    <row r="1094" spans="1:9" x14ac:dyDescent="0.3">
      <c r="A1094" t="s">
        <v>26</v>
      </c>
      <c r="B1094">
        <v>2020</v>
      </c>
      <c r="C1094">
        <v>3</v>
      </c>
      <c r="D1094" t="s">
        <v>11</v>
      </c>
      <c r="E1094">
        <v>642688</v>
      </c>
      <c r="F1094" s="6">
        <v>667957476.43502533</v>
      </c>
      <c r="G1094" s="5">
        <v>10448009</v>
      </c>
      <c r="H1094">
        <v>125877994</v>
      </c>
      <c r="I1094" s="1">
        <v>63.931556379308759</v>
      </c>
    </row>
    <row r="1095" spans="1:9" x14ac:dyDescent="0.3">
      <c r="A1095" t="s">
        <v>26</v>
      </c>
      <c r="B1095">
        <v>2020</v>
      </c>
      <c r="C1095">
        <v>3</v>
      </c>
      <c r="D1095" t="s">
        <v>12</v>
      </c>
      <c r="E1095">
        <v>10111</v>
      </c>
      <c r="F1095" s="6">
        <v>13281733.802213533</v>
      </c>
      <c r="G1095" s="5">
        <v>10448009</v>
      </c>
      <c r="H1095">
        <v>125877994</v>
      </c>
      <c r="I1095" s="1">
        <v>1.2712215123679098</v>
      </c>
    </row>
    <row r="1096" spans="1:9" x14ac:dyDescent="0.3">
      <c r="A1096" t="s">
        <v>26</v>
      </c>
      <c r="B1096">
        <v>2020</v>
      </c>
      <c r="C1096">
        <v>3</v>
      </c>
      <c r="D1096" t="s">
        <v>13</v>
      </c>
      <c r="E1096">
        <v>20200</v>
      </c>
      <c r="F1096" s="6">
        <v>15128281.341935568</v>
      </c>
      <c r="G1096" s="5">
        <v>10448009</v>
      </c>
      <c r="H1096">
        <v>125877994</v>
      </c>
      <c r="I1096" s="1">
        <v>1.4479582992257729</v>
      </c>
    </row>
    <row r="1097" spans="1:9" x14ac:dyDescent="0.3">
      <c r="A1097" t="s">
        <v>26</v>
      </c>
      <c r="B1097">
        <v>2020</v>
      </c>
      <c r="C1097">
        <v>4</v>
      </c>
      <c r="D1097" t="s">
        <v>10</v>
      </c>
      <c r="E1097">
        <v>2378539</v>
      </c>
      <c r="F1097" s="6">
        <v>13736841259.979288</v>
      </c>
      <c r="G1097" s="5">
        <v>11869242</v>
      </c>
      <c r="H1097">
        <v>176206261</v>
      </c>
      <c r="I1097" s="1">
        <v>1157.3478120994828</v>
      </c>
    </row>
    <row r="1098" spans="1:9" x14ac:dyDescent="0.3">
      <c r="A1098" t="s">
        <v>26</v>
      </c>
      <c r="B1098">
        <v>2020</v>
      </c>
      <c r="C1098">
        <v>4</v>
      </c>
      <c r="D1098" t="s">
        <v>9</v>
      </c>
      <c r="E1098">
        <v>1900075</v>
      </c>
      <c r="F1098" s="6">
        <v>536741118.30199385</v>
      </c>
      <c r="G1098" s="5">
        <v>11869242</v>
      </c>
      <c r="H1098">
        <v>176206261</v>
      </c>
      <c r="I1098" s="1">
        <v>45.22117910326488</v>
      </c>
    </row>
    <row r="1099" spans="1:9" x14ac:dyDescent="0.3">
      <c r="A1099" t="s">
        <v>26</v>
      </c>
      <c r="B1099">
        <v>2020</v>
      </c>
      <c r="C1099">
        <v>4</v>
      </c>
      <c r="D1099" t="s">
        <v>11</v>
      </c>
      <c r="E1099">
        <v>1377786</v>
      </c>
      <c r="F1099" s="6">
        <v>1045006123.4596367</v>
      </c>
      <c r="G1099" s="5">
        <v>11869242</v>
      </c>
      <c r="H1099">
        <v>176206261</v>
      </c>
      <c r="I1099" s="1">
        <v>88.043206420396231</v>
      </c>
    </row>
    <row r="1100" spans="1:9" x14ac:dyDescent="0.3">
      <c r="A1100" t="s">
        <v>26</v>
      </c>
      <c r="B1100">
        <v>2020</v>
      </c>
      <c r="C1100">
        <v>4</v>
      </c>
      <c r="D1100" t="s">
        <v>12</v>
      </c>
      <c r="E1100">
        <v>13578</v>
      </c>
      <c r="F1100" s="6">
        <v>17966592.697469097</v>
      </c>
      <c r="G1100" s="5">
        <v>11869242</v>
      </c>
      <c r="H1100">
        <v>176206261</v>
      </c>
      <c r="I1100" s="1">
        <v>1.5137102013312305</v>
      </c>
    </row>
    <row r="1101" spans="1:9" x14ac:dyDescent="0.3">
      <c r="A1101" t="s">
        <v>26</v>
      </c>
      <c r="B1101">
        <v>2020</v>
      </c>
      <c r="C1101">
        <v>4</v>
      </c>
      <c r="D1101" t="s">
        <v>13</v>
      </c>
      <c r="E1101">
        <v>84466</v>
      </c>
      <c r="F1101" s="6">
        <v>44350708.939814664</v>
      </c>
      <c r="G1101" s="5">
        <v>11869242</v>
      </c>
      <c r="H1101">
        <v>176206261</v>
      </c>
      <c r="I1101" s="1">
        <v>3.7366083646971444</v>
      </c>
    </row>
    <row r="1102" spans="1:9" x14ac:dyDescent="0.3">
      <c r="A1102" t="s">
        <v>26</v>
      </c>
      <c r="B1102">
        <v>2021</v>
      </c>
      <c r="C1102">
        <v>1</v>
      </c>
      <c r="D1102" t="s">
        <v>10</v>
      </c>
      <c r="E1102">
        <v>2800201</v>
      </c>
      <c r="F1102" s="6">
        <v>14801220301.14875</v>
      </c>
      <c r="G1102" s="5">
        <v>12922998</v>
      </c>
      <c r="H1102">
        <v>207174099</v>
      </c>
      <c r="I1102" s="1">
        <v>1145.3395180552338</v>
      </c>
    </row>
    <row r="1103" spans="1:9" x14ac:dyDescent="0.3">
      <c r="A1103" t="s">
        <v>26</v>
      </c>
      <c r="B1103">
        <v>2021</v>
      </c>
      <c r="C1103">
        <v>1</v>
      </c>
      <c r="D1103" t="s">
        <v>9</v>
      </c>
      <c r="E1103">
        <v>2554798</v>
      </c>
      <c r="F1103" s="6">
        <v>663747765.67609656</v>
      </c>
      <c r="G1103" s="5">
        <v>12922998</v>
      </c>
      <c r="H1103">
        <v>207174099</v>
      </c>
      <c r="I1103" s="1">
        <v>51.361747922277523</v>
      </c>
    </row>
    <row r="1104" spans="1:9" x14ac:dyDescent="0.3">
      <c r="A1104" t="s">
        <v>26</v>
      </c>
      <c r="B1104">
        <v>2021</v>
      </c>
      <c r="C1104">
        <v>1</v>
      </c>
      <c r="D1104" t="s">
        <v>11</v>
      </c>
      <c r="E1104">
        <v>1527253</v>
      </c>
      <c r="F1104" s="6">
        <v>1605408313.4781337</v>
      </c>
      <c r="G1104" s="5">
        <v>12922998</v>
      </c>
      <c r="H1104">
        <v>207174099</v>
      </c>
      <c r="I1104" s="1">
        <v>124.22878294016093</v>
      </c>
    </row>
    <row r="1105" spans="1:9" x14ac:dyDescent="0.3">
      <c r="A1105" t="s">
        <v>26</v>
      </c>
      <c r="B1105">
        <v>2021</v>
      </c>
      <c r="C1105">
        <v>1</v>
      </c>
      <c r="D1105" t="s">
        <v>12</v>
      </c>
      <c r="E1105">
        <v>17276</v>
      </c>
      <c r="F1105" s="6">
        <v>20848657.8594191</v>
      </c>
      <c r="G1105" s="5">
        <v>12922998</v>
      </c>
      <c r="H1105">
        <v>207174099</v>
      </c>
      <c r="I1105" s="1">
        <v>1.6132988536730486</v>
      </c>
    </row>
    <row r="1106" spans="1:9" x14ac:dyDescent="0.3">
      <c r="A1106" t="s">
        <v>26</v>
      </c>
      <c r="B1106">
        <v>2021</v>
      </c>
      <c r="C1106">
        <v>1</v>
      </c>
      <c r="D1106" t="s">
        <v>13</v>
      </c>
      <c r="E1106">
        <v>98042</v>
      </c>
      <c r="F1106" s="6">
        <v>47124854.989329115</v>
      </c>
      <c r="G1106" s="5">
        <v>12922998</v>
      </c>
      <c r="H1106">
        <v>207174099</v>
      </c>
      <c r="I1106" s="1">
        <v>3.6465884301250466</v>
      </c>
    </row>
    <row r="1107" spans="1:9" x14ac:dyDescent="0.3">
      <c r="A1107" t="s">
        <v>26</v>
      </c>
      <c r="B1107">
        <v>2021</v>
      </c>
      <c r="C1107">
        <v>2</v>
      </c>
      <c r="D1107" t="s">
        <v>10</v>
      </c>
      <c r="E1107">
        <v>3955437</v>
      </c>
      <c r="F1107" s="6">
        <v>19502438177.809399</v>
      </c>
      <c r="G1107" s="5">
        <v>13873937</v>
      </c>
      <c r="H1107">
        <v>377020149</v>
      </c>
      <c r="I1107" s="1">
        <v>1405.6888234254918</v>
      </c>
    </row>
    <row r="1108" spans="1:9" x14ac:dyDescent="0.3">
      <c r="A1108" t="s">
        <v>26</v>
      </c>
      <c r="B1108">
        <v>2021</v>
      </c>
      <c r="C1108">
        <v>2</v>
      </c>
      <c r="D1108" t="s">
        <v>9</v>
      </c>
      <c r="E1108">
        <v>3568970</v>
      </c>
      <c r="F1108" s="6">
        <v>892467613.55459559</v>
      </c>
      <c r="G1108" s="5">
        <v>13873937</v>
      </c>
      <c r="H1108">
        <v>377020149</v>
      </c>
      <c r="I1108" s="1">
        <v>64.326918419378401</v>
      </c>
    </row>
    <row r="1109" spans="1:9" x14ac:dyDescent="0.3">
      <c r="A1109" t="s">
        <v>26</v>
      </c>
      <c r="B1109">
        <v>2021</v>
      </c>
      <c r="C1109">
        <v>2</v>
      </c>
      <c r="D1109" t="s">
        <v>11</v>
      </c>
      <c r="E1109">
        <v>2378307</v>
      </c>
      <c r="F1109" s="6">
        <v>2343370985.5822287</v>
      </c>
      <c r="G1109" s="5">
        <v>13873937</v>
      </c>
      <c r="H1109">
        <v>377020149</v>
      </c>
      <c r="I1109" s="1">
        <v>168.90454278278969</v>
      </c>
    </row>
    <row r="1110" spans="1:9" x14ac:dyDescent="0.3">
      <c r="A1110" t="s">
        <v>26</v>
      </c>
      <c r="B1110">
        <v>2021</v>
      </c>
      <c r="C1110">
        <v>2</v>
      </c>
      <c r="D1110" t="s">
        <v>12</v>
      </c>
      <c r="E1110">
        <v>19432</v>
      </c>
      <c r="F1110" s="6">
        <v>21897796.187056318</v>
      </c>
      <c r="G1110" s="5">
        <v>13873937</v>
      </c>
      <c r="H1110">
        <v>377020149</v>
      </c>
      <c r="I1110" s="1">
        <v>1.5783404657997451</v>
      </c>
    </row>
    <row r="1111" spans="1:9" x14ac:dyDescent="0.3">
      <c r="A1111" t="s">
        <v>26</v>
      </c>
      <c r="B1111">
        <v>2021</v>
      </c>
      <c r="C1111">
        <v>2</v>
      </c>
      <c r="D1111" t="s">
        <v>13</v>
      </c>
      <c r="E1111">
        <v>105673</v>
      </c>
      <c r="F1111" s="6">
        <v>53580855.458362073</v>
      </c>
      <c r="G1111" s="5">
        <v>13873937</v>
      </c>
      <c r="H1111">
        <v>377020149</v>
      </c>
      <c r="I1111" s="1">
        <v>3.8619791525910832</v>
      </c>
    </row>
    <row r="1112" spans="1:9" x14ac:dyDescent="0.3">
      <c r="A1112" t="s">
        <v>26</v>
      </c>
      <c r="B1112">
        <v>2021</v>
      </c>
      <c r="C1112">
        <v>3</v>
      </c>
      <c r="D1112" t="s">
        <v>10</v>
      </c>
      <c r="E1112">
        <v>5621108</v>
      </c>
      <c r="F1112" s="6">
        <v>26562997915.198593</v>
      </c>
      <c r="G1112" s="5">
        <v>14958460</v>
      </c>
      <c r="H1112">
        <v>495277167</v>
      </c>
      <c r="I1112" s="1">
        <v>1775.784266241217</v>
      </c>
    </row>
    <row r="1113" spans="1:9" x14ac:dyDescent="0.3">
      <c r="A1113" t="s">
        <v>26</v>
      </c>
      <c r="B1113">
        <v>2021</v>
      </c>
      <c r="C1113">
        <v>3</v>
      </c>
      <c r="D1113" t="s">
        <v>9</v>
      </c>
      <c r="E1113">
        <v>4192099</v>
      </c>
      <c r="F1113" s="6">
        <v>1126801385.0108979</v>
      </c>
      <c r="G1113" s="5">
        <v>14958460</v>
      </c>
      <c r="H1113">
        <v>495277167</v>
      </c>
      <c r="I1113" s="1">
        <v>75.328702621185457</v>
      </c>
    </row>
    <row r="1114" spans="1:9" x14ac:dyDescent="0.3">
      <c r="A1114" t="s">
        <v>26</v>
      </c>
      <c r="B1114">
        <v>2021</v>
      </c>
      <c r="C1114">
        <v>3</v>
      </c>
      <c r="D1114" t="s">
        <v>11</v>
      </c>
      <c r="E1114">
        <v>3197489</v>
      </c>
      <c r="F1114" s="6">
        <v>3818849262.990345</v>
      </c>
      <c r="G1114" s="5">
        <v>14958460</v>
      </c>
      <c r="H1114">
        <v>495277167</v>
      </c>
      <c r="I1114" s="1">
        <v>255.29695322849713</v>
      </c>
    </row>
    <row r="1115" spans="1:9" x14ac:dyDescent="0.3">
      <c r="A1115" t="s">
        <v>26</v>
      </c>
      <c r="B1115">
        <v>2021</v>
      </c>
      <c r="C1115">
        <v>3</v>
      </c>
      <c r="D1115" t="s">
        <v>12</v>
      </c>
      <c r="E1115">
        <v>16071</v>
      </c>
      <c r="F1115" s="6">
        <v>27585395.493344467</v>
      </c>
      <c r="G1115" s="5">
        <v>14958460</v>
      </c>
      <c r="H1115">
        <v>495277167</v>
      </c>
      <c r="I1115" s="1">
        <v>1.8441333862807046</v>
      </c>
    </row>
    <row r="1116" spans="1:9" x14ac:dyDescent="0.3">
      <c r="A1116" t="s">
        <v>26</v>
      </c>
      <c r="B1116">
        <v>2021</v>
      </c>
      <c r="C1116">
        <v>3</v>
      </c>
      <c r="D1116" t="s">
        <v>13</v>
      </c>
      <c r="E1116">
        <v>124274</v>
      </c>
      <c r="F1116" s="6">
        <v>62209689.338943399</v>
      </c>
      <c r="G1116" s="5">
        <v>14958460</v>
      </c>
      <c r="H1116">
        <v>495277167</v>
      </c>
      <c r="I1116" s="1">
        <v>4.1588298086128788</v>
      </c>
    </row>
    <row r="1117" spans="1:9" x14ac:dyDescent="0.3">
      <c r="A1117" t="s">
        <v>26</v>
      </c>
      <c r="B1117">
        <v>2021</v>
      </c>
      <c r="C1117">
        <v>4</v>
      </c>
      <c r="D1117" t="s">
        <v>10</v>
      </c>
      <c r="E1117">
        <v>6852001</v>
      </c>
      <c r="F1117" s="6">
        <v>31444247707.630074</v>
      </c>
      <c r="G1117" s="5">
        <v>16024910</v>
      </c>
      <c r="H1117">
        <v>396133628</v>
      </c>
      <c r="I1117" s="1">
        <v>1962.2105651532565</v>
      </c>
    </row>
    <row r="1118" spans="1:9" x14ac:dyDescent="0.3">
      <c r="A1118" t="s">
        <v>26</v>
      </c>
      <c r="B1118">
        <v>2021</v>
      </c>
      <c r="C1118">
        <v>4</v>
      </c>
      <c r="D1118" t="s">
        <v>11</v>
      </c>
      <c r="E1118">
        <v>5399465</v>
      </c>
      <c r="F1118" s="6">
        <v>6026170895.5911093</v>
      </c>
      <c r="G1118" s="5">
        <v>16024910</v>
      </c>
      <c r="H1118">
        <v>396133628</v>
      </c>
      <c r="I1118" s="1">
        <v>376.05021779162001</v>
      </c>
    </row>
    <row r="1119" spans="1:9" x14ac:dyDescent="0.3">
      <c r="A1119" t="s">
        <v>26</v>
      </c>
      <c r="B1119">
        <v>2021</v>
      </c>
      <c r="C1119">
        <v>4</v>
      </c>
      <c r="D1119" t="s">
        <v>9</v>
      </c>
      <c r="E1119">
        <v>4358892</v>
      </c>
      <c r="F1119" s="6">
        <v>1334473410.4377313</v>
      </c>
      <c r="G1119" s="5">
        <v>16024910</v>
      </c>
      <c r="H1119">
        <v>396133628</v>
      </c>
      <c r="I1119" s="1">
        <v>83.27493948095379</v>
      </c>
    </row>
    <row r="1120" spans="1:9" x14ac:dyDescent="0.3">
      <c r="A1120" t="s">
        <v>26</v>
      </c>
      <c r="B1120">
        <v>2021</v>
      </c>
      <c r="C1120">
        <v>4</v>
      </c>
      <c r="D1120" t="s">
        <v>12</v>
      </c>
      <c r="E1120">
        <v>20269</v>
      </c>
      <c r="F1120" s="6">
        <v>34425387.517617822</v>
      </c>
      <c r="G1120" s="5">
        <v>16024910</v>
      </c>
      <c r="H1120">
        <v>396133628</v>
      </c>
      <c r="I1120" s="1">
        <v>2.1482421753144214</v>
      </c>
    </row>
    <row r="1121" spans="1:9" x14ac:dyDescent="0.3">
      <c r="A1121" t="s">
        <v>26</v>
      </c>
      <c r="B1121">
        <v>2021</v>
      </c>
      <c r="C1121">
        <v>4</v>
      </c>
      <c r="D1121" t="s">
        <v>13</v>
      </c>
      <c r="E1121">
        <v>160001</v>
      </c>
      <c r="F1121" s="6">
        <v>86920024.595138043</v>
      </c>
      <c r="G1121" s="5">
        <v>16024910</v>
      </c>
      <c r="H1121">
        <v>396133628</v>
      </c>
      <c r="I1121" s="1">
        <v>5.4240569585188334</v>
      </c>
    </row>
    <row r="1122" spans="1:9" x14ac:dyDescent="0.3">
      <c r="A1122" t="s">
        <v>27</v>
      </c>
      <c r="B1122">
        <v>2018</v>
      </c>
      <c r="C1122">
        <v>1</v>
      </c>
      <c r="D1122" t="s">
        <v>9</v>
      </c>
      <c r="E1122">
        <v>1095857</v>
      </c>
      <c r="F1122" s="6">
        <v>132181815.28422523</v>
      </c>
      <c r="G1122" s="5">
        <v>9743382</v>
      </c>
      <c r="H1122">
        <v>0</v>
      </c>
      <c r="I1122" s="1">
        <v>13.566317658922253</v>
      </c>
    </row>
    <row r="1123" spans="1:9" x14ac:dyDescent="0.3">
      <c r="A1123" t="s">
        <v>27</v>
      </c>
      <c r="B1123">
        <v>2018</v>
      </c>
      <c r="C1123">
        <v>1</v>
      </c>
      <c r="D1123" t="s">
        <v>10</v>
      </c>
      <c r="E1123">
        <v>809459</v>
      </c>
      <c r="F1123" s="6">
        <v>2036315435.6551185</v>
      </c>
      <c r="G1123" s="5">
        <v>9743382</v>
      </c>
      <c r="H1123">
        <v>0</v>
      </c>
      <c r="I1123" s="1">
        <v>208.99472438370151</v>
      </c>
    </row>
    <row r="1124" spans="1:9" x14ac:dyDescent="0.3">
      <c r="A1124" t="s">
        <v>27</v>
      </c>
      <c r="B1124">
        <v>2018</v>
      </c>
      <c r="C1124">
        <v>1</v>
      </c>
      <c r="D1124" t="s">
        <v>12</v>
      </c>
      <c r="E1124">
        <v>107755</v>
      </c>
      <c r="F1124" s="6">
        <v>45483178.104925826</v>
      </c>
      <c r="G1124" s="5">
        <v>9743382</v>
      </c>
      <c r="H1124">
        <v>0</v>
      </c>
      <c r="I1124" s="1">
        <v>4.6681099134700688</v>
      </c>
    </row>
    <row r="1125" spans="1:9" x14ac:dyDescent="0.3">
      <c r="A1125" t="s">
        <v>27</v>
      </c>
      <c r="B1125">
        <v>2018</v>
      </c>
      <c r="C1125">
        <v>1</v>
      </c>
      <c r="D1125" t="s">
        <v>11</v>
      </c>
      <c r="E1125">
        <v>66299</v>
      </c>
      <c r="F1125" s="6">
        <v>66465337.511485815</v>
      </c>
      <c r="G1125" s="5">
        <v>9743382</v>
      </c>
      <c r="H1125">
        <v>0</v>
      </c>
      <c r="I1125" s="1">
        <v>6.8215879775098438</v>
      </c>
    </row>
    <row r="1126" spans="1:9" x14ac:dyDescent="0.3">
      <c r="A1126" t="s">
        <v>27</v>
      </c>
      <c r="B1126">
        <v>2018</v>
      </c>
      <c r="C1126">
        <v>1</v>
      </c>
      <c r="D1126" t="s">
        <v>13</v>
      </c>
      <c r="E1126">
        <v>99551</v>
      </c>
      <c r="F1126" s="6">
        <v>93740623.363630936</v>
      </c>
      <c r="G1126" s="5">
        <v>9743382</v>
      </c>
      <c r="H1126">
        <v>0</v>
      </c>
      <c r="I1126" s="1">
        <v>9.620953316172038</v>
      </c>
    </row>
    <row r="1127" spans="1:9" x14ac:dyDescent="0.3">
      <c r="A1127" t="s">
        <v>27</v>
      </c>
      <c r="B1127">
        <v>2018</v>
      </c>
      <c r="C1127">
        <v>2</v>
      </c>
      <c r="D1127" t="s">
        <v>9</v>
      </c>
      <c r="E1127">
        <v>1398777</v>
      </c>
      <c r="F1127" s="6">
        <v>208894647.78855115</v>
      </c>
      <c r="G1127" s="5">
        <v>13536589</v>
      </c>
      <c r="H1127">
        <v>0</v>
      </c>
      <c r="I1127" s="1">
        <v>15.431852720692868</v>
      </c>
    </row>
    <row r="1128" spans="1:9" x14ac:dyDescent="0.3">
      <c r="A1128" t="s">
        <v>27</v>
      </c>
      <c r="B1128">
        <v>2018</v>
      </c>
      <c r="C1128">
        <v>2</v>
      </c>
      <c r="D1128" t="s">
        <v>10</v>
      </c>
      <c r="E1128">
        <v>1375872</v>
      </c>
      <c r="F1128" s="6">
        <v>4205862516.7774911</v>
      </c>
      <c r="G1128" s="5">
        <v>13536589</v>
      </c>
      <c r="H1128">
        <v>0</v>
      </c>
      <c r="I1128" s="1">
        <v>310.70327368124208</v>
      </c>
    </row>
    <row r="1129" spans="1:9" x14ac:dyDescent="0.3">
      <c r="A1129" t="s">
        <v>27</v>
      </c>
      <c r="B1129">
        <v>2018</v>
      </c>
      <c r="C1129">
        <v>2</v>
      </c>
      <c r="D1129" t="s">
        <v>12</v>
      </c>
      <c r="E1129">
        <v>160637</v>
      </c>
      <c r="F1129" s="6">
        <v>65554548.246213168</v>
      </c>
      <c r="G1129" s="5">
        <v>13536589</v>
      </c>
      <c r="H1129">
        <v>0</v>
      </c>
      <c r="I1129" s="1">
        <v>4.8427671288692569</v>
      </c>
    </row>
    <row r="1130" spans="1:9" x14ac:dyDescent="0.3">
      <c r="A1130" t="s">
        <v>27</v>
      </c>
      <c r="B1130">
        <v>2018</v>
      </c>
      <c r="C1130">
        <v>2</v>
      </c>
      <c r="D1130" t="s">
        <v>11</v>
      </c>
      <c r="E1130">
        <v>130339</v>
      </c>
      <c r="F1130" s="6">
        <v>138889079.16124776</v>
      </c>
      <c r="G1130" s="5">
        <v>13536589</v>
      </c>
      <c r="H1130">
        <v>0</v>
      </c>
      <c r="I1130" s="1">
        <v>10.26027156185711</v>
      </c>
    </row>
    <row r="1131" spans="1:9" x14ac:dyDescent="0.3">
      <c r="A1131" t="s">
        <v>27</v>
      </c>
      <c r="B1131">
        <v>2018</v>
      </c>
      <c r="C1131">
        <v>2</v>
      </c>
      <c r="D1131" t="s">
        <v>13</v>
      </c>
      <c r="E1131">
        <v>86455</v>
      </c>
      <c r="F1131" s="6">
        <v>102374867.08935027</v>
      </c>
      <c r="G1131" s="5">
        <v>13536589</v>
      </c>
      <c r="H1131">
        <v>0</v>
      </c>
      <c r="I1131" s="1">
        <v>7.5628259888329525</v>
      </c>
    </row>
    <row r="1132" spans="1:9" x14ac:dyDescent="0.3">
      <c r="A1132" t="s">
        <v>27</v>
      </c>
      <c r="B1132">
        <v>2018</v>
      </c>
      <c r="C1132">
        <v>3</v>
      </c>
      <c r="D1132" t="s">
        <v>10</v>
      </c>
      <c r="E1132">
        <v>6003688</v>
      </c>
      <c r="F1132" s="6">
        <v>8142915751.2033482</v>
      </c>
      <c r="G1132" s="5">
        <v>16855982</v>
      </c>
      <c r="H1132">
        <v>0</v>
      </c>
      <c r="I1132" s="1">
        <v>483.08759176435689</v>
      </c>
    </row>
    <row r="1133" spans="1:9" x14ac:dyDescent="0.3">
      <c r="A1133" t="s">
        <v>27</v>
      </c>
      <c r="B1133">
        <v>2018</v>
      </c>
      <c r="C1133">
        <v>3</v>
      </c>
      <c r="D1133" t="s">
        <v>9</v>
      </c>
      <c r="E1133">
        <v>1539476</v>
      </c>
      <c r="F1133" s="6">
        <v>256930062.20347697</v>
      </c>
      <c r="G1133" s="5">
        <v>16855982</v>
      </c>
      <c r="H1133">
        <v>0</v>
      </c>
      <c r="I1133" s="1">
        <v>15.242663536510479</v>
      </c>
    </row>
    <row r="1134" spans="1:9" x14ac:dyDescent="0.3">
      <c r="A1134" t="s">
        <v>27</v>
      </c>
      <c r="B1134">
        <v>2018</v>
      </c>
      <c r="C1134">
        <v>3</v>
      </c>
      <c r="D1134" t="s">
        <v>11</v>
      </c>
      <c r="E1134">
        <v>287427</v>
      </c>
      <c r="F1134" s="6">
        <v>155059935.04035243</v>
      </c>
      <c r="G1134" s="5">
        <v>16855982</v>
      </c>
      <c r="H1134">
        <v>0</v>
      </c>
      <c r="I1134" s="1">
        <v>9.1991042135873453</v>
      </c>
    </row>
    <row r="1135" spans="1:9" x14ac:dyDescent="0.3">
      <c r="A1135" t="s">
        <v>27</v>
      </c>
      <c r="B1135">
        <v>2018</v>
      </c>
      <c r="C1135">
        <v>3</v>
      </c>
      <c r="D1135" t="s">
        <v>12</v>
      </c>
      <c r="E1135">
        <v>216343</v>
      </c>
      <c r="F1135" s="6">
        <v>38182603.577879392</v>
      </c>
      <c r="G1135" s="5">
        <v>16855982</v>
      </c>
      <c r="H1135">
        <v>0</v>
      </c>
      <c r="I1135" s="1">
        <v>2.2652256971963656</v>
      </c>
    </row>
    <row r="1136" spans="1:9" x14ac:dyDescent="0.3">
      <c r="A1136" t="s">
        <v>27</v>
      </c>
      <c r="B1136">
        <v>2018</v>
      </c>
      <c r="C1136">
        <v>3</v>
      </c>
      <c r="D1136" t="s">
        <v>13</v>
      </c>
      <c r="E1136">
        <v>75687</v>
      </c>
      <c r="F1136" s="6">
        <v>68483065.679561332</v>
      </c>
      <c r="G1136" s="5">
        <v>16855982</v>
      </c>
      <c r="H1136">
        <v>0</v>
      </c>
      <c r="I1136" s="1">
        <v>4.0628345283924325</v>
      </c>
    </row>
    <row r="1137" spans="1:9" x14ac:dyDescent="0.3">
      <c r="A1137" t="s">
        <v>27</v>
      </c>
      <c r="B1137">
        <v>2018</v>
      </c>
      <c r="C1137">
        <v>4</v>
      </c>
      <c r="D1137" t="s">
        <v>10</v>
      </c>
      <c r="E1137">
        <v>3325473</v>
      </c>
      <c r="F1137" s="6">
        <v>9414019816.80093</v>
      </c>
      <c r="G1137" s="5">
        <v>21053439</v>
      </c>
      <c r="H1137">
        <v>0</v>
      </c>
      <c r="I1137" s="1">
        <v>447.14879202399806</v>
      </c>
    </row>
    <row r="1138" spans="1:9" x14ac:dyDescent="0.3">
      <c r="A1138" t="s">
        <v>27</v>
      </c>
      <c r="B1138">
        <v>2018</v>
      </c>
      <c r="C1138">
        <v>4</v>
      </c>
      <c r="D1138" t="s">
        <v>9</v>
      </c>
      <c r="E1138">
        <v>1885135</v>
      </c>
      <c r="F1138" s="6">
        <v>328077093.47845769</v>
      </c>
      <c r="G1138" s="5">
        <v>21053439</v>
      </c>
      <c r="H1138">
        <v>0</v>
      </c>
      <c r="I1138" s="1">
        <v>15.58306429075353</v>
      </c>
    </row>
    <row r="1139" spans="1:9" x14ac:dyDescent="0.3">
      <c r="A1139" t="s">
        <v>27</v>
      </c>
      <c r="B1139">
        <v>2018</v>
      </c>
      <c r="C1139">
        <v>4</v>
      </c>
      <c r="D1139" t="s">
        <v>11</v>
      </c>
      <c r="E1139">
        <v>845956</v>
      </c>
      <c r="F1139" s="6">
        <v>373435992.48166168</v>
      </c>
      <c r="G1139" s="5">
        <v>21053439</v>
      </c>
      <c r="H1139">
        <v>0</v>
      </c>
      <c r="I1139" s="1">
        <v>17.737529364283986</v>
      </c>
    </row>
    <row r="1140" spans="1:9" x14ac:dyDescent="0.3">
      <c r="A1140" t="s">
        <v>27</v>
      </c>
      <c r="B1140">
        <v>2018</v>
      </c>
      <c r="C1140">
        <v>4</v>
      </c>
      <c r="D1140" t="s">
        <v>12</v>
      </c>
      <c r="E1140">
        <v>136918</v>
      </c>
      <c r="F1140" s="6">
        <v>36357465.522440992</v>
      </c>
      <c r="G1140" s="5">
        <v>21053439</v>
      </c>
      <c r="H1140">
        <v>0</v>
      </c>
      <c r="I1140" s="1">
        <v>1.7269133808705073</v>
      </c>
    </row>
    <row r="1141" spans="1:9" x14ac:dyDescent="0.3">
      <c r="A1141" t="s">
        <v>27</v>
      </c>
      <c r="B1141">
        <v>2018</v>
      </c>
      <c r="C1141">
        <v>4</v>
      </c>
      <c r="D1141" t="s">
        <v>13</v>
      </c>
      <c r="E1141">
        <v>90561</v>
      </c>
      <c r="F1141" s="6">
        <v>90026272.83887212</v>
      </c>
      <c r="G1141" s="5">
        <v>21053439</v>
      </c>
      <c r="H1141">
        <v>0</v>
      </c>
      <c r="I1141" s="1">
        <v>4.2760839613362984</v>
      </c>
    </row>
    <row r="1142" spans="1:9" x14ac:dyDescent="0.3">
      <c r="A1142" t="s">
        <v>27</v>
      </c>
      <c r="B1142">
        <v>2019</v>
      </c>
      <c r="C1142">
        <v>1</v>
      </c>
      <c r="D1142" t="s">
        <v>10</v>
      </c>
      <c r="E1142">
        <v>5952105</v>
      </c>
      <c r="F1142" s="6">
        <v>12664709652.347084</v>
      </c>
      <c r="G1142" s="5">
        <v>25072619</v>
      </c>
      <c r="H1142">
        <v>0</v>
      </c>
      <c r="I1142" s="1">
        <v>505.12113043902929</v>
      </c>
    </row>
    <row r="1143" spans="1:9" x14ac:dyDescent="0.3">
      <c r="A1143" t="s">
        <v>27</v>
      </c>
      <c r="B1143">
        <v>2019</v>
      </c>
      <c r="C1143">
        <v>1</v>
      </c>
      <c r="D1143" t="s">
        <v>9</v>
      </c>
      <c r="E1143">
        <v>2347079</v>
      </c>
      <c r="F1143" s="6">
        <v>440323945.05772167</v>
      </c>
      <c r="G1143" s="5">
        <v>25072619</v>
      </c>
      <c r="H1143">
        <v>0</v>
      </c>
      <c r="I1143" s="1">
        <v>17.561944568204929</v>
      </c>
    </row>
    <row r="1144" spans="1:9" x14ac:dyDescent="0.3">
      <c r="A1144" t="s">
        <v>27</v>
      </c>
      <c r="B1144">
        <v>2019</v>
      </c>
      <c r="C1144">
        <v>1</v>
      </c>
      <c r="D1144" t="s">
        <v>11</v>
      </c>
      <c r="E1144">
        <v>892826</v>
      </c>
      <c r="F1144" s="6">
        <v>391616776.11217976</v>
      </c>
      <c r="G1144" s="5">
        <v>25072619</v>
      </c>
      <c r="H1144">
        <v>0</v>
      </c>
      <c r="I1144" s="1">
        <v>15.619300724514648</v>
      </c>
    </row>
    <row r="1145" spans="1:9" x14ac:dyDescent="0.3">
      <c r="A1145" t="s">
        <v>27</v>
      </c>
      <c r="B1145">
        <v>2019</v>
      </c>
      <c r="C1145">
        <v>1</v>
      </c>
      <c r="D1145" t="s">
        <v>12</v>
      </c>
      <c r="E1145">
        <v>105558</v>
      </c>
      <c r="F1145" s="6">
        <v>47227410.811328642</v>
      </c>
      <c r="G1145" s="5">
        <v>25072619</v>
      </c>
      <c r="H1145">
        <v>0</v>
      </c>
      <c r="I1145" s="1">
        <v>1.8836249540316727</v>
      </c>
    </row>
    <row r="1146" spans="1:9" x14ac:dyDescent="0.3">
      <c r="A1146" t="s">
        <v>27</v>
      </c>
      <c r="B1146">
        <v>2019</v>
      </c>
      <c r="C1146">
        <v>1</v>
      </c>
      <c r="D1146" t="s">
        <v>13</v>
      </c>
      <c r="E1146">
        <v>90140</v>
      </c>
      <c r="F1146" s="6">
        <v>83358664.9497917</v>
      </c>
      <c r="G1146" s="5">
        <v>25072619</v>
      </c>
      <c r="H1146">
        <v>0</v>
      </c>
      <c r="I1146" s="1">
        <v>3.3246891738669859</v>
      </c>
    </row>
    <row r="1147" spans="1:9" x14ac:dyDescent="0.3">
      <c r="A1147" t="s">
        <v>27</v>
      </c>
      <c r="B1147">
        <v>2019</v>
      </c>
      <c r="C1147">
        <v>2</v>
      </c>
      <c r="D1147" t="s">
        <v>10</v>
      </c>
      <c r="E1147">
        <v>5155937</v>
      </c>
      <c r="F1147" s="6">
        <v>17044444613.808352</v>
      </c>
      <c r="G1147" s="5">
        <v>28653394</v>
      </c>
      <c r="H1147">
        <v>164219726</v>
      </c>
      <c r="I1147" s="1">
        <v>594.8490644357297</v>
      </c>
    </row>
    <row r="1148" spans="1:9" x14ac:dyDescent="0.3">
      <c r="A1148" t="s">
        <v>27</v>
      </c>
      <c r="B1148">
        <v>2019</v>
      </c>
      <c r="C1148">
        <v>2</v>
      </c>
      <c r="D1148" t="s">
        <v>9</v>
      </c>
      <c r="E1148">
        <v>2734377</v>
      </c>
      <c r="F1148" s="6">
        <v>562210324.81616569</v>
      </c>
      <c r="G1148" s="5">
        <v>28653394</v>
      </c>
      <c r="H1148">
        <v>164219726</v>
      </c>
      <c r="I1148" s="1">
        <v>19.621072631610961</v>
      </c>
    </row>
    <row r="1149" spans="1:9" x14ac:dyDescent="0.3">
      <c r="A1149" t="s">
        <v>27</v>
      </c>
      <c r="B1149">
        <v>2019</v>
      </c>
      <c r="C1149">
        <v>2</v>
      </c>
      <c r="D1149" t="s">
        <v>11</v>
      </c>
      <c r="E1149">
        <v>2049311</v>
      </c>
      <c r="F1149" s="6">
        <v>862186711.52171957</v>
      </c>
      <c r="G1149" s="5">
        <v>28653394</v>
      </c>
      <c r="H1149">
        <v>164219726</v>
      </c>
      <c r="I1149" s="1">
        <v>30.090212402821095</v>
      </c>
    </row>
    <row r="1150" spans="1:9" x14ac:dyDescent="0.3">
      <c r="A1150" t="s">
        <v>27</v>
      </c>
      <c r="B1150">
        <v>2019</v>
      </c>
      <c r="C1150">
        <v>2</v>
      </c>
      <c r="D1150" t="s">
        <v>12</v>
      </c>
      <c r="E1150">
        <v>67479</v>
      </c>
      <c r="F1150" s="6">
        <v>51588987.162455112</v>
      </c>
      <c r="G1150" s="5">
        <v>28653394</v>
      </c>
      <c r="H1150">
        <v>164219726</v>
      </c>
      <c r="I1150" s="1">
        <v>1.8004494393388479</v>
      </c>
    </row>
    <row r="1151" spans="1:9" x14ac:dyDescent="0.3">
      <c r="A1151" t="s">
        <v>27</v>
      </c>
      <c r="B1151">
        <v>2019</v>
      </c>
      <c r="C1151">
        <v>2</v>
      </c>
      <c r="D1151" t="s">
        <v>13</v>
      </c>
      <c r="E1151">
        <v>121107</v>
      </c>
      <c r="F1151" s="6">
        <v>102270668.23762833</v>
      </c>
      <c r="G1151" s="5">
        <v>28653394</v>
      </c>
      <c r="H1151">
        <v>164219726</v>
      </c>
      <c r="I1151" s="1">
        <v>3.5692340054943692</v>
      </c>
    </row>
    <row r="1152" spans="1:9" x14ac:dyDescent="0.3">
      <c r="A1152" t="s">
        <v>27</v>
      </c>
      <c r="B1152">
        <v>2019</v>
      </c>
      <c r="C1152">
        <v>3</v>
      </c>
      <c r="D1152" t="s">
        <v>10</v>
      </c>
      <c r="E1152">
        <v>5708187</v>
      </c>
      <c r="F1152" s="6">
        <v>19050145624.077984</v>
      </c>
      <c r="G1152" s="5">
        <v>32070621</v>
      </c>
      <c r="H1152">
        <v>610549060</v>
      </c>
      <c r="I1152" s="1">
        <v>594.00613490078615</v>
      </c>
    </row>
    <row r="1153" spans="1:9" x14ac:dyDescent="0.3">
      <c r="A1153" t="s">
        <v>27</v>
      </c>
      <c r="B1153">
        <v>2019</v>
      </c>
      <c r="C1153">
        <v>3</v>
      </c>
      <c r="D1153" t="s">
        <v>11</v>
      </c>
      <c r="E1153">
        <v>4766457</v>
      </c>
      <c r="F1153" s="6">
        <v>1494546030.8330803</v>
      </c>
      <c r="G1153" s="5">
        <v>32070621</v>
      </c>
      <c r="H1153">
        <v>610549060</v>
      </c>
      <c r="I1153" s="1">
        <v>46.601717841169346</v>
      </c>
    </row>
    <row r="1154" spans="1:9" x14ac:dyDescent="0.3">
      <c r="A1154" t="s">
        <v>27</v>
      </c>
      <c r="B1154">
        <v>2019</v>
      </c>
      <c r="C1154">
        <v>3</v>
      </c>
      <c r="D1154" t="s">
        <v>9</v>
      </c>
      <c r="E1154">
        <v>3527625</v>
      </c>
      <c r="F1154" s="6">
        <v>754845093.61120129</v>
      </c>
      <c r="G1154" s="5">
        <v>32070621</v>
      </c>
      <c r="H1154">
        <v>610549060</v>
      </c>
      <c r="I1154" s="1">
        <v>23.536965299524486</v>
      </c>
    </row>
    <row r="1155" spans="1:9" x14ac:dyDescent="0.3">
      <c r="A1155" t="s">
        <v>27</v>
      </c>
      <c r="B1155">
        <v>2019</v>
      </c>
      <c r="C1155">
        <v>3</v>
      </c>
      <c r="D1155" t="s">
        <v>12</v>
      </c>
      <c r="E1155">
        <v>103620</v>
      </c>
      <c r="F1155" s="6">
        <v>80276391.647703707</v>
      </c>
      <c r="G1155" s="5">
        <v>32070621</v>
      </c>
      <c r="H1155">
        <v>610549060</v>
      </c>
      <c r="I1155" s="1">
        <v>2.5031131030391869</v>
      </c>
    </row>
    <row r="1156" spans="1:9" x14ac:dyDescent="0.3">
      <c r="A1156" t="s">
        <v>27</v>
      </c>
      <c r="B1156">
        <v>2019</v>
      </c>
      <c r="C1156">
        <v>3</v>
      </c>
      <c r="D1156" t="s">
        <v>13</v>
      </c>
      <c r="E1156">
        <v>114758</v>
      </c>
      <c r="F1156" s="6">
        <v>86160853.189171702</v>
      </c>
      <c r="G1156" s="5">
        <v>32070621</v>
      </c>
      <c r="H1156">
        <v>610549060</v>
      </c>
      <c r="I1156" s="1">
        <v>2.6865975931420754</v>
      </c>
    </row>
    <row r="1157" spans="1:9" x14ac:dyDescent="0.3">
      <c r="A1157" t="s">
        <v>27</v>
      </c>
      <c r="B1157">
        <v>2019</v>
      </c>
      <c r="C1157">
        <v>4</v>
      </c>
      <c r="D1157" t="s">
        <v>10</v>
      </c>
      <c r="E1157">
        <v>10301226</v>
      </c>
      <c r="F1157" s="6">
        <v>25360155657.218044</v>
      </c>
      <c r="G1157" s="5">
        <v>36095081</v>
      </c>
      <c r="H1157">
        <v>771999679</v>
      </c>
      <c r="I1157" s="1">
        <v>702.59312223784855</v>
      </c>
    </row>
    <row r="1158" spans="1:9" x14ac:dyDescent="0.3">
      <c r="A1158" t="s">
        <v>27</v>
      </c>
      <c r="B1158">
        <v>2019</v>
      </c>
      <c r="C1158">
        <v>4</v>
      </c>
      <c r="D1158" t="s">
        <v>9</v>
      </c>
      <c r="E1158">
        <v>4390094</v>
      </c>
      <c r="F1158" s="6">
        <v>966539484.57170832</v>
      </c>
      <c r="G1158" s="5">
        <v>36095081</v>
      </c>
      <c r="H1158">
        <v>771999679</v>
      </c>
      <c r="I1158" s="1">
        <v>26.777595666614747</v>
      </c>
    </row>
    <row r="1159" spans="1:9" x14ac:dyDescent="0.3">
      <c r="A1159" t="s">
        <v>27</v>
      </c>
      <c r="B1159">
        <v>2019</v>
      </c>
      <c r="C1159">
        <v>4</v>
      </c>
      <c r="D1159" t="s">
        <v>11</v>
      </c>
      <c r="E1159">
        <v>3359590</v>
      </c>
      <c r="F1159" s="6">
        <v>1725990595.6016066</v>
      </c>
      <c r="G1159" s="5">
        <v>36095081</v>
      </c>
      <c r="H1159">
        <v>771999679</v>
      </c>
      <c r="I1159" s="1">
        <v>47.817889523550498</v>
      </c>
    </row>
    <row r="1160" spans="1:9" x14ac:dyDescent="0.3">
      <c r="A1160" t="s">
        <v>27</v>
      </c>
      <c r="B1160">
        <v>2019</v>
      </c>
      <c r="C1160">
        <v>4</v>
      </c>
      <c r="D1160" t="s">
        <v>12</v>
      </c>
      <c r="E1160">
        <v>104630</v>
      </c>
      <c r="F1160" s="6">
        <v>45850806.127185926</v>
      </c>
      <c r="G1160" s="5">
        <v>36095081</v>
      </c>
      <c r="H1160">
        <v>771999679</v>
      </c>
      <c r="I1160" s="1">
        <v>1.2702785215300092</v>
      </c>
    </row>
    <row r="1161" spans="1:9" x14ac:dyDescent="0.3">
      <c r="A1161" t="s">
        <v>27</v>
      </c>
      <c r="B1161">
        <v>2019</v>
      </c>
      <c r="C1161">
        <v>4</v>
      </c>
      <c r="D1161" t="s">
        <v>13</v>
      </c>
      <c r="E1161">
        <v>93078</v>
      </c>
      <c r="F1161" s="6">
        <v>49211833.158572711</v>
      </c>
      <c r="G1161" s="5">
        <v>36095081</v>
      </c>
      <c r="H1161">
        <v>771999679</v>
      </c>
      <c r="I1161" s="1">
        <v>1.3633944514093959</v>
      </c>
    </row>
    <row r="1162" spans="1:9" x14ac:dyDescent="0.3">
      <c r="A1162" t="s">
        <v>27</v>
      </c>
      <c r="B1162">
        <v>2020</v>
      </c>
      <c r="C1162">
        <v>1</v>
      </c>
      <c r="D1162" t="s">
        <v>10</v>
      </c>
      <c r="E1162">
        <v>8196850</v>
      </c>
      <c r="F1162" s="6">
        <v>29875044416.372463</v>
      </c>
      <c r="G1162" s="5">
        <v>40165323</v>
      </c>
      <c r="H1162">
        <v>814161843</v>
      </c>
      <c r="I1162" s="1">
        <v>743.80192128350279</v>
      </c>
    </row>
    <row r="1163" spans="1:9" x14ac:dyDescent="0.3">
      <c r="A1163" t="s">
        <v>27</v>
      </c>
      <c r="B1163">
        <v>2020</v>
      </c>
      <c r="C1163">
        <v>1</v>
      </c>
      <c r="D1163" t="s">
        <v>9</v>
      </c>
      <c r="E1163">
        <v>5454093</v>
      </c>
      <c r="F1163" s="6">
        <v>1358517296.9653778</v>
      </c>
      <c r="G1163" s="5">
        <v>40165323</v>
      </c>
      <c r="H1163">
        <v>814161843</v>
      </c>
      <c r="I1163" s="1">
        <v>33.823138854513324</v>
      </c>
    </row>
    <row r="1164" spans="1:9" x14ac:dyDescent="0.3">
      <c r="A1164" t="s">
        <v>27</v>
      </c>
      <c r="B1164">
        <v>2020</v>
      </c>
      <c r="C1164">
        <v>1</v>
      </c>
      <c r="D1164" t="s">
        <v>11</v>
      </c>
      <c r="E1164">
        <v>4499942</v>
      </c>
      <c r="F1164" s="6">
        <v>2298726414.6668339</v>
      </c>
      <c r="G1164" s="5">
        <v>40165323</v>
      </c>
      <c r="H1164">
        <v>814161843</v>
      </c>
      <c r="I1164" s="1">
        <v>57.231617797940622</v>
      </c>
    </row>
    <row r="1165" spans="1:9" x14ac:dyDescent="0.3">
      <c r="A1165" t="s">
        <v>27</v>
      </c>
      <c r="B1165">
        <v>2020</v>
      </c>
      <c r="C1165">
        <v>1</v>
      </c>
      <c r="D1165" t="s">
        <v>12</v>
      </c>
      <c r="E1165">
        <v>46483</v>
      </c>
      <c r="F1165" s="6">
        <v>31523887.510064334</v>
      </c>
      <c r="G1165" s="5">
        <v>40165323</v>
      </c>
      <c r="H1165">
        <v>814161843</v>
      </c>
      <c r="I1165" s="1">
        <v>0.78485333007441105</v>
      </c>
    </row>
    <row r="1166" spans="1:9" x14ac:dyDescent="0.3">
      <c r="A1166" t="s">
        <v>27</v>
      </c>
      <c r="B1166">
        <v>2020</v>
      </c>
      <c r="C1166">
        <v>1</v>
      </c>
      <c r="D1166" t="s">
        <v>13</v>
      </c>
      <c r="E1166">
        <v>85345</v>
      </c>
      <c r="F1166" s="6">
        <v>47420137.754062504</v>
      </c>
      <c r="G1166" s="5">
        <v>40165323</v>
      </c>
      <c r="H1166">
        <v>814161843</v>
      </c>
      <c r="I1166" s="1">
        <v>1.1806238369865096</v>
      </c>
    </row>
    <row r="1167" spans="1:9" x14ac:dyDescent="0.3">
      <c r="A1167" t="s">
        <v>27</v>
      </c>
      <c r="B1167">
        <v>2020</v>
      </c>
      <c r="C1167">
        <v>2</v>
      </c>
      <c r="D1167" t="s">
        <v>10</v>
      </c>
      <c r="E1167">
        <v>8724053</v>
      </c>
      <c r="F1167" s="6">
        <v>32662370316.521744</v>
      </c>
      <c r="G1167" s="5">
        <v>44671385</v>
      </c>
      <c r="H1167">
        <v>839732036</v>
      </c>
      <c r="I1167" s="1">
        <v>731.16986000146949</v>
      </c>
    </row>
    <row r="1168" spans="1:9" x14ac:dyDescent="0.3">
      <c r="A1168" t="s">
        <v>27</v>
      </c>
      <c r="B1168">
        <v>2020</v>
      </c>
      <c r="C1168">
        <v>2</v>
      </c>
      <c r="D1168" t="s">
        <v>9</v>
      </c>
      <c r="E1168">
        <v>7538593</v>
      </c>
      <c r="F1168" s="6">
        <v>1987320466.8540502</v>
      </c>
      <c r="G1168" s="5">
        <v>44671385</v>
      </c>
      <c r="H1168">
        <v>839732036</v>
      </c>
      <c r="I1168" s="1">
        <v>44.48754984547827</v>
      </c>
    </row>
    <row r="1169" spans="1:9" x14ac:dyDescent="0.3">
      <c r="A1169" t="s">
        <v>27</v>
      </c>
      <c r="B1169">
        <v>2020</v>
      </c>
      <c r="C1169">
        <v>2</v>
      </c>
      <c r="D1169" t="s">
        <v>11</v>
      </c>
      <c r="E1169">
        <v>3753633</v>
      </c>
      <c r="F1169" s="6">
        <v>2662438204.2556615</v>
      </c>
      <c r="G1169" s="5">
        <v>44671385</v>
      </c>
      <c r="H1169">
        <v>839732036</v>
      </c>
      <c r="I1169" s="1">
        <v>59.600529606495556</v>
      </c>
    </row>
    <row r="1170" spans="1:9" x14ac:dyDescent="0.3">
      <c r="A1170" t="s">
        <v>27</v>
      </c>
      <c r="B1170">
        <v>2020</v>
      </c>
      <c r="C1170">
        <v>2</v>
      </c>
      <c r="D1170" t="s">
        <v>12</v>
      </c>
      <c r="E1170">
        <v>56553</v>
      </c>
      <c r="F1170" s="6">
        <v>130249402.00867195</v>
      </c>
      <c r="G1170" s="5">
        <v>44671385</v>
      </c>
      <c r="H1170">
        <v>839732036</v>
      </c>
      <c r="I1170" s="1">
        <v>2.915723387772104</v>
      </c>
    </row>
    <row r="1171" spans="1:9" x14ac:dyDescent="0.3">
      <c r="A1171" t="s">
        <v>27</v>
      </c>
      <c r="B1171">
        <v>2020</v>
      </c>
      <c r="C1171">
        <v>2</v>
      </c>
      <c r="D1171" t="s">
        <v>13</v>
      </c>
      <c r="E1171">
        <v>68679</v>
      </c>
      <c r="F1171" s="6">
        <v>43823586.28346999</v>
      </c>
      <c r="G1171" s="5">
        <v>44671385</v>
      </c>
      <c r="H1171">
        <v>839732036</v>
      </c>
      <c r="I1171" s="1">
        <v>0.98102143650728513</v>
      </c>
    </row>
    <row r="1172" spans="1:9" x14ac:dyDescent="0.3">
      <c r="A1172" t="s">
        <v>27</v>
      </c>
      <c r="B1172">
        <v>2020</v>
      </c>
      <c r="C1172">
        <v>3</v>
      </c>
      <c r="D1172" t="s">
        <v>10</v>
      </c>
      <c r="E1172">
        <v>11984094</v>
      </c>
      <c r="F1172" s="6">
        <v>43128110246.270493</v>
      </c>
      <c r="G1172" s="5">
        <v>49280297</v>
      </c>
      <c r="H1172">
        <v>1092506624</v>
      </c>
      <c r="I1172" s="1">
        <v>875.15930040499745</v>
      </c>
    </row>
    <row r="1173" spans="1:9" x14ac:dyDescent="0.3">
      <c r="A1173" t="s">
        <v>27</v>
      </c>
      <c r="B1173">
        <v>2020</v>
      </c>
      <c r="C1173">
        <v>3</v>
      </c>
      <c r="D1173" t="s">
        <v>11</v>
      </c>
      <c r="E1173">
        <v>7728846</v>
      </c>
      <c r="F1173" s="6">
        <v>5163578368.0008011</v>
      </c>
      <c r="G1173" s="5">
        <v>49280297</v>
      </c>
      <c r="H1173">
        <v>1092506624</v>
      </c>
      <c r="I1173" s="1">
        <v>104.77977370957811</v>
      </c>
    </row>
    <row r="1174" spans="1:9" x14ac:dyDescent="0.3">
      <c r="A1174" t="s">
        <v>27</v>
      </c>
      <c r="B1174">
        <v>2020</v>
      </c>
      <c r="C1174">
        <v>3</v>
      </c>
      <c r="D1174" t="s">
        <v>9</v>
      </c>
      <c r="E1174">
        <v>7211293</v>
      </c>
      <c r="F1174" s="6">
        <v>2217657034.9022017</v>
      </c>
      <c r="G1174" s="5">
        <v>49280297</v>
      </c>
      <c r="H1174">
        <v>1092506624</v>
      </c>
      <c r="I1174" s="1">
        <v>45.000886153389082</v>
      </c>
    </row>
    <row r="1175" spans="1:9" x14ac:dyDescent="0.3">
      <c r="A1175" t="s">
        <v>27</v>
      </c>
      <c r="B1175">
        <v>2020</v>
      </c>
      <c r="C1175">
        <v>3</v>
      </c>
      <c r="D1175" t="s">
        <v>12</v>
      </c>
      <c r="E1175">
        <v>56918</v>
      </c>
      <c r="F1175" s="6">
        <v>63233533.186278537</v>
      </c>
      <c r="G1175" s="5">
        <v>49280297</v>
      </c>
      <c r="H1175">
        <v>1092506624</v>
      </c>
      <c r="I1175" s="1">
        <v>1.2831402616400331</v>
      </c>
    </row>
    <row r="1176" spans="1:9" x14ac:dyDescent="0.3">
      <c r="A1176" t="s">
        <v>27</v>
      </c>
      <c r="B1176">
        <v>2020</v>
      </c>
      <c r="C1176">
        <v>3</v>
      </c>
      <c r="D1176" t="s">
        <v>13</v>
      </c>
      <c r="E1176">
        <v>87322</v>
      </c>
      <c r="F1176" s="6">
        <v>50036637.653871216</v>
      </c>
      <c r="G1176" s="5">
        <v>49280297</v>
      </c>
      <c r="H1176">
        <v>1092506624</v>
      </c>
      <c r="I1176" s="1">
        <v>1.0153477292125739</v>
      </c>
    </row>
    <row r="1177" spans="1:9" x14ac:dyDescent="0.3">
      <c r="A1177" t="s">
        <v>27</v>
      </c>
      <c r="B1177">
        <v>2020</v>
      </c>
      <c r="C1177">
        <v>4</v>
      </c>
      <c r="D1177" t="s">
        <v>10</v>
      </c>
      <c r="E1177">
        <v>17120664</v>
      </c>
      <c r="F1177" s="6">
        <v>60733288288.105988</v>
      </c>
      <c r="G1177" s="5">
        <v>54097318</v>
      </c>
      <c r="H1177">
        <v>1389419185</v>
      </c>
      <c r="I1177" s="1">
        <v>1122.6672695327704</v>
      </c>
    </row>
    <row r="1178" spans="1:9" x14ac:dyDescent="0.3">
      <c r="A1178" t="s">
        <v>27</v>
      </c>
      <c r="B1178">
        <v>2020</v>
      </c>
      <c r="C1178">
        <v>4</v>
      </c>
      <c r="D1178" t="s">
        <v>11</v>
      </c>
      <c r="E1178">
        <v>14168381</v>
      </c>
      <c r="F1178" s="6">
        <v>9347677563.8424549</v>
      </c>
      <c r="G1178" s="5">
        <v>54097318</v>
      </c>
      <c r="H1178">
        <v>1389419185</v>
      </c>
      <c r="I1178" s="1">
        <v>172.79373376407412</v>
      </c>
    </row>
    <row r="1179" spans="1:9" x14ac:dyDescent="0.3">
      <c r="A1179" t="s">
        <v>27</v>
      </c>
      <c r="B1179">
        <v>2020</v>
      </c>
      <c r="C1179">
        <v>4</v>
      </c>
      <c r="D1179" t="s">
        <v>9</v>
      </c>
      <c r="E1179">
        <v>7945996</v>
      </c>
      <c r="F1179" s="6">
        <v>2582828438.736846</v>
      </c>
      <c r="G1179" s="5">
        <v>54097318</v>
      </c>
      <c r="H1179">
        <v>1389419185</v>
      </c>
      <c r="I1179" s="1">
        <v>47.744112540604064</v>
      </c>
    </row>
    <row r="1180" spans="1:9" x14ac:dyDescent="0.3">
      <c r="A1180" t="s">
        <v>27</v>
      </c>
      <c r="B1180">
        <v>2020</v>
      </c>
      <c r="C1180">
        <v>4</v>
      </c>
      <c r="D1180" t="s">
        <v>12</v>
      </c>
      <c r="E1180">
        <v>60989</v>
      </c>
      <c r="F1180" s="6">
        <v>63947540.001266286</v>
      </c>
      <c r="G1180" s="5">
        <v>54097318</v>
      </c>
      <c r="H1180">
        <v>1389419185</v>
      </c>
      <c r="I1180" s="1">
        <v>1.1820833705890241</v>
      </c>
    </row>
    <row r="1181" spans="1:9" x14ac:dyDescent="0.3">
      <c r="A1181" t="s">
        <v>27</v>
      </c>
      <c r="B1181">
        <v>2020</v>
      </c>
      <c r="C1181">
        <v>4</v>
      </c>
      <c r="D1181" t="s">
        <v>13</v>
      </c>
      <c r="E1181">
        <v>135603</v>
      </c>
      <c r="F1181" s="6">
        <v>77432999.356998235</v>
      </c>
      <c r="G1181" s="5">
        <v>54097318</v>
      </c>
      <c r="H1181">
        <v>1389419185</v>
      </c>
      <c r="I1181" s="1">
        <v>1.4313648480133199</v>
      </c>
    </row>
    <row r="1182" spans="1:9" x14ac:dyDescent="0.3">
      <c r="A1182" t="s">
        <v>27</v>
      </c>
      <c r="B1182">
        <v>2021</v>
      </c>
      <c r="C1182">
        <v>1</v>
      </c>
      <c r="D1182" t="s">
        <v>10</v>
      </c>
      <c r="E1182">
        <v>19151083</v>
      </c>
      <c r="F1182" s="6">
        <v>69198235576.727966</v>
      </c>
      <c r="G1182" s="5">
        <v>58443539</v>
      </c>
      <c r="H1182">
        <v>1559044641</v>
      </c>
      <c r="I1182" s="1">
        <v>1184.0185717830668</v>
      </c>
    </row>
    <row r="1183" spans="1:9" x14ac:dyDescent="0.3">
      <c r="A1183" t="s">
        <v>27</v>
      </c>
      <c r="B1183">
        <v>2021</v>
      </c>
      <c r="C1183">
        <v>1</v>
      </c>
      <c r="D1183" t="s">
        <v>11</v>
      </c>
      <c r="E1183">
        <v>17489113</v>
      </c>
      <c r="F1183" s="6">
        <v>11545580927.24733</v>
      </c>
      <c r="G1183" s="5">
        <v>58443539</v>
      </c>
      <c r="H1183">
        <v>1559044641</v>
      </c>
      <c r="I1183" s="1">
        <v>197.55102317207945</v>
      </c>
    </row>
    <row r="1184" spans="1:9" x14ac:dyDescent="0.3">
      <c r="A1184" t="s">
        <v>27</v>
      </c>
      <c r="B1184">
        <v>2021</v>
      </c>
      <c r="C1184">
        <v>1</v>
      </c>
      <c r="D1184" t="s">
        <v>9</v>
      </c>
      <c r="E1184">
        <v>7826608</v>
      </c>
      <c r="F1184" s="6">
        <v>2888409672.1323009</v>
      </c>
      <c r="G1184" s="5">
        <v>58443539</v>
      </c>
      <c r="H1184">
        <v>1559044641</v>
      </c>
      <c r="I1184" s="1">
        <v>49.422223937060018</v>
      </c>
    </row>
    <row r="1185" spans="1:9" x14ac:dyDescent="0.3">
      <c r="A1185" t="s">
        <v>27</v>
      </c>
      <c r="B1185">
        <v>2021</v>
      </c>
      <c r="C1185">
        <v>1</v>
      </c>
      <c r="D1185" t="s">
        <v>12</v>
      </c>
      <c r="E1185">
        <v>50526</v>
      </c>
      <c r="F1185" s="6">
        <v>54836609.32711602</v>
      </c>
      <c r="G1185" s="5">
        <v>58443539</v>
      </c>
      <c r="H1185">
        <v>1559044641</v>
      </c>
      <c r="I1185" s="1">
        <v>0.93828351714149305</v>
      </c>
    </row>
    <row r="1186" spans="1:9" x14ac:dyDescent="0.3">
      <c r="A1186" t="s">
        <v>27</v>
      </c>
      <c r="B1186">
        <v>2021</v>
      </c>
      <c r="C1186">
        <v>1</v>
      </c>
      <c r="D1186" t="s">
        <v>13</v>
      </c>
      <c r="E1186">
        <v>104333</v>
      </c>
      <c r="F1186" s="6">
        <v>62290337.704879291</v>
      </c>
      <c r="G1186" s="5">
        <v>58443539</v>
      </c>
      <c r="H1186">
        <v>1559044641</v>
      </c>
      <c r="I1186" s="1">
        <v>1.0658207694246458</v>
      </c>
    </row>
    <row r="1187" spans="1:9" x14ac:dyDescent="0.3">
      <c r="A1187" t="s">
        <v>27</v>
      </c>
      <c r="B1187">
        <v>2021</v>
      </c>
      <c r="C1187">
        <v>2</v>
      </c>
      <c r="D1187" t="s">
        <v>10</v>
      </c>
      <c r="E1187">
        <v>24184568</v>
      </c>
      <c r="F1187" s="6">
        <v>86037113965.375977</v>
      </c>
      <c r="G1187" s="5">
        <v>62716533</v>
      </c>
      <c r="H1187">
        <v>2026575177</v>
      </c>
      <c r="I1187" s="1">
        <v>1371.8410417453397</v>
      </c>
    </row>
    <row r="1188" spans="1:9" x14ac:dyDescent="0.3">
      <c r="A1188" t="s">
        <v>27</v>
      </c>
      <c r="B1188">
        <v>2021</v>
      </c>
      <c r="C1188">
        <v>2</v>
      </c>
      <c r="D1188" t="s">
        <v>11</v>
      </c>
      <c r="E1188">
        <v>19041292</v>
      </c>
      <c r="F1188" s="6">
        <v>14731458451.37311</v>
      </c>
      <c r="G1188" s="5">
        <v>62716533</v>
      </c>
      <c r="H1188">
        <v>2026575177</v>
      </c>
      <c r="I1188" s="1">
        <v>234.88955378597075</v>
      </c>
    </row>
    <row r="1189" spans="1:9" x14ac:dyDescent="0.3">
      <c r="A1189" t="s">
        <v>27</v>
      </c>
      <c r="B1189">
        <v>2021</v>
      </c>
      <c r="C1189">
        <v>2</v>
      </c>
      <c r="D1189" t="s">
        <v>9</v>
      </c>
      <c r="E1189">
        <v>10583445</v>
      </c>
      <c r="F1189" s="6">
        <v>3531023352.4888778</v>
      </c>
      <c r="G1189" s="5">
        <v>62716533</v>
      </c>
      <c r="H1189">
        <v>2026575177</v>
      </c>
      <c r="I1189" s="1">
        <v>56.301316153571143</v>
      </c>
    </row>
    <row r="1190" spans="1:9" x14ac:dyDescent="0.3">
      <c r="A1190" t="s">
        <v>27</v>
      </c>
      <c r="B1190">
        <v>2021</v>
      </c>
      <c r="C1190">
        <v>2</v>
      </c>
      <c r="D1190" t="s">
        <v>12</v>
      </c>
      <c r="E1190">
        <v>54379</v>
      </c>
      <c r="F1190" s="6">
        <v>57959229.954408787</v>
      </c>
      <c r="G1190" s="5">
        <v>62716533</v>
      </c>
      <c r="H1190">
        <v>2026575177</v>
      </c>
      <c r="I1190" s="1">
        <v>0.92414594975153974</v>
      </c>
    </row>
    <row r="1191" spans="1:9" x14ac:dyDescent="0.3">
      <c r="A1191" t="s">
        <v>27</v>
      </c>
      <c r="B1191">
        <v>2021</v>
      </c>
      <c r="C1191">
        <v>2</v>
      </c>
      <c r="D1191" t="s">
        <v>13</v>
      </c>
      <c r="E1191">
        <v>138461</v>
      </c>
      <c r="F1191" s="6">
        <v>75088312.265589073</v>
      </c>
      <c r="G1191" s="5">
        <v>62716533</v>
      </c>
      <c r="H1191">
        <v>2026575177</v>
      </c>
      <c r="I1191" s="1">
        <v>1.1972650380018468</v>
      </c>
    </row>
    <row r="1192" spans="1:9" x14ac:dyDescent="0.3">
      <c r="A1192" t="s">
        <v>27</v>
      </c>
      <c r="B1192">
        <v>2021</v>
      </c>
      <c r="C1192">
        <v>3</v>
      </c>
      <c r="D1192" t="s">
        <v>10</v>
      </c>
      <c r="E1192">
        <v>30113326</v>
      </c>
      <c r="F1192" s="6">
        <v>97742557031.755432</v>
      </c>
      <c r="G1192" s="5">
        <v>67670273</v>
      </c>
      <c r="H1192">
        <v>2535235978</v>
      </c>
      <c r="I1192" s="1">
        <v>1444.3943063707668</v>
      </c>
    </row>
    <row r="1193" spans="1:9" x14ac:dyDescent="0.3">
      <c r="A1193" t="s">
        <v>27</v>
      </c>
      <c r="B1193">
        <v>2021</v>
      </c>
      <c r="C1193">
        <v>3</v>
      </c>
      <c r="D1193" t="s">
        <v>11</v>
      </c>
      <c r="E1193">
        <v>29687162</v>
      </c>
      <c r="F1193" s="6">
        <v>19954619973.19194</v>
      </c>
      <c r="G1193" s="5">
        <v>67670273</v>
      </c>
      <c r="H1193">
        <v>2535235978</v>
      </c>
      <c r="I1193" s="1">
        <v>294.88014586836289</v>
      </c>
    </row>
    <row r="1194" spans="1:9" x14ac:dyDescent="0.3">
      <c r="A1194" t="s">
        <v>27</v>
      </c>
      <c r="B1194">
        <v>2021</v>
      </c>
      <c r="C1194">
        <v>3</v>
      </c>
      <c r="D1194" t="s">
        <v>9</v>
      </c>
      <c r="E1194">
        <v>10742405</v>
      </c>
      <c r="F1194" s="6">
        <v>4029136911.757236</v>
      </c>
      <c r="G1194" s="5">
        <v>67670273</v>
      </c>
      <c r="H1194">
        <v>2535235978</v>
      </c>
      <c r="I1194" s="1">
        <v>59.540721991135399</v>
      </c>
    </row>
    <row r="1195" spans="1:9" x14ac:dyDescent="0.3">
      <c r="A1195" t="s">
        <v>27</v>
      </c>
      <c r="B1195">
        <v>2021</v>
      </c>
      <c r="C1195">
        <v>3</v>
      </c>
      <c r="D1195" t="s">
        <v>12</v>
      </c>
      <c r="E1195">
        <v>51289</v>
      </c>
      <c r="F1195" s="6">
        <v>65035270.30823113</v>
      </c>
      <c r="G1195" s="5">
        <v>67670273</v>
      </c>
      <c r="H1195">
        <v>2535235978</v>
      </c>
      <c r="I1195" s="1">
        <v>0.96106114878879134</v>
      </c>
    </row>
    <row r="1196" spans="1:9" x14ac:dyDescent="0.3">
      <c r="A1196" t="s">
        <v>27</v>
      </c>
      <c r="B1196">
        <v>2021</v>
      </c>
      <c r="C1196">
        <v>3</v>
      </c>
      <c r="D1196" t="s">
        <v>13</v>
      </c>
      <c r="E1196">
        <v>201520</v>
      </c>
      <c r="F1196" s="6">
        <v>99665931.840213105</v>
      </c>
      <c r="G1196" s="5">
        <v>67670273</v>
      </c>
      <c r="H1196">
        <v>2535235978</v>
      </c>
      <c r="I1196" s="1">
        <v>1.4728170498176223</v>
      </c>
    </row>
    <row r="1197" spans="1:9" x14ac:dyDescent="0.3">
      <c r="A1197" t="s">
        <v>27</v>
      </c>
      <c r="B1197">
        <v>2021</v>
      </c>
      <c r="C1197">
        <v>4</v>
      </c>
      <c r="D1197" t="s">
        <v>11</v>
      </c>
      <c r="E1197">
        <v>45007900</v>
      </c>
      <c r="F1197" s="6">
        <v>30397134744.167339</v>
      </c>
      <c r="G1197" s="5">
        <v>72558156</v>
      </c>
      <c r="H1197">
        <v>3134560099</v>
      </c>
      <c r="I1197" s="1">
        <v>418.93477480556891</v>
      </c>
    </row>
    <row r="1198" spans="1:9" x14ac:dyDescent="0.3">
      <c r="A1198" t="s">
        <v>27</v>
      </c>
      <c r="B1198">
        <v>2021</v>
      </c>
      <c r="C1198">
        <v>4</v>
      </c>
      <c r="D1198" t="s">
        <v>10</v>
      </c>
      <c r="E1198">
        <v>39476282</v>
      </c>
      <c r="F1198" s="6">
        <v>130461675107.99458</v>
      </c>
      <c r="G1198" s="5">
        <v>72558156</v>
      </c>
      <c r="H1198">
        <v>3134560099</v>
      </c>
      <c r="I1198" s="1">
        <v>1798.0290886664013</v>
      </c>
    </row>
    <row r="1199" spans="1:9" x14ac:dyDescent="0.3">
      <c r="A1199" t="s">
        <v>27</v>
      </c>
      <c r="B1199">
        <v>2021</v>
      </c>
      <c r="C1199">
        <v>4</v>
      </c>
      <c r="D1199" t="s">
        <v>9</v>
      </c>
      <c r="E1199">
        <v>11173974</v>
      </c>
      <c r="F1199" s="6">
        <v>4920513757.5836105</v>
      </c>
      <c r="G1199" s="5">
        <v>72558156</v>
      </c>
      <c r="H1199">
        <v>3134560099</v>
      </c>
      <c r="I1199" s="1">
        <v>67.814757552322732</v>
      </c>
    </row>
    <row r="1200" spans="1:9" x14ac:dyDescent="0.3">
      <c r="A1200" t="s">
        <v>27</v>
      </c>
      <c r="B1200">
        <v>2021</v>
      </c>
      <c r="C1200">
        <v>4</v>
      </c>
      <c r="D1200" t="s">
        <v>12</v>
      </c>
      <c r="E1200">
        <v>72802</v>
      </c>
      <c r="F1200" s="6">
        <v>82938673.407873422</v>
      </c>
      <c r="G1200" s="5">
        <v>72558156</v>
      </c>
      <c r="H1200">
        <v>3134560099</v>
      </c>
      <c r="I1200" s="1">
        <v>1.143064790784835</v>
      </c>
    </row>
    <row r="1201" spans="1:9" x14ac:dyDescent="0.3">
      <c r="A1201" t="s">
        <v>27</v>
      </c>
      <c r="B1201">
        <v>2021</v>
      </c>
      <c r="C1201">
        <v>4</v>
      </c>
      <c r="D1201" t="s">
        <v>13</v>
      </c>
      <c r="E1201">
        <v>278084</v>
      </c>
      <c r="F1201" s="6">
        <v>154856720.55251962</v>
      </c>
      <c r="G1201" s="5">
        <v>72558156</v>
      </c>
      <c r="H1201">
        <v>3134560099</v>
      </c>
      <c r="I1201" s="1">
        <v>2.1342427797161716</v>
      </c>
    </row>
    <row r="1202" spans="1:9" x14ac:dyDescent="0.3">
      <c r="A1202" t="s">
        <v>28</v>
      </c>
      <c r="B1202">
        <v>2018</v>
      </c>
      <c r="C1202">
        <v>1</v>
      </c>
      <c r="D1202" t="s">
        <v>9</v>
      </c>
      <c r="E1202">
        <v>5785292</v>
      </c>
      <c r="F1202" s="6">
        <v>1496816541.9710202</v>
      </c>
      <c r="G1202" s="5">
        <v>40895393</v>
      </c>
      <c r="H1202">
        <v>0</v>
      </c>
      <c r="I1202" s="1">
        <v>36.601104236142696</v>
      </c>
    </row>
    <row r="1203" spans="1:9" x14ac:dyDescent="0.3">
      <c r="A1203" t="s">
        <v>28</v>
      </c>
      <c r="B1203">
        <v>2018</v>
      </c>
      <c r="C1203">
        <v>1</v>
      </c>
      <c r="D1203" t="s">
        <v>10</v>
      </c>
      <c r="E1203">
        <v>4456528</v>
      </c>
      <c r="F1203" s="6">
        <v>16522277460.174664</v>
      </c>
      <c r="G1203" s="5">
        <v>40895393</v>
      </c>
      <c r="H1203">
        <v>0</v>
      </c>
      <c r="I1203" s="1">
        <v>404.01317234375676</v>
      </c>
    </row>
    <row r="1204" spans="1:9" x14ac:dyDescent="0.3">
      <c r="A1204" t="s">
        <v>28</v>
      </c>
      <c r="B1204">
        <v>2018</v>
      </c>
      <c r="C1204">
        <v>1</v>
      </c>
      <c r="D1204" t="s">
        <v>11</v>
      </c>
      <c r="E1204">
        <v>1089627</v>
      </c>
      <c r="F1204" s="6">
        <v>696586489.26440835</v>
      </c>
      <c r="G1204" s="5">
        <v>40895393</v>
      </c>
      <c r="H1204">
        <v>0</v>
      </c>
      <c r="I1204" s="1">
        <v>17.033373154389501</v>
      </c>
    </row>
    <row r="1205" spans="1:9" x14ac:dyDescent="0.3">
      <c r="A1205" t="s">
        <v>28</v>
      </c>
      <c r="B1205">
        <v>2018</v>
      </c>
      <c r="C1205">
        <v>1</v>
      </c>
      <c r="D1205" t="s">
        <v>12</v>
      </c>
      <c r="E1205">
        <v>159848</v>
      </c>
      <c r="F1205" s="6">
        <v>52664837.407077998</v>
      </c>
      <c r="G1205" s="5">
        <v>40895393</v>
      </c>
      <c r="H1205">
        <v>0</v>
      </c>
      <c r="I1205" s="1">
        <v>1.2877938942187936</v>
      </c>
    </row>
    <row r="1206" spans="1:9" x14ac:dyDescent="0.3">
      <c r="A1206" t="s">
        <v>28</v>
      </c>
      <c r="B1206">
        <v>2018</v>
      </c>
      <c r="C1206">
        <v>1</v>
      </c>
      <c r="D1206" t="s">
        <v>13</v>
      </c>
      <c r="E1206">
        <v>525604</v>
      </c>
      <c r="F1206" s="6">
        <v>449549985.19633806</v>
      </c>
      <c r="G1206" s="5">
        <v>40895393</v>
      </c>
      <c r="H1206">
        <v>0</v>
      </c>
      <c r="I1206" s="1">
        <v>10.992680402810606</v>
      </c>
    </row>
    <row r="1207" spans="1:9" x14ac:dyDescent="0.3">
      <c r="A1207" t="s">
        <v>28</v>
      </c>
      <c r="B1207">
        <v>2018</v>
      </c>
      <c r="C1207">
        <v>2</v>
      </c>
      <c r="D1207" t="s">
        <v>9</v>
      </c>
      <c r="E1207">
        <v>7391926</v>
      </c>
      <c r="F1207" s="6">
        <v>2435924808.0540595</v>
      </c>
      <c r="G1207" s="5">
        <v>55337315</v>
      </c>
      <c r="H1207">
        <v>0</v>
      </c>
      <c r="I1207" s="1">
        <v>44.019569942163969</v>
      </c>
    </row>
    <row r="1208" spans="1:9" x14ac:dyDescent="0.3">
      <c r="A1208" t="s">
        <v>28</v>
      </c>
      <c r="B1208">
        <v>2018</v>
      </c>
      <c r="C1208">
        <v>2</v>
      </c>
      <c r="D1208" t="s">
        <v>10</v>
      </c>
      <c r="E1208">
        <v>7164836</v>
      </c>
      <c r="F1208" s="6">
        <v>29135024501.319633</v>
      </c>
      <c r="G1208" s="5">
        <v>55337315</v>
      </c>
      <c r="H1208">
        <v>0</v>
      </c>
      <c r="I1208" s="1">
        <v>526.4987016684787</v>
      </c>
    </row>
    <row r="1209" spans="1:9" x14ac:dyDescent="0.3">
      <c r="A1209" t="s">
        <v>28</v>
      </c>
      <c r="B1209">
        <v>2018</v>
      </c>
      <c r="C1209">
        <v>2</v>
      </c>
      <c r="D1209" t="s">
        <v>11</v>
      </c>
      <c r="E1209">
        <v>1874383</v>
      </c>
      <c r="F1209" s="6">
        <v>1361967204.9193478</v>
      </c>
      <c r="G1209" s="5">
        <v>55337315</v>
      </c>
      <c r="H1209">
        <v>0</v>
      </c>
      <c r="I1209" s="1">
        <v>24.612094116227862</v>
      </c>
    </row>
    <row r="1210" spans="1:9" x14ac:dyDescent="0.3">
      <c r="A1210" t="s">
        <v>28</v>
      </c>
      <c r="B1210">
        <v>2018</v>
      </c>
      <c r="C1210">
        <v>2</v>
      </c>
      <c r="D1210" t="s">
        <v>12</v>
      </c>
      <c r="E1210">
        <v>194363</v>
      </c>
      <c r="F1210" s="6">
        <v>93244737.612266719</v>
      </c>
      <c r="G1210" s="5">
        <v>55337315</v>
      </c>
      <c r="H1210">
        <v>0</v>
      </c>
      <c r="I1210" s="1">
        <v>1.6850246097460044</v>
      </c>
    </row>
    <row r="1211" spans="1:9" x14ac:dyDescent="0.3">
      <c r="A1211" t="s">
        <v>28</v>
      </c>
      <c r="B1211">
        <v>2018</v>
      </c>
      <c r="C1211">
        <v>2</v>
      </c>
      <c r="D1211" t="s">
        <v>13</v>
      </c>
      <c r="E1211">
        <v>490939</v>
      </c>
      <c r="F1211" s="6">
        <v>489418829.39568377</v>
      </c>
      <c r="G1211" s="5">
        <v>55337315</v>
      </c>
      <c r="H1211">
        <v>0</v>
      </c>
      <c r="I1211" s="1">
        <v>8.8442821881705633</v>
      </c>
    </row>
    <row r="1212" spans="1:9" x14ac:dyDescent="0.3">
      <c r="A1212" t="s">
        <v>28</v>
      </c>
      <c r="B1212">
        <v>2018</v>
      </c>
      <c r="C1212">
        <v>3</v>
      </c>
      <c r="D1212" t="s">
        <v>10</v>
      </c>
      <c r="E1212">
        <v>12863507</v>
      </c>
      <c r="F1212" s="6">
        <v>42819128165.147179</v>
      </c>
      <c r="G1212" s="5">
        <v>70099139</v>
      </c>
      <c r="H1212">
        <v>0</v>
      </c>
      <c r="I1212" s="1">
        <v>610.83672033613959</v>
      </c>
    </row>
    <row r="1213" spans="1:9" x14ac:dyDescent="0.3">
      <c r="A1213" t="s">
        <v>28</v>
      </c>
      <c r="B1213">
        <v>2018</v>
      </c>
      <c r="C1213">
        <v>3</v>
      </c>
      <c r="D1213" t="s">
        <v>9</v>
      </c>
      <c r="E1213">
        <v>8674172</v>
      </c>
      <c r="F1213" s="6">
        <v>3019156590.4159379</v>
      </c>
      <c r="G1213" s="5">
        <v>70099139</v>
      </c>
      <c r="H1213">
        <v>0</v>
      </c>
      <c r="I1213" s="1">
        <v>43.069809893327474</v>
      </c>
    </row>
    <row r="1214" spans="1:9" x14ac:dyDescent="0.3">
      <c r="A1214" t="s">
        <v>28</v>
      </c>
      <c r="B1214">
        <v>2018</v>
      </c>
      <c r="C1214">
        <v>3</v>
      </c>
      <c r="D1214" t="s">
        <v>11</v>
      </c>
      <c r="E1214">
        <v>3638065</v>
      </c>
      <c r="F1214" s="6">
        <v>1879406580.5386481</v>
      </c>
      <c r="G1214" s="5">
        <v>70099139</v>
      </c>
      <c r="H1214">
        <v>0</v>
      </c>
      <c r="I1214" s="1">
        <v>26.810694216068018</v>
      </c>
    </row>
    <row r="1215" spans="1:9" x14ac:dyDescent="0.3">
      <c r="A1215" t="s">
        <v>28</v>
      </c>
      <c r="B1215">
        <v>2018</v>
      </c>
      <c r="C1215">
        <v>3</v>
      </c>
      <c r="D1215" t="s">
        <v>12</v>
      </c>
      <c r="E1215">
        <v>205740</v>
      </c>
      <c r="F1215" s="6">
        <v>50726023.403469488</v>
      </c>
      <c r="G1215" s="5">
        <v>70099139</v>
      </c>
      <c r="H1215">
        <v>0</v>
      </c>
      <c r="I1215" s="1">
        <v>0.72363261699219283</v>
      </c>
    </row>
    <row r="1216" spans="1:9" x14ac:dyDescent="0.3">
      <c r="A1216" t="s">
        <v>28</v>
      </c>
      <c r="B1216">
        <v>2018</v>
      </c>
      <c r="C1216">
        <v>3</v>
      </c>
      <c r="D1216" t="s">
        <v>13</v>
      </c>
      <c r="E1216">
        <v>598777</v>
      </c>
      <c r="F1216" s="6">
        <v>456674396.30284661</v>
      </c>
      <c r="G1216" s="5">
        <v>70099139</v>
      </c>
      <c r="H1216">
        <v>0</v>
      </c>
      <c r="I1216" s="1">
        <v>6.5146933730933076</v>
      </c>
    </row>
    <row r="1217" spans="1:9" x14ac:dyDescent="0.3">
      <c r="A1217" t="s">
        <v>28</v>
      </c>
      <c r="B1217">
        <v>2018</v>
      </c>
      <c r="C1217">
        <v>4</v>
      </c>
      <c r="D1217" t="s">
        <v>10</v>
      </c>
      <c r="E1217">
        <v>20471744</v>
      </c>
      <c r="F1217" s="6">
        <v>63575342228.058868</v>
      </c>
      <c r="G1217" s="5">
        <v>91473822</v>
      </c>
      <c r="H1217">
        <v>0</v>
      </c>
      <c r="I1217" s="1">
        <v>695.01132496747391</v>
      </c>
    </row>
    <row r="1218" spans="1:9" x14ac:dyDescent="0.3">
      <c r="A1218" t="s">
        <v>28</v>
      </c>
      <c r="B1218">
        <v>2018</v>
      </c>
      <c r="C1218">
        <v>4</v>
      </c>
      <c r="D1218" t="s">
        <v>11</v>
      </c>
      <c r="E1218">
        <v>11812478</v>
      </c>
      <c r="F1218" s="6">
        <v>4751317554.8155642</v>
      </c>
      <c r="G1218" s="5">
        <v>91473822</v>
      </c>
      <c r="H1218">
        <v>0</v>
      </c>
      <c r="I1218" s="1">
        <v>51.941828284113505</v>
      </c>
    </row>
    <row r="1219" spans="1:9" x14ac:dyDescent="0.3">
      <c r="A1219" t="s">
        <v>28</v>
      </c>
      <c r="B1219">
        <v>2018</v>
      </c>
      <c r="C1219">
        <v>4</v>
      </c>
      <c r="D1219" t="s">
        <v>9</v>
      </c>
      <c r="E1219">
        <v>11426205</v>
      </c>
      <c r="F1219" s="6">
        <v>4030978295.062695</v>
      </c>
      <c r="G1219" s="5">
        <v>91473822</v>
      </c>
      <c r="H1219">
        <v>0</v>
      </c>
      <c r="I1219" s="1">
        <v>44.067015097091875</v>
      </c>
    </row>
    <row r="1220" spans="1:9" x14ac:dyDescent="0.3">
      <c r="A1220" t="s">
        <v>28</v>
      </c>
      <c r="B1220">
        <v>2018</v>
      </c>
      <c r="C1220">
        <v>4</v>
      </c>
      <c r="D1220" t="s">
        <v>12</v>
      </c>
      <c r="E1220">
        <v>289353</v>
      </c>
      <c r="F1220" s="6">
        <v>71134704.794164747</v>
      </c>
      <c r="G1220" s="5">
        <v>91473822</v>
      </c>
      <c r="H1220">
        <v>0</v>
      </c>
      <c r="I1220" s="1">
        <v>0.77765095235842174</v>
      </c>
    </row>
    <row r="1221" spans="1:9" x14ac:dyDescent="0.3">
      <c r="A1221" t="s">
        <v>28</v>
      </c>
      <c r="B1221">
        <v>2018</v>
      </c>
      <c r="C1221">
        <v>4</v>
      </c>
      <c r="D1221" t="s">
        <v>13</v>
      </c>
      <c r="E1221">
        <v>812291</v>
      </c>
      <c r="F1221" s="6">
        <v>579613793.33667779</v>
      </c>
      <c r="G1221" s="5">
        <v>91473822</v>
      </c>
      <c r="H1221">
        <v>0</v>
      </c>
      <c r="I1221" s="1">
        <v>6.3363898070934193</v>
      </c>
    </row>
    <row r="1222" spans="1:9" x14ac:dyDescent="0.3">
      <c r="A1222" t="s">
        <v>28</v>
      </c>
      <c r="B1222">
        <v>2019</v>
      </c>
      <c r="C1222">
        <v>1</v>
      </c>
      <c r="D1222" t="s">
        <v>10</v>
      </c>
      <c r="E1222">
        <v>44049036</v>
      </c>
      <c r="F1222" s="6">
        <v>104118436760.31566</v>
      </c>
      <c r="G1222" s="5">
        <v>112927914</v>
      </c>
      <c r="H1222">
        <v>0</v>
      </c>
      <c r="I1222" s="1">
        <v>921.9902597360973</v>
      </c>
    </row>
    <row r="1223" spans="1:9" x14ac:dyDescent="0.3">
      <c r="A1223" t="s">
        <v>28</v>
      </c>
      <c r="B1223">
        <v>2019</v>
      </c>
      <c r="C1223">
        <v>1</v>
      </c>
      <c r="D1223" t="s">
        <v>11</v>
      </c>
      <c r="E1223">
        <v>24491960</v>
      </c>
      <c r="F1223" s="6">
        <v>7076613843.7746344</v>
      </c>
      <c r="G1223" s="5">
        <v>112927914</v>
      </c>
      <c r="H1223">
        <v>0</v>
      </c>
      <c r="I1223" s="1">
        <v>62.664877027433931</v>
      </c>
    </row>
    <row r="1224" spans="1:9" x14ac:dyDescent="0.3">
      <c r="A1224" t="s">
        <v>28</v>
      </c>
      <c r="B1224">
        <v>2019</v>
      </c>
      <c r="C1224">
        <v>1</v>
      </c>
      <c r="D1224" t="s">
        <v>9</v>
      </c>
      <c r="E1224">
        <v>16981941</v>
      </c>
      <c r="F1224" s="6">
        <v>6217689429.7701712</v>
      </c>
      <c r="G1224" s="5">
        <v>112927914</v>
      </c>
      <c r="H1224">
        <v>0</v>
      </c>
      <c r="I1224" s="1">
        <v>55.058923958961742</v>
      </c>
    </row>
    <row r="1225" spans="1:9" x14ac:dyDescent="0.3">
      <c r="A1225" t="s">
        <v>28</v>
      </c>
      <c r="B1225">
        <v>2019</v>
      </c>
      <c r="C1225">
        <v>1</v>
      </c>
      <c r="D1225" t="s">
        <v>12</v>
      </c>
      <c r="E1225">
        <v>293728</v>
      </c>
      <c r="F1225" s="6">
        <v>51023386.14504391</v>
      </c>
      <c r="G1225" s="5">
        <v>112927914</v>
      </c>
      <c r="H1225">
        <v>0</v>
      </c>
      <c r="I1225" s="1">
        <v>0.45182262150918601</v>
      </c>
    </row>
    <row r="1226" spans="1:9" x14ac:dyDescent="0.3">
      <c r="A1226" t="s">
        <v>28</v>
      </c>
      <c r="B1226">
        <v>2019</v>
      </c>
      <c r="C1226">
        <v>1</v>
      </c>
      <c r="D1226" t="s">
        <v>13</v>
      </c>
      <c r="E1226">
        <v>770944</v>
      </c>
      <c r="F1226" s="6">
        <v>512618725.75178516</v>
      </c>
      <c r="G1226" s="5">
        <v>112927914</v>
      </c>
      <c r="H1226">
        <v>0</v>
      </c>
      <c r="I1226" s="1">
        <v>4.5393446809952156</v>
      </c>
    </row>
    <row r="1227" spans="1:9" x14ac:dyDescent="0.3">
      <c r="A1227" t="s">
        <v>28</v>
      </c>
      <c r="B1227">
        <v>2019</v>
      </c>
      <c r="C1227">
        <v>2</v>
      </c>
      <c r="D1227" t="s">
        <v>10</v>
      </c>
      <c r="E1227">
        <v>50033334</v>
      </c>
      <c r="F1227" s="6">
        <v>142910706254.40515</v>
      </c>
      <c r="G1227" s="5">
        <v>131648957</v>
      </c>
      <c r="H1227">
        <v>1243272921</v>
      </c>
      <c r="I1227" s="1">
        <v>1085.5437787813628</v>
      </c>
    </row>
    <row r="1228" spans="1:9" x14ac:dyDescent="0.3">
      <c r="A1228" t="s">
        <v>28</v>
      </c>
      <c r="B1228">
        <v>2019</v>
      </c>
      <c r="C1228">
        <v>2</v>
      </c>
      <c r="D1228" t="s">
        <v>11</v>
      </c>
      <c r="E1228">
        <v>44848593</v>
      </c>
      <c r="F1228" s="6">
        <v>12338599108.54726</v>
      </c>
      <c r="G1228" s="5">
        <v>131648957</v>
      </c>
      <c r="H1228">
        <v>1243272921</v>
      </c>
      <c r="I1228" s="1">
        <v>93.72348547012993</v>
      </c>
    </row>
    <row r="1229" spans="1:9" x14ac:dyDescent="0.3">
      <c r="A1229" t="s">
        <v>28</v>
      </c>
      <c r="B1229">
        <v>2019</v>
      </c>
      <c r="C1229">
        <v>2</v>
      </c>
      <c r="D1229" t="s">
        <v>9</v>
      </c>
      <c r="E1229">
        <v>19283028</v>
      </c>
      <c r="F1229" s="6">
        <v>7745156562.5570011</v>
      </c>
      <c r="G1229" s="5">
        <v>131648957</v>
      </c>
      <c r="H1229">
        <v>1243272921</v>
      </c>
      <c r="I1229" s="1">
        <v>58.831887005052394</v>
      </c>
    </row>
    <row r="1230" spans="1:9" x14ac:dyDescent="0.3">
      <c r="A1230" t="s">
        <v>28</v>
      </c>
      <c r="B1230">
        <v>2019</v>
      </c>
      <c r="C1230">
        <v>2</v>
      </c>
      <c r="D1230" t="s">
        <v>12</v>
      </c>
      <c r="E1230">
        <v>140353</v>
      </c>
      <c r="F1230" s="6">
        <v>44871623.829314835</v>
      </c>
      <c r="G1230" s="5">
        <v>131648957</v>
      </c>
      <c r="H1230">
        <v>1243272921</v>
      </c>
      <c r="I1230" s="1">
        <v>0.34084298768363835</v>
      </c>
    </row>
    <row r="1231" spans="1:9" x14ac:dyDescent="0.3">
      <c r="A1231" t="s">
        <v>28</v>
      </c>
      <c r="B1231">
        <v>2019</v>
      </c>
      <c r="C1231">
        <v>2</v>
      </c>
      <c r="D1231" t="s">
        <v>13</v>
      </c>
      <c r="E1231">
        <v>1096296</v>
      </c>
      <c r="F1231" s="6">
        <v>662690676.74555016</v>
      </c>
      <c r="G1231" s="5">
        <v>131648957</v>
      </c>
      <c r="H1231">
        <v>1243272921</v>
      </c>
      <c r="I1231" s="1">
        <v>5.0337708087239168</v>
      </c>
    </row>
    <row r="1232" spans="1:9" x14ac:dyDescent="0.3">
      <c r="A1232" t="s">
        <v>28</v>
      </c>
      <c r="B1232">
        <v>2019</v>
      </c>
      <c r="C1232">
        <v>3</v>
      </c>
      <c r="D1232" t="s">
        <v>11</v>
      </c>
      <c r="E1232">
        <v>76924325</v>
      </c>
      <c r="F1232" s="6">
        <v>20375791901.516079</v>
      </c>
      <c r="G1232" s="5">
        <v>149985825</v>
      </c>
      <c r="H1232">
        <v>4902520260</v>
      </c>
      <c r="I1232" s="1">
        <v>135.85145063885923</v>
      </c>
    </row>
    <row r="1233" spans="1:9" x14ac:dyDescent="0.3">
      <c r="A1233" t="s">
        <v>28</v>
      </c>
      <c r="B1233">
        <v>2019</v>
      </c>
      <c r="C1233">
        <v>3</v>
      </c>
      <c r="D1233" t="s">
        <v>10</v>
      </c>
      <c r="E1233">
        <v>67784880</v>
      </c>
      <c r="F1233" s="6">
        <v>183163325083.02167</v>
      </c>
      <c r="G1233" s="5">
        <v>149985825</v>
      </c>
      <c r="H1233">
        <v>4902520260</v>
      </c>
      <c r="I1233" s="1">
        <v>1221.2042376872726</v>
      </c>
    </row>
    <row r="1234" spans="1:9" x14ac:dyDescent="0.3">
      <c r="A1234" t="s">
        <v>28</v>
      </c>
      <c r="B1234">
        <v>2019</v>
      </c>
      <c r="C1234">
        <v>3</v>
      </c>
      <c r="D1234" t="s">
        <v>9</v>
      </c>
      <c r="E1234">
        <v>24339891</v>
      </c>
      <c r="F1234" s="6">
        <v>10208179941.827314</v>
      </c>
      <c r="G1234" s="5">
        <v>149985825</v>
      </c>
      <c r="H1234">
        <v>4902520260</v>
      </c>
      <c r="I1234" s="1">
        <v>68.06096470668021</v>
      </c>
    </row>
    <row r="1235" spans="1:9" x14ac:dyDescent="0.3">
      <c r="A1235" t="s">
        <v>28</v>
      </c>
      <c r="B1235">
        <v>2019</v>
      </c>
      <c r="C1235">
        <v>3</v>
      </c>
      <c r="D1235" t="s">
        <v>12</v>
      </c>
      <c r="E1235">
        <v>189716</v>
      </c>
      <c r="F1235" s="6">
        <v>57194690.691376016</v>
      </c>
      <c r="G1235" s="5">
        <v>149985825</v>
      </c>
      <c r="H1235">
        <v>4902520260</v>
      </c>
      <c r="I1235" s="1">
        <v>0.38133397400305008</v>
      </c>
    </row>
    <row r="1236" spans="1:9" x14ac:dyDescent="0.3">
      <c r="A1236" t="s">
        <v>28</v>
      </c>
      <c r="B1236">
        <v>2019</v>
      </c>
      <c r="C1236">
        <v>3</v>
      </c>
      <c r="D1236" t="s">
        <v>13</v>
      </c>
      <c r="E1236">
        <v>1494923</v>
      </c>
      <c r="F1236" s="6">
        <v>732228821.13201594</v>
      </c>
      <c r="G1236" s="5">
        <v>149985825</v>
      </c>
      <c r="H1236">
        <v>4902520260</v>
      </c>
      <c r="I1236" s="1">
        <v>4.8819868219681153</v>
      </c>
    </row>
    <row r="1237" spans="1:9" x14ac:dyDescent="0.3">
      <c r="A1237" t="s">
        <v>28</v>
      </c>
      <c r="B1237">
        <v>2019</v>
      </c>
      <c r="C1237">
        <v>4</v>
      </c>
      <c r="D1237" t="s">
        <v>11</v>
      </c>
      <c r="E1237">
        <v>114044901</v>
      </c>
      <c r="F1237" s="6">
        <v>31602890835.851074</v>
      </c>
      <c r="G1237" s="5">
        <v>169239576</v>
      </c>
      <c r="H1237">
        <v>6266423570</v>
      </c>
      <c r="I1237" s="1">
        <v>186.73463726859652</v>
      </c>
    </row>
    <row r="1238" spans="1:9" x14ac:dyDescent="0.3">
      <c r="A1238" t="s">
        <v>28</v>
      </c>
      <c r="B1238">
        <v>2019</v>
      </c>
      <c r="C1238">
        <v>4</v>
      </c>
      <c r="D1238" t="s">
        <v>10</v>
      </c>
      <c r="E1238">
        <v>93311589</v>
      </c>
      <c r="F1238" s="6">
        <v>250562864352.78363</v>
      </c>
      <c r="G1238" s="5">
        <v>169239576</v>
      </c>
      <c r="H1238">
        <v>6266423570</v>
      </c>
      <c r="I1238" s="1">
        <v>1480.5216975536716</v>
      </c>
    </row>
    <row r="1239" spans="1:9" x14ac:dyDescent="0.3">
      <c r="A1239" t="s">
        <v>28</v>
      </c>
      <c r="B1239">
        <v>2019</v>
      </c>
      <c r="C1239">
        <v>4</v>
      </c>
      <c r="D1239" t="s">
        <v>9</v>
      </c>
      <c r="E1239">
        <v>28862161</v>
      </c>
      <c r="F1239" s="6">
        <v>12183568521.027195</v>
      </c>
      <c r="G1239" s="5">
        <v>169239576</v>
      </c>
      <c r="H1239">
        <v>6266423570</v>
      </c>
      <c r="I1239" s="1">
        <v>71.990067624768784</v>
      </c>
    </row>
    <row r="1240" spans="1:9" x14ac:dyDescent="0.3">
      <c r="A1240" t="s">
        <v>28</v>
      </c>
      <c r="B1240">
        <v>2019</v>
      </c>
      <c r="C1240">
        <v>4</v>
      </c>
      <c r="D1240" t="s">
        <v>12</v>
      </c>
      <c r="E1240">
        <v>101937</v>
      </c>
      <c r="F1240" s="6">
        <v>51145982.180876769</v>
      </c>
      <c r="G1240" s="5">
        <v>169239576</v>
      </c>
      <c r="H1240">
        <v>6266423570</v>
      </c>
      <c r="I1240" s="1">
        <v>0.30221053130549541</v>
      </c>
    </row>
    <row r="1241" spans="1:9" x14ac:dyDescent="0.3">
      <c r="A1241" t="s">
        <v>28</v>
      </c>
      <c r="B1241">
        <v>2019</v>
      </c>
      <c r="C1241">
        <v>4</v>
      </c>
      <c r="D1241" t="s">
        <v>13</v>
      </c>
      <c r="E1241">
        <v>1475664</v>
      </c>
      <c r="F1241" s="6">
        <v>646673755.38949859</v>
      </c>
      <c r="G1241" s="5">
        <v>169239576</v>
      </c>
      <c r="H1241">
        <v>6266423570</v>
      </c>
      <c r="I1241" s="1">
        <v>3.8210551614091646</v>
      </c>
    </row>
    <row r="1242" spans="1:9" x14ac:dyDescent="0.3">
      <c r="A1242" t="s">
        <v>28</v>
      </c>
      <c r="B1242">
        <v>2020</v>
      </c>
      <c r="C1242">
        <v>1</v>
      </c>
      <c r="D1242" t="s">
        <v>11</v>
      </c>
      <c r="E1242">
        <v>132970737</v>
      </c>
      <c r="F1242" s="6">
        <v>40374401933.528641</v>
      </c>
      <c r="G1242" s="5">
        <v>187186780</v>
      </c>
      <c r="H1242">
        <v>6891368396</v>
      </c>
      <c r="I1242" s="1">
        <v>215.69045599015402</v>
      </c>
    </row>
    <row r="1243" spans="1:9" x14ac:dyDescent="0.3">
      <c r="A1243" t="s">
        <v>28</v>
      </c>
      <c r="B1243">
        <v>2020</v>
      </c>
      <c r="C1243">
        <v>1</v>
      </c>
      <c r="D1243" t="s">
        <v>10</v>
      </c>
      <c r="E1243">
        <v>100868460</v>
      </c>
      <c r="F1243" s="6">
        <v>297635301555.93103</v>
      </c>
      <c r="G1243" s="5">
        <v>187186780</v>
      </c>
      <c r="H1243">
        <v>6891368396</v>
      </c>
      <c r="I1243" s="1">
        <v>1590.0444548270505</v>
      </c>
    </row>
    <row r="1244" spans="1:9" x14ac:dyDescent="0.3">
      <c r="A1244" t="s">
        <v>28</v>
      </c>
      <c r="B1244">
        <v>2020</v>
      </c>
      <c r="C1244">
        <v>1</v>
      </c>
      <c r="D1244" t="s">
        <v>9</v>
      </c>
      <c r="E1244">
        <v>35854971</v>
      </c>
      <c r="F1244" s="6">
        <v>14724886028.403404</v>
      </c>
      <c r="G1244" s="5">
        <v>187186780</v>
      </c>
      <c r="H1244">
        <v>6891368396</v>
      </c>
      <c r="I1244" s="1">
        <v>78.66413444583749</v>
      </c>
    </row>
    <row r="1245" spans="1:9" x14ac:dyDescent="0.3">
      <c r="A1245" t="s">
        <v>28</v>
      </c>
      <c r="B1245">
        <v>2020</v>
      </c>
      <c r="C1245">
        <v>1</v>
      </c>
      <c r="D1245" t="s">
        <v>12</v>
      </c>
      <c r="E1245">
        <v>93648</v>
      </c>
      <c r="F1245" s="6">
        <v>110130184.7219853</v>
      </c>
      <c r="G1245" s="5">
        <v>187186780</v>
      </c>
      <c r="H1245">
        <v>6891368396</v>
      </c>
      <c r="I1245" s="1">
        <v>0.58834381745326936</v>
      </c>
    </row>
    <row r="1246" spans="1:9" x14ac:dyDescent="0.3">
      <c r="A1246" t="s">
        <v>28</v>
      </c>
      <c r="B1246">
        <v>2020</v>
      </c>
      <c r="C1246">
        <v>1</v>
      </c>
      <c r="D1246" t="s">
        <v>13</v>
      </c>
      <c r="E1246">
        <v>1246074</v>
      </c>
      <c r="F1246" s="6">
        <v>557335296.81274998</v>
      </c>
      <c r="G1246" s="5">
        <v>187186780</v>
      </c>
      <c r="H1246">
        <v>6891368396</v>
      </c>
      <c r="I1246" s="1">
        <v>2.977428730879125</v>
      </c>
    </row>
    <row r="1247" spans="1:9" x14ac:dyDescent="0.3">
      <c r="A1247" t="s">
        <v>28</v>
      </c>
      <c r="B1247">
        <v>2020</v>
      </c>
      <c r="C1247">
        <v>2</v>
      </c>
      <c r="D1247" t="s">
        <v>11</v>
      </c>
      <c r="E1247">
        <v>87251639</v>
      </c>
      <c r="F1247" s="6">
        <v>38463881234.438202</v>
      </c>
      <c r="G1247" s="5">
        <v>205209026</v>
      </c>
      <c r="H1247">
        <v>5395610825</v>
      </c>
      <c r="I1247" s="1">
        <v>187.43757028717735</v>
      </c>
    </row>
    <row r="1248" spans="1:9" x14ac:dyDescent="0.3">
      <c r="A1248" t="s">
        <v>28</v>
      </c>
      <c r="B1248">
        <v>2020</v>
      </c>
      <c r="C1248">
        <v>2</v>
      </c>
      <c r="D1248" t="s">
        <v>10</v>
      </c>
      <c r="E1248">
        <v>82118363</v>
      </c>
      <c r="F1248" s="6">
        <v>265767207470.16788</v>
      </c>
      <c r="G1248" s="5">
        <v>205209026</v>
      </c>
      <c r="H1248">
        <v>5395610825</v>
      </c>
      <c r="I1248" s="1">
        <v>1295.104862834678</v>
      </c>
    </row>
    <row r="1249" spans="1:9" x14ac:dyDescent="0.3">
      <c r="A1249" t="s">
        <v>28</v>
      </c>
      <c r="B1249">
        <v>2020</v>
      </c>
      <c r="C1249">
        <v>2</v>
      </c>
      <c r="D1249" t="s">
        <v>9</v>
      </c>
      <c r="E1249">
        <v>43290272</v>
      </c>
      <c r="F1249" s="6">
        <v>16434890228.306221</v>
      </c>
      <c r="G1249" s="5">
        <v>205209026</v>
      </c>
      <c r="H1249">
        <v>5395610825</v>
      </c>
      <c r="I1249" s="1">
        <v>80.088534840110881</v>
      </c>
    </row>
    <row r="1250" spans="1:9" x14ac:dyDescent="0.3">
      <c r="A1250" t="s">
        <v>28</v>
      </c>
      <c r="B1250">
        <v>2020</v>
      </c>
      <c r="C1250">
        <v>2</v>
      </c>
      <c r="D1250" t="s">
        <v>12</v>
      </c>
      <c r="E1250">
        <v>161560</v>
      </c>
      <c r="F1250" s="6">
        <v>246367207.0610708</v>
      </c>
      <c r="G1250" s="5">
        <v>205209026</v>
      </c>
      <c r="H1250">
        <v>5395610825</v>
      </c>
      <c r="I1250" s="1">
        <v>1.2005671088808287</v>
      </c>
    </row>
    <row r="1251" spans="1:9" x14ac:dyDescent="0.3">
      <c r="A1251" t="s">
        <v>28</v>
      </c>
      <c r="B1251">
        <v>2020</v>
      </c>
      <c r="C1251">
        <v>2</v>
      </c>
      <c r="D1251" t="s">
        <v>13</v>
      </c>
      <c r="E1251">
        <v>399878</v>
      </c>
      <c r="F1251" s="6">
        <v>192530880.1645686</v>
      </c>
      <c r="G1251" s="5">
        <v>205209026</v>
      </c>
      <c r="H1251">
        <v>5395610825</v>
      </c>
      <c r="I1251" s="1">
        <v>0.93821838111822919</v>
      </c>
    </row>
    <row r="1252" spans="1:9" x14ac:dyDescent="0.3">
      <c r="A1252" t="s">
        <v>28</v>
      </c>
      <c r="B1252">
        <v>2020</v>
      </c>
      <c r="C1252">
        <v>3</v>
      </c>
      <c r="D1252" t="s">
        <v>11</v>
      </c>
      <c r="E1252">
        <v>137206600</v>
      </c>
      <c r="F1252" s="6">
        <v>60769881812.009583</v>
      </c>
      <c r="G1252" s="5">
        <v>225363050</v>
      </c>
      <c r="H1252">
        <v>7630515332</v>
      </c>
      <c r="I1252" s="1">
        <v>269.65326308820181</v>
      </c>
    </row>
    <row r="1253" spans="1:9" x14ac:dyDescent="0.3">
      <c r="A1253" t="s">
        <v>28</v>
      </c>
      <c r="B1253">
        <v>2020</v>
      </c>
      <c r="C1253">
        <v>3</v>
      </c>
      <c r="D1253" t="s">
        <v>10</v>
      </c>
      <c r="E1253">
        <v>119241776</v>
      </c>
      <c r="F1253" s="6">
        <v>390432374828.47931</v>
      </c>
      <c r="G1253" s="5">
        <v>225363050</v>
      </c>
      <c r="H1253">
        <v>7630515332</v>
      </c>
      <c r="I1253" s="1">
        <v>1732.4595794584752</v>
      </c>
    </row>
    <row r="1254" spans="1:9" x14ac:dyDescent="0.3">
      <c r="A1254" t="s">
        <v>28</v>
      </c>
      <c r="B1254">
        <v>2020</v>
      </c>
      <c r="C1254">
        <v>3</v>
      </c>
      <c r="D1254" t="s">
        <v>9</v>
      </c>
      <c r="E1254">
        <v>43139631</v>
      </c>
      <c r="F1254" s="6">
        <v>18911088810.529343</v>
      </c>
      <c r="G1254" s="5">
        <v>225363050</v>
      </c>
      <c r="H1254">
        <v>7630515332</v>
      </c>
      <c r="I1254" s="1">
        <v>83.91388388881559</v>
      </c>
    </row>
    <row r="1255" spans="1:9" x14ac:dyDescent="0.3">
      <c r="A1255" t="s">
        <v>28</v>
      </c>
      <c r="B1255">
        <v>2020</v>
      </c>
      <c r="C1255">
        <v>3</v>
      </c>
      <c r="D1255" t="s">
        <v>12</v>
      </c>
      <c r="E1255">
        <v>251980</v>
      </c>
      <c r="F1255" s="6">
        <v>358426105.95855761</v>
      </c>
      <c r="G1255" s="5">
        <v>225363050</v>
      </c>
      <c r="H1255">
        <v>7630515332</v>
      </c>
      <c r="I1255" s="1">
        <v>1.5904386542450397</v>
      </c>
    </row>
    <row r="1256" spans="1:9" x14ac:dyDescent="0.3">
      <c r="A1256" t="s">
        <v>28</v>
      </c>
      <c r="B1256">
        <v>2020</v>
      </c>
      <c r="C1256">
        <v>3</v>
      </c>
      <c r="D1256" t="s">
        <v>13</v>
      </c>
      <c r="E1256">
        <v>520544</v>
      </c>
      <c r="F1256" s="6">
        <v>268744139.70489919</v>
      </c>
      <c r="G1256" s="5">
        <v>225363050</v>
      </c>
      <c r="H1256">
        <v>7630515332</v>
      </c>
      <c r="I1256" s="1">
        <v>1.1924942429777161</v>
      </c>
    </row>
    <row r="1257" spans="1:9" x14ac:dyDescent="0.3">
      <c r="A1257" t="s">
        <v>28</v>
      </c>
      <c r="B1257">
        <v>2020</v>
      </c>
      <c r="C1257">
        <v>4</v>
      </c>
      <c r="D1257" t="s">
        <v>11</v>
      </c>
      <c r="E1257">
        <v>215711211</v>
      </c>
      <c r="F1257" s="6">
        <v>97147239182.964157</v>
      </c>
      <c r="G1257" s="5">
        <v>246402002</v>
      </c>
      <c r="H1257">
        <v>10290617590</v>
      </c>
      <c r="I1257" s="1">
        <v>394.26318939959003</v>
      </c>
    </row>
    <row r="1258" spans="1:9" x14ac:dyDescent="0.3">
      <c r="A1258" t="s">
        <v>28</v>
      </c>
      <c r="B1258">
        <v>2020</v>
      </c>
      <c r="C1258">
        <v>4</v>
      </c>
      <c r="D1258" t="s">
        <v>10</v>
      </c>
      <c r="E1258">
        <v>166981242</v>
      </c>
      <c r="F1258" s="6">
        <v>538340957771.56799</v>
      </c>
      <c r="G1258" s="5">
        <v>246402002</v>
      </c>
      <c r="H1258">
        <v>10290617590</v>
      </c>
      <c r="I1258" s="1">
        <v>2184.8075640699058</v>
      </c>
    </row>
    <row r="1259" spans="1:9" x14ac:dyDescent="0.3">
      <c r="A1259" t="s">
        <v>28</v>
      </c>
      <c r="B1259">
        <v>2020</v>
      </c>
      <c r="C1259">
        <v>4</v>
      </c>
      <c r="D1259" t="s">
        <v>9</v>
      </c>
      <c r="E1259">
        <v>47736461</v>
      </c>
      <c r="F1259" s="6">
        <v>21611671359.120274</v>
      </c>
      <c r="G1259" s="5">
        <v>246402002</v>
      </c>
      <c r="H1259">
        <v>10290617590</v>
      </c>
      <c r="I1259" s="1">
        <v>87.708992555670363</v>
      </c>
    </row>
    <row r="1260" spans="1:9" x14ac:dyDescent="0.3">
      <c r="A1260" t="s">
        <v>28</v>
      </c>
      <c r="B1260">
        <v>2020</v>
      </c>
      <c r="C1260">
        <v>4</v>
      </c>
      <c r="D1260" t="s">
        <v>12</v>
      </c>
      <c r="E1260">
        <v>284700</v>
      </c>
      <c r="F1260" s="6">
        <v>427966918.93005997</v>
      </c>
      <c r="G1260" s="5">
        <v>246402002</v>
      </c>
      <c r="H1260">
        <v>10290617590</v>
      </c>
      <c r="I1260" s="1">
        <v>1.7368646173989284</v>
      </c>
    </row>
    <row r="1261" spans="1:9" x14ac:dyDescent="0.3">
      <c r="A1261" t="s">
        <v>28</v>
      </c>
      <c r="B1261">
        <v>2020</v>
      </c>
      <c r="C1261">
        <v>4</v>
      </c>
      <c r="D1261" t="s">
        <v>13</v>
      </c>
      <c r="E1261">
        <v>823370</v>
      </c>
      <c r="F1261" s="6">
        <v>508863332.4358694</v>
      </c>
      <c r="G1261" s="5">
        <v>246402002</v>
      </c>
      <c r="H1261">
        <v>10290617590</v>
      </c>
      <c r="I1261" s="1">
        <v>2.065175316375349</v>
      </c>
    </row>
    <row r="1262" spans="1:9" x14ac:dyDescent="0.3">
      <c r="A1262" t="s">
        <v>28</v>
      </c>
      <c r="B1262">
        <v>2021</v>
      </c>
      <c r="C1262">
        <v>1</v>
      </c>
      <c r="D1262" t="s">
        <v>11</v>
      </c>
      <c r="E1262">
        <v>279599017</v>
      </c>
      <c r="F1262" s="6">
        <v>117959690729.6494</v>
      </c>
      <c r="G1262" s="5">
        <v>265054152</v>
      </c>
      <c r="H1262">
        <v>11934091235</v>
      </c>
      <c r="I1262" s="1">
        <v>445.03996575631606</v>
      </c>
    </row>
    <row r="1263" spans="1:9" x14ac:dyDescent="0.3">
      <c r="A1263" t="s">
        <v>28</v>
      </c>
      <c r="B1263">
        <v>2021</v>
      </c>
      <c r="C1263">
        <v>1</v>
      </c>
      <c r="D1263" t="s">
        <v>10</v>
      </c>
      <c r="E1263">
        <v>190894164</v>
      </c>
      <c r="F1263" s="6">
        <v>610937002732.09497</v>
      </c>
      <c r="G1263" s="5">
        <v>265054152</v>
      </c>
      <c r="H1263">
        <v>11934091235</v>
      </c>
      <c r="I1263" s="1">
        <v>2304.9516414747391</v>
      </c>
    </row>
    <row r="1264" spans="1:9" x14ac:dyDescent="0.3">
      <c r="A1264" t="s">
        <v>28</v>
      </c>
      <c r="B1264">
        <v>2021</v>
      </c>
      <c r="C1264">
        <v>1</v>
      </c>
      <c r="D1264" t="s">
        <v>9</v>
      </c>
      <c r="E1264">
        <v>52261651</v>
      </c>
      <c r="F1264" s="6">
        <v>25111731675.64637</v>
      </c>
      <c r="G1264" s="5">
        <v>265054152</v>
      </c>
      <c r="H1264">
        <v>11934091235</v>
      </c>
      <c r="I1264" s="1">
        <v>94.741891368848925</v>
      </c>
    </row>
    <row r="1265" spans="1:9" x14ac:dyDescent="0.3">
      <c r="A1265" t="s">
        <v>28</v>
      </c>
      <c r="B1265">
        <v>2021</v>
      </c>
      <c r="C1265">
        <v>1</v>
      </c>
      <c r="D1265" t="s">
        <v>12</v>
      </c>
      <c r="E1265">
        <v>297710</v>
      </c>
      <c r="F1265" s="6">
        <v>475815041.81600165</v>
      </c>
      <c r="G1265" s="5">
        <v>265054152</v>
      </c>
      <c r="H1265">
        <v>11934091235</v>
      </c>
      <c r="I1265" s="1">
        <v>1.7951616234859118</v>
      </c>
    </row>
    <row r="1266" spans="1:9" x14ac:dyDescent="0.3">
      <c r="A1266" t="s">
        <v>28</v>
      </c>
      <c r="B1266">
        <v>2021</v>
      </c>
      <c r="C1266">
        <v>1</v>
      </c>
      <c r="D1266" t="s">
        <v>13</v>
      </c>
      <c r="E1266">
        <v>744950</v>
      </c>
      <c r="F1266" s="6">
        <v>511117233.18647754</v>
      </c>
      <c r="G1266" s="5">
        <v>265054152</v>
      </c>
      <c r="H1266">
        <v>11934091235</v>
      </c>
      <c r="I1266" s="1">
        <v>1.9283502232648577</v>
      </c>
    </row>
    <row r="1267" spans="1:9" x14ac:dyDescent="0.3">
      <c r="A1267" t="s">
        <v>28</v>
      </c>
      <c r="B1267">
        <v>2021</v>
      </c>
      <c r="C1267">
        <v>2</v>
      </c>
      <c r="D1267" t="s">
        <v>11</v>
      </c>
      <c r="E1267">
        <v>244460862</v>
      </c>
      <c r="F1267" s="6">
        <v>124624417935.05894</v>
      </c>
      <c r="G1267" s="5">
        <v>283261253</v>
      </c>
      <c r="H1267">
        <v>11561986854</v>
      </c>
      <c r="I1267" s="1">
        <v>439.96281388707598</v>
      </c>
    </row>
    <row r="1268" spans="1:9" x14ac:dyDescent="0.3">
      <c r="A1268" t="s">
        <v>28</v>
      </c>
      <c r="B1268">
        <v>2021</v>
      </c>
      <c r="C1268">
        <v>2</v>
      </c>
      <c r="D1268" t="s">
        <v>10</v>
      </c>
      <c r="E1268">
        <v>216539959</v>
      </c>
      <c r="F1268" s="6">
        <v>684035748184.43774</v>
      </c>
      <c r="G1268" s="5">
        <v>283261253</v>
      </c>
      <c r="H1268">
        <v>11561986854</v>
      </c>
      <c r="I1268" s="1">
        <v>2414.8581598784276</v>
      </c>
    </row>
    <row r="1269" spans="1:9" x14ac:dyDescent="0.3">
      <c r="A1269" t="s">
        <v>28</v>
      </c>
      <c r="B1269">
        <v>2021</v>
      </c>
      <c r="C1269">
        <v>2</v>
      </c>
      <c r="D1269" t="s">
        <v>9</v>
      </c>
      <c r="E1269">
        <v>68599238</v>
      </c>
      <c r="F1269" s="6">
        <v>28272314719.07621</v>
      </c>
      <c r="G1269" s="5">
        <v>283261253</v>
      </c>
      <c r="H1269">
        <v>11561986854</v>
      </c>
      <c r="I1269" s="1">
        <v>99.810031974532748</v>
      </c>
    </row>
    <row r="1270" spans="1:9" x14ac:dyDescent="0.3">
      <c r="A1270" t="s">
        <v>28</v>
      </c>
      <c r="B1270">
        <v>2021</v>
      </c>
      <c r="C1270">
        <v>2</v>
      </c>
      <c r="D1270" t="s">
        <v>12</v>
      </c>
      <c r="E1270">
        <v>304779</v>
      </c>
      <c r="F1270" s="6">
        <v>456933673.98713583</v>
      </c>
      <c r="G1270" s="5">
        <v>283261253</v>
      </c>
      <c r="H1270">
        <v>11561986854</v>
      </c>
      <c r="I1270" s="1">
        <v>1.6131174636410148</v>
      </c>
    </row>
    <row r="1271" spans="1:9" x14ac:dyDescent="0.3">
      <c r="A1271" t="s">
        <v>28</v>
      </c>
      <c r="B1271">
        <v>2021</v>
      </c>
      <c r="C1271">
        <v>2</v>
      </c>
      <c r="D1271" t="s">
        <v>13</v>
      </c>
      <c r="E1271">
        <v>744208</v>
      </c>
      <c r="F1271" s="6">
        <v>497736717.48932767</v>
      </c>
      <c r="G1271" s="5">
        <v>283261253</v>
      </c>
      <c r="H1271">
        <v>11561986854</v>
      </c>
      <c r="I1271" s="1">
        <v>1.7571648512383289</v>
      </c>
    </row>
    <row r="1272" spans="1:9" x14ac:dyDescent="0.3">
      <c r="A1272" t="s">
        <v>28</v>
      </c>
      <c r="B1272">
        <v>2021</v>
      </c>
      <c r="C1272">
        <v>3</v>
      </c>
      <c r="D1272" t="s">
        <v>11</v>
      </c>
      <c r="E1272">
        <v>391381353</v>
      </c>
      <c r="F1272" s="6">
        <v>190563423840.34485</v>
      </c>
      <c r="G1272" s="5">
        <v>303756431</v>
      </c>
      <c r="H1272">
        <v>15034591957</v>
      </c>
      <c r="I1272" s="1">
        <v>627.35601420186833</v>
      </c>
    </row>
    <row r="1273" spans="1:9" x14ac:dyDescent="0.3">
      <c r="A1273" t="s">
        <v>28</v>
      </c>
      <c r="B1273">
        <v>2021</v>
      </c>
      <c r="C1273">
        <v>3</v>
      </c>
      <c r="D1273" t="s">
        <v>10</v>
      </c>
      <c r="E1273">
        <v>288462867</v>
      </c>
      <c r="F1273" s="6">
        <v>908138627418.70117</v>
      </c>
      <c r="G1273" s="5">
        <v>303756431</v>
      </c>
      <c r="H1273">
        <v>15034591957</v>
      </c>
      <c r="I1273" s="1">
        <v>2989.6935002462587</v>
      </c>
    </row>
    <row r="1274" spans="1:9" x14ac:dyDescent="0.3">
      <c r="A1274" t="s">
        <v>28</v>
      </c>
      <c r="B1274">
        <v>2021</v>
      </c>
      <c r="C1274">
        <v>3</v>
      </c>
      <c r="D1274" t="s">
        <v>9</v>
      </c>
      <c r="E1274">
        <v>72168311</v>
      </c>
      <c r="F1274" s="6">
        <v>33386709060.80711</v>
      </c>
      <c r="G1274" s="5">
        <v>303756431</v>
      </c>
      <c r="H1274">
        <v>15034591957</v>
      </c>
      <c r="I1274" s="1">
        <v>109.9127644833538</v>
      </c>
    </row>
    <row r="1275" spans="1:9" x14ac:dyDescent="0.3">
      <c r="A1275" t="s">
        <v>28</v>
      </c>
      <c r="B1275">
        <v>2021</v>
      </c>
      <c r="C1275">
        <v>3</v>
      </c>
      <c r="D1275" t="s">
        <v>12</v>
      </c>
      <c r="E1275">
        <v>286685</v>
      </c>
      <c r="F1275" s="6">
        <v>508051800.86250389</v>
      </c>
      <c r="G1275" s="5">
        <v>303756431</v>
      </c>
      <c r="H1275">
        <v>15034591957</v>
      </c>
      <c r="I1275" s="1">
        <v>1.6725631098243443</v>
      </c>
    </row>
    <row r="1276" spans="1:9" x14ac:dyDescent="0.3">
      <c r="A1276" t="s">
        <v>28</v>
      </c>
      <c r="B1276">
        <v>2021</v>
      </c>
      <c r="C1276">
        <v>3</v>
      </c>
      <c r="D1276" t="s">
        <v>13</v>
      </c>
      <c r="E1276">
        <v>997323</v>
      </c>
      <c r="F1276" s="6">
        <v>637927036.87372184</v>
      </c>
      <c r="G1276" s="5">
        <v>303756431</v>
      </c>
      <c r="H1276">
        <v>15034591957</v>
      </c>
      <c r="I1276" s="1">
        <v>2.1001268508903497</v>
      </c>
    </row>
    <row r="1277" spans="1:9" x14ac:dyDescent="0.3">
      <c r="A1277" t="s">
        <v>28</v>
      </c>
      <c r="B1277">
        <v>2021</v>
      </c>
      <c r="C1277">
        <v>4</v>
      </c>
      <c r="D1277" t="s">
        <v>11</v>
      </c>
      <c r="E1277">
        <v>503210623</v>
      </c>
      <c r="F1277" s="6">
        <v>243754536471.1106</v>
      </c>
      <c r="G1277" s="5">
        <v>324056106</v>
      </c>
      <c r="H1277">
        <v>21357143643</v>
      </c>
      <c r="I1277" s="1">
        <v>752.19856055145772</v>
      </c>
    </row>
    <row r="1278" spans="1:9" x14ac:dyDescent="0.3">
      <c r="A1278" t="s">
        <v>28</v>
      </c>
      <c r="B1278">
        <v>2021</v>
      </c>
      <c r="C1278">
        <v>4</v>
      </c>
      <c r="D1278" t="s">
        <v>10</v>
      </c>
      <c r="E1278">
        <v>350032663</v>
      </c>
      <c r="F1278" s="6">
        <v>1090951587881.0441</v>
      </c>
      <c r="G1278" s="5">
        <v>324056106</v>
      </c>
      <c r="H1278">
        <v>21357143643</v>
      </c>
      <c r="I1278" s="1">
        <v>3366.5515559859382</v>
      </c>
    </row>
    <row r="1279" spans="1:9" x14ac:dyDescent="0.3">
      <c r="A1279" t="s">
        <v>28</v>
      </c>
      <c r="B1279">
        <v>2021</v>
      </c>
      <c r="C1279">
        <v>4</v>
      </c>
      <c r="D1279" t="s">
        <v>9</v>
      </c>
      <c r="E1279">
        <v>76826701</v>
      </c>
      <c r="F1279" s="6">
        <v>39294350717.405914</v>
      </c>
      <c r="G1279" s="5">
        <v>324056106</v>
      </c>
      <c r="H1279">
        <v>21357143643</v>
      </c>
      <c r="I1279" s="1">
        <v>121.25786241906491</v>
      </c>
    </row>
    <row r="1280" spans="1:9" x14ac:dyDescent="0.3">
      <c r="A1280" t="s">
        <v>28</v>
      </c>
      <c r="B1280">
        <v>2021</v>
      </c>
      <c r="C1280">
        <v>4</v>
      </c>
      <c r="D1280" t="s">
        <v>12</v>
      </c>
      <c r="E1280">
        <v>365769</v>
      </c>
      <c r="F1280" s="6">
        <v>574240588.18831933</v>
      </c>
      <c r="G1280" s="5">
        <v>324056106</v>
      </c>
      <c r="H1280">
        <v>21357143643</v>
      </c>
      <c r="I1280" s="1">
        <v>1.7720406360382523</v>
      </c>
    </row>
    <row r="1281" spans="1:9" x14ac:dyDescent="0.3">
      <c r="A1281" t="s">
        <v>28</v>
      </c>
      <c r="B1281">
        <v>2021</v>
      </c>
      <c r="C1281">
        <v>4</v>
      </c>
      <c r="D1281" t="s">
        <v>13</v>
      </c>
      <c r="E1281">
        <v>1289682</v>
      </c>
      <c r="F1281" s="6">
        <v>896608692.12449121</v>
      </c>
      <c r="G1281" s="5">
        <v>324056106</v>
      </c>
      <c r="H1281">
        <v>21357143643</v>
      </c>
      <c r="I1281" s="1">
        <v>2.7668316551470604</v>
      </c>
    </row>
    <row r="1282" spans="1:9" x14ac:dyDescent="0.3">
      <c r="A1282" t="s">
        <v>29</v>
      </c>
      <c r="B1282">
        <v>2018</v>
      </c>
      <c r="C1282">
        <v>1</v>
      </c>
      <c r="D1282" t="s">
        <v>9</v>
      </c>
      <c r="E1282">
        <v>988774</v>
      </c>
      <c r="F1282" s="6">
        <v>157311821.37585658</v>
      </c>
      <c r="G1282" s="5">
        <v>8626024</v>
      </c>
      <c r="H1282">
        <v>0</v>
      </c>
      <c r="I1282" s="1">
        <v>18.236886585970151</v>
      </c>
    </row>
    <row r="1283" spans="1:9" x14ac:dyDescent="0.3">
      <c r="A1283" t="s">
        <v>29</v>
      </c>
      <c r="B1283">
        <v>2018</v>
      </c>
      <c r="C1283">
        <v>1</v>
      </c>
      <c r="D1283" t="s">
        <v>10</v>
      </c>
      <c r="E1283">
        <v>600205</v>
      </c>
      <c r="F1283" s="6">
        <v>2107288314.3025222</v>
      </c>
      <c r="G1283" s="5">
        <v>8626024</v>
      </c>
      <c r="H1283">
        <v>0</v>
      </c>
      <c r="I1283" s="1">
        <v>244.29427906791381</v>
      </c>
    </row>
    <row r="1284" spans="1:9" x14ac:dyDescent="0.3">
      <c r="A1284" t="s">
        <v>29</v>
      </c>
      <c r="B1284">
        <v>2018</v>
      </c>
      <c r="C1284">
        <v>1</v>
      </c>
      <c r="D1284" t="s">
        <v>11</v>
      </c>
      <c r="E1284">
        <v>72164</v>
      </c>
      <c r="F1284" s="6">
        <v>82919383.045711726</v>
      </c>
      <c r="G1284" s="5">
        <v>8626024</v>
      </c>
      <c r="H1284">
        <v>0</v>
      </c>
      <c r="I1284" s="1">
        <v>9.6127002481921835</v>
      </c>
    </row>
    <row r="1285" spans="1:9" x14ac:dyDescent="0.3">
      <c r="A1285" t="s">
        <v>29</v>
      </c>
      <c r="B1285">
        <v>2018</v>
      </c>
      <c r="C1285">
        <v>1</v>
      </c>
      <c r="D1285" t="s">
        <v>12</v>
      </c>
      <c r="E1285">
        <v>40170</v>
      </c>
      <c r="F1285" s="6">
        <v>7957491.9019655827</v>
      </c>
      <c r="G1285" s="5">
        <v>8626024</v>
      </c>
      <c r="H1285">
        <v>0</v>
      </c>
      <c r="I1285" s="1">
        <v>0.92249823348110127</v>
      </c>
    </row>
    <row r="1286" spans="1:9" x14ac:dyDescent="0.3">
      <c r="A1286" t="s">
        <v>29</v>
      </c>
      <c r="B1286">
        <v>2018</v>
      </c>
      <c r="C1286">
        <v>1</v>
      </c>
      <c r="D1286" t="s">
        <v>13</v>
      </c>
      <c r="E1286">
        <v>70067</v>
      </c>
      <c r="F1286" s="6">
        <v>47197742.474449389</v>
      </c>
      <c r="G1286" s="5">
        <v>8626024</v>
      </c>
      <c r="H1286">
        <v>0</v>
      </c>
      <c r="I1286" s="1">
        <v>5.4715524179447437</v>
      </c>
    </row>
    <row r="1287" spans="1:9" x14ac:dyDescent="0.3">
      <c r="A1287" t="s">
        <v>29</v>
      </c>
      <c r="B1287">
        <v>2018</v>
      </c>
      <c r="C1287">
        <v>2</v>
      </c>
      <c r="D1287" t="s">
        <v>9</v>
      </c>
      <c r="E1287">
        <v>1230869</v>
      </c>
      <c r="F1287" s="6">
        <v>248080143.25702396</v>
      </c>
      <c r="G1287" s="5">
        <v>11732457</v>
      </c>
      <c r="H1287">
        <v>0</v>
      </c>
      <c r="I1287" s="1">
        <v>21.144773277841459</v>
      </c>
    </row>
    <row r="1288" spans="1:9" x14ac:dyDescent="0.3">
      <c r="A1288" t="s">
        <v>29</v>
      </c>
      <c r="B1288">
        <v>2018</v>
      </c>
      <c r="C1288">
        <v>2</v>
      </c>
      <c r="D1288" t="s">
        <v>10</v>
      </c>
      <c r="E1288">
        <v>848291</v>
      </c>
      <c r="F1288" s="6">
        <v>3436199589.0773172</v>
      </c>
      <c r="G1288" s="5">
        <v>11732457</v>
      </c>
      <c r="H1288">
        <v>0</v>
      </c>
      <c r="I1288" s="1">
        <v>292.87979398324813</v>
      </c>
    </row>
    <row r="1289" spans="1:9" x14ac:dyDescent="0.3">
      <c r="A1289" t="s">
        <v>29</v>
      </c>
      <c r="B1289">
        <v>2018</v>
      </c>
      <c r="C1289">
        <v>2</v>
      </c>
      <c r="D1289" t="s">
        <v>11</v>
      </c>
      <c r="E1289">
        <v>131217</v>
      </c>
      <c r="F1289" s="6">
        <v>144501582.04666698</v>
      </c>
      <c r="G1289" s="5">
        <v>11732457</v>
      </c>
      <c r="H1289">
        <v>0</v>
      </c>
      <c r="I1289" s="1">
        <v>12.316395623411786</v>
      </c>
    </row>
    <row r="1290" spans="1:9" x14ac:dyDescent="0.3">
      <c r="A1290" t="s">
        <v>29</v>
      </c>
      <c r="B1290">
        <v>2018</v>
      </c>
      <c r="C1290">
        <v>2</v>
      </c>
      <c r="D1290" t="s">
        <v>12</v>
      </c>
      <c r="E1290">
        <v>41100</v>
      </c>
      <c r="F1290" s="6">
        <v>12355589.343616949</v>
      </c>
      <c r="G1290" s="5">
        <v>11732457</v>
      </c>
      <c r="H1290">
        <v>0</v>
      </c>
      <c r="I1290" s="1">
        <v>1.0531118369849513</v>
      </c>
    </row>
    <row r="1291" spans="1:9" x14ac:dyDescent="0.3">
      <c r="A1291" t="s">
        <v>29</v>
      </c>
      <c r="B1291">
        <v>2018</v>
      </c>
      <c r="C1291">
        <v>2</v>
      </c>
      <c r="D1291" t="s">
        <v>13</v>
      </c>
      <c r="E1291">
        <v>56688</v>
      </c>
      <c r="F1291" s="6">
        <v>45786439.71799916</v>
      </c>
      <c r="G1291" s="5">
        <v>11732457</v>
      </c>
      <c r="H1291">
        <v>0</v>
      </c>
      <c r="I1291" s="1">
        <v>3.902544856375707</v>
      </c>
    </row>
    <row r="1292" spans="1:9" x14ac:dyDescent="0.3">
      <c r="A1292" t="s">
        <v>29</v>
      </c>
      <c r="B1292">
        <v>2018</v>
      </c>
      <c r="C1292">
        <v>3</v>
      </c>
      <c r="D1292" t="s">
        <v>10</v>
      </c>
      <c r="E1292">
        <v>1425259</v>
      </c>
      <c r="F1292" s="6">
        <v>4823239268.2797441</v>
      </c>
      <c r="G1292" s="5">
        <v>14823578</v>
      </c>
      <c r="H1292">
        <v>0</v>
      </c>
      <c r="I1292" s="1">
        <v>325.37618571438986</v>
      </c>
    </row>
    <row r="1293" spans="1:9" x14ac:dyDescent="0.3">
      <c r="A1293" t="s">
        <v>29</v>
      </c>
      <c r="B1293">
        <v>2018</v>
      </c>
      <c r="C1293">
        <v>3</v>
      </c>
      <c r="D1293" t="s">
        <v>9</v>
      </c>
      <c r="E1293">
        <v>1407588</v>
      </c>
      <c r="F1293" s="6">
        <v>296352497.34099543</v>
      </c>
      <c r="G1293" s="5">
        <v>14823578</v>
      </c>
      <c r="H1293">
        <v>0</v>
      </c>
      <c r="I1293" s="1">
        <v>19.991968021552921</v>
      </c>
    </row>
    <row r="1294" spans="1:9" x14ac:dyDescent="0.3">
      <c r="A1294" t="s">
        <v>29</v>
      </c>
      <c r="B1294">
        <v>2018</v>
      </c>
      <c r="C1294">
        <v>3</v>
      </c>
      <c r="D1294" t="s">
        <v>11</v>
      </c>
      <c r="E1294">
        <v>210974</v>
      </c>
      <c r="F1294" s="6">
        <v>160705488.60235751</v>
      </c>
      <c r="G1294" s="5">
        <v>14823578</v>
      </c>
      <c r="H1294">
        <v>0</v>
      </c>
      <c r="I1294" s="1">
        <v>10.84120774366064</v>
      </c>
    </row>
    <row r="1295" spans="1:9" x14ac:dyDescent="0.3">
      <c r="A1295" t="s">
        <v>29</v>
      </c>
      <c r="B1295">
        <v>2018</v>
      </c>
      <c r="C1295">
        <v>3</v>
      </c>
      <c r="D1295" t="s">
        <v>12</v>
      </c>
      <c r="E1295">
        <v>37286</v>
      </c>
      <c r="F1295" s="6">
        <v>6170643.387882499</v>
      </c>
      <c r="G1295" s="5">
        <v>14823578</v>
      </c>
      <c r="H1295">
        <v>0</v>
      </c>
      <c r="I1295" s="1">
        <v>0.41627219743320398</v>
      </c>
    </row>
    <row r="1296" spans="1:9" x14ac:dyDescent="0.3">
      <c r="A1296" t="s">
        <v>29</v>
      </c>
      <c r="B1296">
        <v>2018</v>
      </c>
      <c r="C1296">
        <v>3</v>
      </c>
      <c r="D1296" t="s">
        <v>13</v>
      </c>
      <c r="E1296">
        <v>53241</v>
      </c>
      <c r="F1296" s="6">
        <v>36557326.264476247</v>
      </c>
      <c r="G1296" s="5">
        <v>14823578</v>
      </c>
      <c r="H1296">
        <v>0</v>
      </c>
      <c r="I1296" s="1">
        <v>2.4661607517750603</v>
      </c>
    </row>
    <row r="1297" spans="1:9" x14ac:dyDescent="0.3">
      <c r="A1297" t="s">
        <v>29</v>
      </c>
      <c r="B1297">
        <v>2018</v>
      </c>
      <c r="C1297">
        <v>4</v>
      </c>
      <c r="D1297" t="s">
        <v>10</v>
      </c>
      <c r="E1297">
        <v>2073960</v>
      </c>
      <c r="F1297" s="6">
        <v>6959805154.5702591</v>
      </c>
      <c r="G1297" s="5">
        <v>19330586</v>
      </c>
      <c r="H1297">
        <v>0</v>
      </c>
      <c r="I1297" s="1">
        <v>360.04108486779757</v>
      </c>
    </row>
    <row r="1298" spans="1:9" x14ac:dyDescent="0.3">
      <c r="A1298" t="s">
        <v>29</v>
      </c>
      <c r="B1298">
        <v>2018</v>
      </c>
      <c r="C1298">
        <v>4</v>
      </c>
      <c r="D1298" t="s">
        <v>9</v>
      </c>
      <c r="E1298">
        <v>1679897</v>
      </c>
      <c r="F1298" s="6">
        <v>351296525.29857576</v>
      </c>
      <c r="G1298" s="5">
        <v>19330586</v>
      </c>
      <c r="H1298">
        <v>0</v>
      </c>
      <c r="I1298" s="1">
        <v>18.173092388330893</v>
      </c>
    </row>
    <row r="1299" spans="1:9" x14ac:dyDescent="0.3">
      <c r="A1299" t="s">
        <v>29</v>
      </c>
      <c r="B1299">
        <v>2018</v>
      </c>
      <c r="C1299">
        <v>4</v>
      </c>
      <c r="D1299" t="s">
        <v>11</v>
      </c>
      <c r="E1299">
        <v>417114</v>
      </c>
      <c r="F1299" s="6">
        <v>378857199.64904261</v>
      </c>
      <c r="G1299" s="5">
        <v>19330586</v>
      </c>
      <c r="H1299">
        <v>0</v>
      </c>
      <c r="I1299" s="1">
        <v>19.598847114569761</v>
      </c>
    </row>
    <row r="1300" spans="1:9" x14ac:dyDescent="0.3">
      <c r="A1300" t="s">
        <v>29</v>
      </c>
      <c r="B1300">
        <v>2018</v>
      </c>
      <c r="C1300">
        <v>4</v>
      </c>
      <c r="D1300" t="s">
        <v>12</v>
      </c>
      <c r="E1300">
        <v>75084</v>
      </c>
      <c r="F1300" s="6">
        <v>10063656.726067666</v>
      </c>
      <c r="G1300" s="5">
        <v>19330586</v>
      </c>
      <c r="H1300">
        <v>0</v>
      </c>
      <c r="I1300" s="1">
        <v>0.52060794877442751</v>
      </c>
    </row>
    <row r="1301" spans="1:9" x14ac:dyDescent="0.3">
      <c r="A1301" t="s">
        <v>29</v>
      </c>
      <c r="B1301">
        <v>2018</v>
      </c>
      <c r="C1301">
        <v>4</v>
      </c>
      <c r="D1301" t="s">
        <v>13</v>
      </c>
      <c r="E1301">
        <v>64599</v>
      </c>
      <c r="F1301" s="6">
        <v>47338700.568463847</v>
      </c>
      <c r="G1301" s="5">
        <v>19330586</v>
      </c>
      <c r="H1301">
        <v>0</v>
      </c>
      <c r="I1301" s="1">
        <v>2.4489014750232529</v>
      </c>
    </row>
    <row r="1302" spans="1:9" x14ac:dyDescent="0.3">
      <c r="A1302" t="s">
        <v>29</v>
      </c>
      <c r="B1302">
        <v>2019</v>
      </c>
      <c r="C1302">
        <v>1</v>
      </c>
      <c r="D1302" t="s">
        <v>10</v>
      </c>
      <c r="E1302">
        <v>3601116</v>
      </c>
      <c r="F1302" s="6">
        <v>9314451112.0858345</v>
      </c>
      <c r="G1302" s="5">
        <v>23502864</v>
      </c>
      <c r="H1302">
        <v>0</v>
      </c>
      <c r="I1302" s="1">
        <v>396.31132240248826</v>
      </c>
    </row>
    <row r="1303" spans="1:9" x14ac:dyDescent="0.3">
      <c r="A1303" t="s">
        <v>29</v>
      </c>
      <c r="B1303">
        <v>2019</v>
      </c>
      <c r="C1303">
        <v>1</v>
      </c>
      <c r="D1303" t="s">
        <v>9</v>
      </c>
      <c r="E1303">
        <v>2180915</v>
      </c>
      <c r="F1303" s="6">
        <v>498453895.94724298</v>
      </c>
      <c r="G1303" s="5">
        <v>23502864</v>
      </c>
      <c r="H1303">
        <v>0</v>
      </c>
      <c r="I1303" s="1">
        <v>21.208219387528388</v>
      </c>
    </row>
    <row r="1304" spans="1:9" x14ac:dyDescent="0.3">
      <c r="A1304" t="s">
        <v>29</v>
      </c>
      <c r="B1304">
        <v>2019</v>
      </c>
      <c r="C1304">
        <v>1</v>
      </c>
      <c r="D1304" t="s">
        <v>11</v>
      </c>
      <c r="E1304">
        <v>550707</v>
      </c>
      <c r="F1304" s="6">
        <v>371997848.20066386</v>
      </c>
      <c r="G1304" s="5">
        <v>23502864</v>
      </c>
      <c r="H1304">
        <v>0</v>
      </c>
      <c r="I1304" s="1">
        <v>15.827766701141778</v>
      </c>
    </row>
    <row r="1305" spans="1:9" x14ac:dyDescent="0.3">
      <c r="A1305" t="s">
        <v>29</v>
      </c>
      <c r="B1305">
        <v>2019</v>
      </c>
      <c r="C1305">
        <v>1</v>
      </c>
      <c r="D1305" t="s">
        <v>12</v>
      </c>
      <c r="E1305">
        <v>77652</v>
      </c>
      <c r="F1305" s="6">
        <v>7808573.8983642962</v>
      </c>
      <c r="G1305" s="5">
        <v>23502864</v>
      </c>
      <c r="H1305">
        <v>0</v>
      </c>
      <c r="I1305" s="1">
        <v>0.33223924958099982</v>
      </c>
    </row>
    <row r="1306" spans="1:9" x14ac:dyDescent="0.3">
      <c r="A1306" t="s">
        <v>29</v>
      </c>
      <c r="B1306">
        <v>2019</v>
      </c>
      <c r="C1306">
        <v>1</v>
      </c>
      <c r="D1306" t="s">
        <v>13</v>
      </c>
      <c r="E1306">
        <v>58649</v>
      </c>
      <c r="F1306" s="6">
        <v>42319704.717572376</v>
      </c>
      <c r="G1306" s="5">
        <v>23502864</v>
      </c>
      <c r="H1306">
        <v>0</v>
      </c>
      <c r="I1306" s="1">
        <v>1.8006190529619019</v>
      </c>
    </row>
    <row r="1307" spans="1:9" x14ac:dyDescent="0.3">
      <c r="A1307" t="s">
        <v>29</v>
      </c>
      <c r="B1307">
        <v>2019</v>
      </c>
      <c r="C1307">
        <v>2</v>
      </c>
      <c r="D1307" t="s">
        <v>10</v>
      </c>
      <c r="E1307">
        <v>3519528</v>
      </c>
      <c r="F1307" s="6">
        <v>11630623424.131498</v>
      </c>
      <c r="G1307" s="5">
        <v>28051837</v>
      </c>
      <c r="H1307">
        <v>95405420</v>
      </c>
      <c r="I1307" s="1">
        <v>414.61182824253177</v>
      </c>
    </row>
    <row r="1308" spans="1:9" x14ac:dyDescent="0.3">
      <c r="A1308" t="s">
        <v>29</v>
      </c>
      <c r="B1308">
        <v>2019</v>
      </c>
      <c r="C1308">
        <v>2</v>
      </c>
      <c r="D1308" t="s">
        <v>9</v>
      </c>
      <c r="E1308">
        <v>2711299</v>
      </c>
      <c r="F1308" s="6">
        <v>768892057.79827869</v>
      </c>
      <c r="G1308" s="5">
        <v>28051837</v>
      </c>
      <c r="H1308">
        <v>95405420</v>
      </c>
      <c r="I1308" s="1">
        <v>27.40968649569291</v>
      </c>
    </row>
    <row r="1309" spans="1:9" x14ac:dyDescent="0.3">
      <c r="A1309" t="s">
        <v>29</v>
      </c>
      <c r="B1309">
        <v>2019</v>
      </c>
      <c r="C1309">
        <v>2</v>
      </c>
      <c r="D1309" t="s">
        <v>11</v>
      </c>
      <c r="E1309">
        <v>937130</v>
      </c>
      <c r="F1309" s="6">
        <v>569545842.99989986</v>
      </c>
      <c r="G1309" s="5">
        <v>28051837</v>
      </c>
      <c r="H1309">
        <v>95405420</v>
      </c>
      <c r="I1309" s="1">
        <v>20.30333496518962</v>
      </c>
    </row>
    <row r="1310" spans="1:9" x14ac:dyDescent="0.3">
      <c r="A1310" t="s">
        <v>29</v>
      </c>
      <c r="B1310">
        <v>2019</v>
      </c>
      <c r="C1310">
        <v>2</v>
      </c>
      <c r="D1310" t="s">
        <v>12</v>
      </c>
      <c r="E1310">
        <v>38869</v>
      </c>
      <c r="F1310" s="6">
        <v>5823291.622642939</v>
      </c>
      <c r="G1310" s="5">
        <v>28051837</v>
      </c>
      <c r="H1310">
        <v>95405420</v>
      </c>
      <c r="I1310" s="1">
        <v>0.20759038428188994</v>
      </c>
    </row>
    <row r="1311" spans="1:9" x14ac:dyDescent="0.3">
      <c r="A1311" t="s">
        <v>29</v>
      </c>
      <c r="B1311">
        <v>2019</v>
      </c>
      <c r="C1311">
        <v>2</v>
      </c>
      <c r="D1311" t="s">
        <v>13</v>
      </c>
      <c r="E1311">
        <v>77000</v>
      </c>
      <c r="F1311" s="6">
        <v>56486944.633225575</v>
      </c>
      <c r="G1311" s="5">
        <v>28051837</v>
      </c>
      <c r="H1311">
        <v>95405420</v>
      </c>
      <c r="I1311" s="1">
        <v>2.0136629424028656</v>
      </c>
    </row>
    <row r="1312" spans="1:9" x14ac:dyDescent="0.3">
      <c r="A1312" t="s">
        <v>29</v>
      </c>
      <c r="B1312">
        <v>2019</v>
      </c>
      <c r="C1312">
        <v>3</v>
      </c>
      <c r="D1312" t="s">
        <v>10</v>
      </c>
      <c r="E1312">
        <v>4181954</v>
      </c>
      <c r="F1312" s="6">
        <v>14433990011.320789</v>
      </c>
      <c r="G1312" s="5">
        <v>32900593</v>
      </c>
      <c r="H1312">
        <v>346188634</v>
      </c>
      <c r="I1312" s="1">
        <v>438.71519310672574</v>
      </c>
    </row>
    <row r="1313" spans="1:9" x14ac:dyDescent="0.3">
      <c r="A1313" t="s">
        <v>29</v>
      </c>
      <c r="B1313">
        <v>2019</v>
      </c>
      <c r="C1313">
        <v>3</v>
      </c>
      <c r="D1313" t="s">
        <v>9</v>
      </c>
      <c r="E1313">
        <v>3431236</v>
      </c>
      <c r="F1313" s="6">
        <v>1051007778.3129579</v>
      </c>
      <c r="G1313" s="5">
        <v>32900593</v>
      </c>
      <c r="H1313">
        <v>346188634</v>
      </c>
      <c r="I1313" s="1">
        <v>31.94494939081973</v>
      </c>
    </row>
    <row r="1314" spans="1:9" x14ac:dyDescent="0.3">
      <c r="A1314" t="s">
        <v>29</v>
      </c>
      <c r="B1314">
        <v>2019</v>
      </c>
      <c r="C1314">
        <v>3</v>
      </c>
      <c r="D1314" t="s">
        <v>11</v>
      </c>
      <c r="E1314">
        <v>1497029</v>
      </c>
      <c r="F1314" s="6">
        <v>879510566.1106174</v>
      </c>
      <c r="G1314" s="5">
        <v>32900593</v>
      </c>
      <c r="H1314">
        <v>346188634</v>
      </c>
      <c r="I1314" s="1">
        <v>26.732362122184771</v>
      </c>
    </row>
    <row r="1315" spans="1:9" x14ac:dyDescent="0.3">
      <c r="A1315" t="s">
        <v>29</v>
      </c>
      <c r="B1315">
        <v>2019</v>
      </c>
      <c r="C1315">
        <v>3</v>
      </c>
      <c r="D1315" t="s">
        <v>12</v>
      </c>
      <c r="E1315">
        <v>96130</v>
      </c>
      <c r="F1315" s="6">
        <v>8910528.7234105784</v>
      </c>
      <c r="G1315" s="5">
        <v>32900593</v>
      </c>
      <c r="H1315">
        <v>346188634</v>
      </c>
      <c r="I1315" s="1">
        <v>0.27083185775437479</v>
      </c>
    </row>
    <row r="1316" spans="1:9" x14ac:dyDescent="0.3">
      <c r="A1316" t="s">
        <v>29</v>
      </c>
      <c r="B1316">
        <v>2019</v>
      </c>
      <c r="C1316">
        <v>3</v>
      </c>
      <c r="D1316" t="s">
        <v>13</v>
      </c>
      <c r="E1316">
        <v>79747</v>
      </c>
      <c r="F1316" s="6">
        <v>56390837.596709587</v>
      </c>
      <c r="G1316" s="5">
        <v>32900593</v>
      </c>
      <c r="H1316">
        <v>346188634</v>
      </c>
      <c r="I1316" s="1">
        <v>1.7139763285333363</v>
      </c>
    </row>
    <row r="1317" spans="1:9" x14ac:dyDescent="0.3">
      <c r="A1317" t="s">
        <v>29</v>
      </c>
      <c r="B1317">
        <v>2019</v>
      </c>
      <c r="C1317">
        <v>4</v>
      </c>
      <c r="D1317" t="s">
        <v>10</v>
      </c>
      <c r="E1317">
        <v>5859068</v>
      </c>
      <c r="F1317" s="6">
        <v>18537483865.445911</v>
      </c>
      <c r="G1317" s="5">
        <v>38543318</v>
      </c>
      <c r="H1317">
        <v>440506363</v>
      </c>
      <c r="I1317" s="1">
        <v>480.95194776552222</v>
      </c>
    </row>
    <row r="1318" spans="1:9" x14ac:dyDescent="0.3">
      <c r="A1318" t="s">
        <v>29</v>
      </c>
      <c r="B1318">
        <v>2019</v>
      </c>
      <c r="C1318">
        <v>4</v>
      </c>
      <c r="D1318" t="s">
        <v>9</v>
      </c>
      <c r="E1318">
        <v>4097032</v>
      </c>
      <c r="F1318" s="6">
        <v>1287955351.6647906</v>
      </c>
      <c r="G1318" s="5">
        <v>38543318</v>
      </c>
      <c r="H1318">
        <v>440506363</v>
      </c>
      <c r="I1318" s="1">
        <v>33.415788222093141</v>
      </c>
    </row>
    <row r="1319" spans="1:9" x14ac:dyDescent="0.3">
      <c r="A1319" t="s">
        <v>29</v>
      </c>
      <c r="B1319">
        <v>2019</v>
      </c>
      <c r="C1319">
        <v>4</v>
      </c>
      <c r="D1319" t="s">
        <v>11</v>
      </c>
      <c r="E1319">
        <v>2418428</v>
      </c>
      <c r="F1319" s="6">
        <v>1268704040.100692</v>
      </c>
      <c r="G1319" s="5">
        <v>38543318</v>
      </c>
      <c r="H1319">
        <v>440506363</v>
      </c>
      <c r="I1319" s="1">
        <v>32.916316132946626</v>
      </c>
    </row>
    <row r="1320" spans="1:9" x14ac:dyDescent="0.3">
      <c r="A1320" t="s">
        <v>29</v>
      </c>
      <c r="B1320">
        <v>2019</v>
      </c>
      <c r="C1320">
        <v>4</v>
      </c>
      <c r="D1320" t="s">
        <v>12</v>
      </c>
      <c r="E1320">
        <v>50728</v>
      </c>
      <c r="F1320" s="6">
        <v>10816332.760911917</v>
      </c>
      <c r="G1320" s="5">
        <v>38543318</v>
      </c>
      <c r="H1320">
        <v>440506363</v>
      </c>
      <c r="I1320" s="1">
        <v>0.28062796152920505</v>
      </c>
    </row>
    <row r="1321" spans="1:9" x14ac:dyDescent="0.3">
      <c r="A1321" t="s">
        <v>29</v>
      </c>
      <c r="B1321">
        <v>2019</v>
      </c>
      <c r="C1321">
        <v>4</v>
      </c>
      <c r="D1321" t="s">
        <v>13</v>
      </c>
      <c r="E1321">
        <v>73381</v>
      </c>
      <c r="F1321" s="6">
        <v>46367047.832443342</v>
      </c>
      <c r="G1321" s="5">
        <v>38543318</v>
      </c>
      <c r="H1321">
        <v>440506363</v>
      </c>
      <c r="I1321" s="1">
        <v>1.2029853743376049</v>
      </c>
    </row>
    <row r="1322" spans="1:9" x14ac:dyDescent="0.3">
      <c r="A1322" t="s">
        <v>29</v>
      </c>
      <c r="B1322">
        <v>2020</v>
      </c>
      <c r="C1322">
        <v>1</v>
      </c>
      <c r="D1322" t="s">
        <v>10</v>
      </c>
      <c r="E1322">
        <v>6634439</v>
      </c>
      <c r="F1322" s="6">
        <v>22862907701.60516</v>
      </c>
      <c r="G1322" s="5">
        <v>44861476</v>
      </c>
      <c r="H1322">
        <v>510360378</v>
      </c>
      <c r="I1322" s="1">
        <v>509.63342582854739</v>
      </c>
    </row>
    <row r="1323" spans="1:9" x14ac:dyDescent="0.3">
      <c r="A1323" t="s">
        <v>29</v>
      </c>
      <c r="B1323">
        <v>2020</v>
      </c>
      <c r="C1323">
        <v>1</v>
      </c>
      <c r="D1323" t="s">
        <v>9</v>
      </c>
      <c r="E1323">
        <v>5507580</v>
      </c>
      <c r="F1323" s="6">
        <v>1716538277.3696735</v>
      </c>
      <c r="G1323" s="5">
        <v>44861476</v>
      </c>
      <c r="H1323">
        <v>510360378</v>
      </c>
      <c r="I1323" s="1">
        <v>38.263080719182611</v>
      </c>
    </row>
    <row r="1324" spans="1:9" x14ac:dyDescent="0.3">
      <c r="A1324" t="s">
        <v>29</v>
      </c>
      <c r="B1324">
        <v>2020</v>
      </c>
      <c r="C1324">
        <v>1</v>
      </c>
      <c r="D1324" t="s">
        <v>11</v>
      </c>
      <c r="E1324">
        <v>3485036</v>
      </c>
      <c r="F1324" s="6">
        <v>1810329140.1843734</v>
      </c>
      <c r="G1324" s="5">
        <v>44861476</v>
      </c>
      <c r="H1324">
        <v>510360378</v>
      </c>
      <c r="I1324" s="1">
        <v>40.353757869767222</v>
      </c>
    </row>
    <row r="1325" spans="1:9" x14ac:dyDescent="0.3">
      <c r="A1325" t="s">
        <v>29</v>
      </c>
      <c r="B1325">
        <v>2020</v>
      </c>
      <c r="C1325">
        <v>1</v>
      </c>
      <c r="D1325" t="s">
        <v>12</v>
      </c>
      <c r="E1325">
        <v>38050</v>
      </c>
      <c r="F1325" s="6">
        <v>17160614.593254916</v>
      </c>
      <c r="G1325" s="5">
        <v>44861476</v>
      </c>
      <c r="H1325">
        <v>510360378</v>
      </c>
      <c r="I1325" s="1">
        <v>0.3825245204427718</v>
      </c>
    </row>
    <row r="1326" spans="1:9" x14ac:dyDescent="0.3">
      <c r="A1326" t="s">
        <v>29</v>
      </c>
      <c r="B1326">
        <v>2020</v>
      </c>
      <c r="C1326">
        <v>1</v>
      </c>
      <c r="D1326" t="s">
        <v>13</v>
      </c>
      <c r="E1326">
        <v>68417</v>
      </c>
      <c r="F1326" s="6">
        <v>44149097.181791566</v>
      </c>
      <c r="G1326" s="5">
        <v>44861476</v>
      </c>
      <c r="H1326">
        <v>510360378</v>
      </c>
      <c r="I1326" s="1">
        <v>0.98412047748477038</v>
      </c>
    </row>
    <row r="1327" spans="1:9" x14ac:dyDescent="0.3">
      <c r="A1327" t="s">
        <v>29</v>
      </c>
      <c r="B1327">
        <v>2020</v>
      </c>
      <c r="C1327">
        <v>2</v>
      </c>
      <c r="D1327" t="s">
        <v>9</v>
      </c>
      <c r="E1327">
        <v>7709714</v>
      </c>
      <c r="F1327" s="6">
        <v>2452435028.9249372</v>
      </c>
      <c r="G1327" s="5">
        <v>52017284</v>
      </c>
      <c r="H1327">
        <v>504162483</v>
      </c>
      <c r="I1327" s="1">
        <v>47.146541309710386</v>
      </c>
    </row>
    <row r="1328" spans="1:9" x14ac:dyDescent="0.3">
      <c r="A1328" t="s">
        <v>29</v>
      </c>
      <c r="B1328">
        <v>2020</v>
      </c>
      <c r="C1328">
        <v>2</v>
      </c>
      <c r="D1328" t="s">
        <v>10</v>
      </c>
      <c r="E1328">
        <v>5603046</v>
      </c>
      <c r="F1328" s="6">
        <v>21309983654.738998</v>
      </c>
      <c r="G1328" s="5">
        <v>52017284</v>
      </c>
      <c r="H1328">
        <v>504162483</v>
      </c>
      <c r="I1328" s="1">
        <v>409.67120956832343</v>
      </c>
    </row>
    <row r="1329" spans="1:9" x14ac:dyDescent="0.3">
      <c r="A1329" t="s">
        <v>29</v>
      </c>
      <c r="B1329">
        <v>2020</v>
      </c>
      <c r="C1329">
        <v>2</v>
      </c>
      <c r="D1329" t="s">
        <v>11</v>
      </c>
      <c r="E1329">
        <v>2888260</v>
      </c>
      <c r="F1329" s="6">
        <v>2075701451.3627596</v>
      </c>
      <c r="G1329" s="5">
        <v>52017284</v>
      </c>
      <c r="H1329">
        <v>504162483</v>
      </c>
      <c r="I1329" s="1">
        <v>39.904072103471599</v>
      </c>
    </row>
    <row r="1330" spans="1:9" x14ac:dyDescent="0.3">
      <c r="A1330" t="s">
        <v>29</v>
      </c>
      <c r="B1330">
        <v>2020</v>
      </c>
      <c r="C1330">
        <v>2</v>
      </c>
      <c r="D1330" t="s">
        <v>12</v>
      </c>
      <c r="E1330">
        <v>40501</v>
      </c>
      <c r="F1330" s="6">
        <v>32921115.845954426</v>
      </c>
      <c r="G1330" s="5">
        <v>52017284</v>
      </c>
      <c r="H1330">
        <v>504162483</v>
      </c>
      <c r="I1330" s="1">
        <v>0.63288801941205597</v>
      </c>
    </row>
    <row r="1331" spans="1:9" x14ac:dyDescent="0.3">
      <c r="A1331" t="s">
        <v>29</v>
      </c>
      <c r="B1331">
        <v>2020</v>
      </c>
      <c r="C1331">
        <v>2</v>
      </c>
      <c r="D1331" t="s">
        <v>13</v>
      </c>
      <c r="E1331">
        <v>46446</v>
      </c>
      <c r="F1331" s="6">
        <v>23037227.727544237</v>
      </c>
      <c r="G1331" s="5">
        <v>52017284</v>
      </c>
      <c r="H1331">
        <v>504162483</v>
      </c>
      <c r="I1331" s="1">
        <v>0.44287640484159529</v>
      </c>
    </row>
    <row r="1332" spans="1:9" x14ac:dyDescent="0.3">
      <c r="A1332" t="s">
        <v>29</v>
      </c>
      <c r="B1332">
        <v>2020</v>
      </c>
      <c r="C1332">
        <v>3</v>
      </c>
      <c r="D1332" t="s">
        <v>10</v>
      </c>
      <c r="E1332">
        <v>8590587</v>
      </c>
      <c r="F1332" s="6">
        <v>33346812213.798676</v>
      </c>
      <c r="G1332" s="5">
        <v>61405300</v>
      </c>
      <c r="H1332">
        <v>707399242</v>
      </c>
      <c r="I1332" s="1">
        <v>543.06081419354155</v>
      </c>
    </row>
    <row r="1333" spans="1:9" x14ac:dyDescent="0.3">
      <c r="A1333" t="s">
        <v>29</v>
      </c>
      <c r="B1333">
        <v>2020</v>
      </c>
      <c r="C1333">
        <v>3</v>
      </c>
      <c r="D1333" t="s">
        <v>9</v>
      </c>
      <c r="E1333">
        <v>7932950</v>
      </c>
      <c r="F1333" s="6">
        <v>2688361345.204546</v>
      </c>
      <c r="G1333" s="5">
        <v>61405300</v>
      </c>
      <c r="H1333">
        <v>707399242</v>
      </c>
      <c r="I1333" s="1">
        <v>43.78060762189169</v>
      </c>
    </row>
    <row r="1334" spans="1:9" x14ac:dyDescent="0.3">
      <c r="A1334" t="s">
        <v>29</v>
      </c>
      <c r="B1334">
        <v>2020</v>
      </c>
      <c r="C1334">
        <v>3</v>
      </c>
      <c r="D1334" t="s">
        <v>11</v>
      </c>
      <c r="E1334">
        <v>5065205</v>
      </c>
      <c r="F1334" s="6">
        <v>4016995193.6035366</v>
      </c>
      <c r="G1334" s="5">
        <v>61405300</v>
      </c>
      <c r="H1334">
        <v>707399242</v>
      </c>
      <c r="I1334" s="1">
        <v>65.417727681544378</v>
      </c>
    </row>
    <row r="1335" spans="1:9" x14ac:dyDescent="0.3">
      <c r="A1335" t="s">
        <v>29</v>
      </c>
      <c r="B1335">
        <v>2020</v>
      </c>
      <c r="C1335">
        <v>3</v>
      </c>
      <c r="D1335" t="s">
        <v>12</v>
      </c>
      <c r="E1335">
        <v>94130</v>
      </c>
      <c r="F1335" s="6">
        <v>76828720.824453115</v>
      </c>
      <c r="G1335" s="5">
        <v>61405300</v>
      </c>
      <c r="H1335">
        <v>707399242</v>
      </c>
      <c r="I1335" s="1">
        <v>1.2511740977481278</v>
      </c>
    </row>
    <row r="1336" spans="1:9" x14ac:dyDescent="0.3">
      <c r="A1336" t="s">
        <v>29</v>
      </c>
      <c r="B1336">
        <v>2020</v>
      </c>
      <c r="C1336">
        <v>3</v>
      </c>
      <c r="D1336" t="s">
        <v>13</v>
      </c>
      <c r="E1336">
        <v>75808</v>
      </c>
      <c r="F1336" s="6">
        <v>35153178.522981867</v>
      </c>
      <c r="G1336" s="5">
        <v>61405300</v>
      </c>
      <c r="H1336">
        <v>707399242</v>
      </c>
      <c r="I1336" s="1">
        <v>0.57247792166118994</v>
      </c>
    </row>
    <row r="1337" spans="1:9" x14ac:dyDescent="0.3">
      <c r="A1337" t="s">
        <v>29</v>
      </c>
      <c r="B1337">
        <v>2020</v>
      </c>
      <c r="C1337">
        <v>4</v>
      </c>
      <c r="D1337" t="s">
        <v>10</v>
      </c>
      <c r="E1337">
        <v>12941135</v>
      </c>
      <c r="F1337" s="6">
        <v>45686395927.744888</v>
      </c>
      <c r="G1337" s="5">
        <v>70258859</v>
      </c>
      <c r="H1337">
        <v>1005568003</v>
      </c>
      <c r="I1337" s="1">
        <v>650.25815360515446</v>
      </c>
    </row>
    <row r="1338" spans="1:9" x14ac:dyDescent="0.3">
      <c r="A1338" t="s">
        <v>29</v>
      </c>
      <c r="B1338">
        <v>2020</v>
      </c>
      <c r="C1338">
        <v>4</v>
      </c>
      <c r="D1338" t="s">
        <v>11</v>
      </c>
      <c r="E1338">
        <v>10990709</v>
      </c>
      <c r="F1338" s="6">
        <v>7695667406.7239094</v>
      </c>
      <c r="G1338" s="5">
        <v>70258859</v>
      </c>
      <c r="H1338">
        <v>1005568003</v>
      </c>
      <c r="I1338" s="1">
        <v>109.53305414088648</v>
      </c>
    </row>
    <row r="1339" spans="1:9" x14ac:dyDescent="0.3">
      <c r="A1339" t="s">
        <v>29</v>
      </c>
      <c r="B1339">
        <v>2020</v>
      </c>
      <c r="C1339">
        <v>4</v>
      </c>
      <c r="D1339" t="s">
        <v>9</v>
      </c>
      <c r="E1339">
        <v>9167428</v>
      </c>
      <c r="F1339" s="6">
        <v>3238199947.5254631</v>
      </c>
      <c r="G1339" s="5">
        <v>70258859</v>
      </c>
      <c r="H1339">
        <v>1005568003</v>
      </c>
      <c r="I1339" s="1">
        <v>46.089560713268391</v>
      </c>
    </row>
    <row r="1340" spans="1:9" x14ac:dyDescent="0.3">
      <c r="A1340" t="s">
        <v>29</v>
      </c>
      <c r="B1340">
        <v>2020</v>
      </c>
      <c r="C1340">
        <v>4</v>
      </c>
      <c r="D1340" t="s">
        <v>12</v>
      </c>
      <c r="E1340">
        <v>73833</v>
      </c>
      <c r="F1340" s="6">
        <v>69202344.440952316</v>
      </c>
      <c r="G1340" s="5">
        <v>70258859</v>
      </c>
      <c r="H1340">
        <v>1005568003</v>
      </c>
      <c r="I1340" s="1">
        <v>0.98496254317127918</v>
      </c>
    </row>
    <row r="1341" spans="1:9" x14ac:dyDescent="0.3">
      <c r="A1341" t="s">
        <v>29</v>
      </c>
      <c r="B1341">
        <v>2020</v>
      </c>
      <c r="C1341">
        <v>4</v>
      </c>
      <c r="D1341" t="s">
        <v>13</v>
      </c>
      <c r="E1341">
        <v>115082</v>
      </c>
      <c r="F1341" s="6">
        <v>65791020.576171741</v>
      </c>
      <c r="G1341" s="5">
        <v>70258859</v>
      </c>
      <c r="H1341">
        <v>1005568003</v>
      </c>
      <c r="I1341" s="1">
        <v>0.93640889579735054</v>
      </c>
    </row>
    <row r="1342" spans="1:9" x14ac:dyDescent="0.3">
      <c r="A1342" t="s">
        <v>29</v>
      </c>
      <c r="B1342">
        <v>2021</v>
      </c>
      <c r="C1342">
        <v>1</v>
      </c>
      <c r="D1342" t="s">
        <v>10</v>
      </c>
      <c r="E1342">
        <v>16209203</v>
      </c>
      <c r="F1342" s="6">
        <v>55336812492.746407</v>
      </c>
      <c r="G1342" s="5">
        <v>76306373</v>
      </c>
      <c r="H1342">
        <v>1198106063</v>
      </c>
      <c r="I1342" s="1">
        <v>725.1925405070217</v>
      </c>
    </row>
    <row r="1343" spans="1:9" x14ac:dyDescent="0.3">
      <c r="A1343" t="s">
        <v>29</v>
      </c>
      <c r="B1343">
        <v>2021</v>
      </c>
      <c r="C1343">
        <v>1</v>
      </c>
      <c r="D1343" t="s">
        <v>11</v>
      </c>
      <c r="E1343">
        <v>16105923</v>
      </c>
      <c r="F1343" s="6">
        <v>10058436408.184261</v>
      </c>
      <c r="G1343" s="5">
        <v>76306373</v>
      </c>
      <c r="H1343">
        <v>1198106063</v>
      </c>
      <c r="I1343" s="1">
        <v>131.81646581713773</v>
      </c>
    </row>
    <row r="1344" spans="1:9" x14ac:dyDescent="0.3">
      <c r="A1344" t="s">
        <v>29</v>
      </c>
      <c r="B1344">
        <v>2021</v>
      </c>
      <c r="C1344">
        <v>1</v>
      </c>
      <c r="D1344" t="s">
        <v>9</v>
      </c>
      <c r="E1344">
        <v>9837385</v>
      </c>
      <c r="F1344" s="6">
        <v>3732534739.0436296</v>
      </c>
      <c r="G1344" s="5">
        <v>76306373</v>
      </c>
      <c r="H1344">
        <v>1198106063</v>
      </c>
      <c r="I1344" s="1">
        <v>48.915111442180979</v>
      </c>
    </row>
    <row r="1345" spans="1:9" x14ac:dyDescent="0.3">
      <c r="A1345" t="s">
        <v>29</v>
      </c>
      <c r="B1345">
        <v>2021</v>
      </c>
      <c r="C1345">
        <v>1</v>
      </c>
      <c r="D1345" t="s">
        <v>12</v>
      </c>
      <c r="E1345">
        <v>68012</v>
      </c>
      <c r="F1345" s="6">
        <v>69655547.760922477</v>
      </c>
      <c r="G1345" s="5">
        <v>76306373</v>
      </c>
      <c r="H1345">
        <v>1198106063</v>
      </c>
      <c r="I1345" s="1">
        <v>0.91284050102764647</v>
      </c>
    </row>
    <row r="1346" spans="1:9" x14ac:dyDescent="0.3">
      <c r="A1346" t="s">
        <v>29</v>
      </c>
      <c r="B1346">
        <v>2021</v>
      </c>
      <c r="C1346">
        <v>1</v>
      </c>
      <c r="D1346" t="s">
        <v>13</v>
      </c>
      <c r="E1346">
        <v>95819</v>
      </c>
      <c r="F1346" s="6">
        <v>63530974.15939384</v>
      </c>
      <c r="G1346" s="5">
        <v>76306373</v>
      </c>
      <c r="H1346">
        <v>1198106063</v>
      </c>
      <c r="I1346" s="1">
        <v>0.8325775641229054</v>
      </c>
    </row>
    <row r="1347" spans="1:9" x14ac:dyDescent="0.3">
      <c r="A1347" t="s">
        <v>29</v>
      </c>
      <c r="B1347">
        <v>2021</v>
      </c>
      <c r="C1347">
        <v>2</v>
      </c>
      <c r="D1347" t="s">
        <v>10</v>
      </c>
      <c r="E1347">
        <v>17026648</v>
      </c>
      <c r="F1347" s="6">
        <v>58152644526.04467</v>
      </c>
      <c r="G1347" s="5">
        <v>81576913</v>
      </c>
      <c r="H1347">
        <v>965958565</v>
      </c>
      <c r="I1347" s="1">
        <v>712.85664518887438</v>
      </c>
    </row>
    <row r="1348" spans="1:9" x14ac:dyDescent="0.3">
      <c r="A1348" t="s">
        <v>29</v>
      </c>
      <c r="B1348">
        <v>2021</v>
      </c>
      <c r="C1348">
        <v>2</v>
      </c>
      <c r="D1348" t="s">
        <v>11</v>
      </c>
      <c r="E1348">
        <v>16135060</v>
      </c>
      <c r="F1348" s="6">
        <v>11263178335.980885</v>
      </c>
      <c r="G1348" s="5">
        <v>81576913</v>
      </c>
      <c r="H1348">
        <v>965958565</v>
      </c>
      <c r="I1348" s="1">
        <v>138.06820976396696</v>
      </c>
    </row>
    <row r="1349" spans="1:9" x14ac:dyDescent="0.3">
      <c r="A1349" t="s">
        <v>29</v>
      </c>
      <c r="B1349">
        <v>2021</v>
      </c>
      <c r="C1349">
        <v>2</v>
      </c>
      <c r="D1349" t="s">
        <v>9</v>
      </c>
      <c r="E1349">
        <v>13809151</v>
      </c>
      <c r="F1349" s="6">
        <v>4645548909.798975</v>
      </c>
      <c r="G1349" s="5">
        <v>81576913</v>
      </c>
      <c r="H1349">
        <v>965958565</v>
      </c>
      <c r="I1349" s="1">
        <v>56.946858356836508</v>
      </c>
    </row>
    <row r="1350" spans="1:9" x14ac:dyDescent="0.3">
      <c r="A1350" t="s">
        <v>29</v>
      </c>
      <c r="B1350">
        <v>2021</v>
      </c>
      <c r="C1350">
        <v>2</v>
      </c>
      <c r="D1350" t="s">
        <v>12</v>
      </c>
      <c r="E1350">
        <v>88830</v>
      </c>
      <c r="F1350" s="6">
        <v>88370679.953097641</v>
      </c>
      <c r="G1350" s="5">
        <v>81576913</v>
      </c>
      <c r="H1350">
        <v>965958565</v>
      </c>
      <c r="I1350" s="1">
        <v>1.0832805104196286</v>
      </c>
    </row>
    <row r="1351" spans="1:9" x14ac:dyDescent="0.3">
      <c r="A1351" t="s">
        <v>29</v>
      </c>
      <c r="B1351">
        <v>2021</v>
      </c>
      <c r="C1351">
        <v>2</v>
      </c>
      <c r="D1351" t="s">
        <v>13</v>
      </c>
      <c r="E1351">
        <v>131344</v>
      </c>
      <c r="F1351" s="6">
        <v>77063984.378882825</v>
      </c>
      <c r="G1351" s="5">
        <v>81576913</v>
      </c>
      <c r="H1351">
        <v>965958565</v>
      </c>
      <c r="I1351" s="1">
        <v>0.94467885023894971</v>
      </c>
    </row>
    <row r="1352" spans="1:9" x14ac:dyDescent="0.3">
      <c r="A1352" t="s">
        <v>29</v>
      </c>
      <c r="B1352">
        <v>2021</v>
      </c>
      <c r="C1352">
        <v>3</v>
      </c>
      <c r="D1352" t="s">
        <v>11</v>
      </c>
      <c r="E1352">
        <v>25402350</v>
      </c>
      <c r="F1352" s="6">
        <v>17877677018.107368</v>
      </c>
      <c r="G1352" s="5">
        <v>87443675</v>
      </c>
      <c r="H1352">
        <v>1279109887</v>
      </c>
      <c r="I1352" s="1">
        <v>204.44791482182524</v>
      </c>
    </row>
    <row r="1353" spans="1:9" x14ac:dyDescent="0.3">
      <c r="A1353" t="s">
        <v>29</v>
      </c>
      <c r="B1353">
        <v>2021</v>
      </c>
      <c r="C1353">
        <v>3</v>
      </c>
      <c r="D1353" t="s">
        <v>10</v>
      </c>
      <c r="E1353">
        <v>23378091</v>
      </c>
      <c r="F1353" s="6">
        <v>78598482305.73877</v>
      </c>
      <c r="G1353" s="5">
        <v>87443675</v>
      </c>
      <c r="H1353">
        <v>1279109887</v>
      </c>
      <c r="I1353" s="1">
        <v>898.84696984360244</v>
      </c>
    </row>
    <row r="1354" spans="1:9" x14ac:dyDescent="0.3">
      <c r="A1354" t="s">
        <v>29</v>
      </c>
      <c r="B1354">
        <v>2021</v>
      </c>
      <c r="C1354">
        <v>3</v>
      </c>
      <c r="D1354" t="s">
        <v>9</v>
      </c>
      <c r="E1354">
        <v>13979407</v>
      </c>
      <c r="F1354" s="6">
        <v>5008396079.4129572</v>
      </c>
      <c r="G1354" s="5">
        <v>87443675</v>
      </c>
      <c r="H1354">
        <v>1279109887</v>
      </c>
      <c r="I1354" s="1">
        <v>57.275681510560453</v>
      </c>
    </row>
    <row r="1355" spans="1:9" x14ac:dyDescent="0.3">
      <c r="A1355" t="s">
        <v>29</v>
      </c>
      <c r="B1355">
        <v>2021</v>
      </c>
      <c r="C1355">
        <v>3</v>
      </c>
      <c r="D1355" t="s">
        <v>12</v>
      </c>
      <c r="E1355">
        <v>85730</v>
      </c>
      <c r="F1355" s="6">
        <v>101460242.2623948</v>
      </c>
      <c r="G1355" s="5">
        <v>87443675</v>
      </c>
      <c r="H1355">
        <v>1279109887</v>
      </c>
      <c r="I1355" s="1">
        <v>1.1602925227284284</v>
      </c>
    </row>
    <row r="1356" spans="1:9" x14ac:dyDescent="0.3">
      <c r="A1356" t="s">
        <v>29</v>
      </c>
      <c r="B1356">
        <v>2021</v>
      </c>
      <c r="C1356">
        <v>3</v>
      </c>
      <c r="D1356" t="s">
        <v>13</v>
      </c>
      <c r="E1356">
        <v>182688</v>
      </c>
      <c r="F1356" s="6">
        <v>100146127.60812962</v>
      </c>
      <c r="G1356" s="5">
        <v>87443675</v>
      </c>
      <c r="H1356">
        <v>1279109887</v>
      </c>
      <c r="I1356" s="1">
        <v>1.1452643957167814</v>
      </c>
    </row>
    <row r="1357" spans="1:9" x14ac:dyDescent="0.3">
      <c r="A1357" t="s">
        <v>29</v>
      </c>
      <c r="B1357">
        <v>2021</v>
      </c>
      <c r="C1357">
        <v>4</v>
      </c>
      <c r="D1357" t="s">
        <v>11</v>
      </c>
      <c r="E1357">
        <v>38574904</v>
      </c>
      <c r="F1357" s="6">
        <v>24589454633.018272</v>
      </c>
      <c r="G1357" s="5">
        <v>93211910</v>
      </c>
      <c r="H1357">
        <v>2348971427</v>
      </c>
      <c r="I1357" s="1">
        <v>263.80163900748596</v>
      </c>
    </row>
    <row r="1358" spans="1:9" x14ac:dyDescent="0.3">
      <c r="A1358" t="s">
        <v>29</v>
      </c>
      <c r="B1358">
        <v>2021</v>
      </c>
      <c r="C1358">
        <v>4</v>
      </c>
      <c r="D1358" t="s">
        <v>10</v>
      </c>
      <c r="E1358">
        <v>29075528</v>
      </c>
      <c r="F1358" s="6">
        <v>92774490034.558441</v>
      </c>
      <c r="G1358" s="5">
        <v>93211910</v>
      </c>
      <c r="H1358">
        <v>2348971427</v>
      </c>
      <c r="I1358" s="1">
        <v>995.30725241611765</v>
      </c>
    </row>
    <row r="1359" spans="1:9" x14ac:dyDescent="0.3">
      <c r="A1359" t="s">
        <v>29</v>
      </c>
      <c r="B1359">
        <v>2021</v>
      </c>
      <c r="C1359">
        <v>4</v>
      </c>
      <c r="D1359" t="s">
        <v>9</v>
      </c>
      <c r="E1359">
        <v>13781815</v>
      </c>
      <c r="F1359" s="6">
        <v>5689390023.2045517</v>
      </c>
      <c r="G1359" s="5">
        <v>93211910</v>
      </c>
      <c r="H1359">
        <v>2348971427</v>
      </c>
      <c r="I1359" s="1">
        <v>61.037157410512798</v>
      </c>
    </row>
    <row r="1360" spans="1:9" x14ac:dyDescent="0.3">
      <c r="A1360" t="s">
        <v>29</v>
      </c>
      <c r="B1360">
        <v>2021</v>
      </c>
      <c r="C1360">
        <v>4</v>
      </c>
      <c r="D1360" t="s">
        <v>12</v>
      </c>
      <c r="E1360">
        <v>108232</v>
      </c>
      <c r="F1360" s="6">
        <v>128238698.74055986</v>
      </c>
      <c r="G1360" s="5">
        <v>93211910</v>
      </c>
      <c r="H1360">
        <v>2348971427</v>
      </c>
      <c r="I1360" s="1">
        <v>1.3757758932368178</v>
      </c>
    </row>
    <row r="1361" spans="1:9" x14ac:dyDescent="0.3">
      <c r="A1361" t="s">
        <v>29</v>
      </c>
      <c r="B1361">
        <v>2021</v>
      </c>
      <c r="C1361">
        <v>4</v>
      </c>
      <c r="D1361" t="s">
        <v>13</v>
      </c>
      <c r="E1361">
        <v>283262</v>
      </c>
      <c r="F1361" s="6">
        <v>160563553.84187678</v>
      </c>
      <c r="G1361" s="5">
        <v>93211910</v>
      </c>
      <c r="H1361">
        <v>2348971427</v>
      </c>
      <c r="I1361" s="1">
        <v>1.7225647864299398</v>
      </c>
    </row>
    <row r="1362" spans="1:9" x14ac:dyDescent="0.3">
      <c r="A1362" t="s">
        <v>30</v>
      </c>
      <c r="B1362">
        <v>2018</v>
      </c>
      <c r="C1362">
        <v>1</v>
      </c>
      <c r="D1362" t="s">
        <v>9</v>
      </c>
      <c r="E1362">
        <v>3550</v>
      </c>
      <c r="F1362" s="6">
        <v>927250.71437078179</v>
      </c>
      <c r="G1362" s="5">
        <v>96624</v>
      </c>
      <c r="H1362">
        <v>0</v>
      </c>
      <c r="I1362" s="1">
        <v>9.5964844590451825</v>
      </c>
    </row>
    <row r="1363" spans="1:9" x14ac:dyDescent="0.3">
      <c r="A1363" t="s">
        <v>30</v>
      </c>
      <c r="B1363">
        <v>2018</v>
      </c>
      <c r="C1363">
        <v>1</v>
      </c>
      <c r="D1363" t="s">
        <v>10</v>
      </c>
      <c r="E1363">
        <v>1752</v>
      </c>
      <c r="F1363" s="6">
        <v>10767803.999610368</v>
      </c>
      <c r="G1363" s="5">
        <v>96624</v>
      </c>
      <c r="H1363">
        <v>0</v>
      </c>
      <c r="I1363" s="1">
        <v>111.4402632845915</v>
      </c>
    </row>
    <row r="1364" spans="1:9" x14ac:dyDescent="0.3">
      <c r="A1364" t="s">
        <v>30</v>
      </c>
      <c r="B1364">
        <v>2018</v>
      </c>
      <c r="C1364">
        <v>1</v>
      </c>
      <c r="D1364" t="s">
        <v>11</v>
      </c>
      <c r="E1364">
        <v>320</v>
      </c>
      <c r="F1364" s="6">
        <v>369327.62555241917</v>
      </c>
      <c r="G1364" s="5">
        <v>96624</v>
      </c>
      <c r="H1364">
        <v>0</v>
      </c>
      <c r="I1364" s="1">
        <v>3.8223177011137932</v>
      </c>
    </row>
    <row r="1365" spans="1:9" x14ac:dyDescent="0.3">
      <c r="A1365" t="s">
        <v>30</v>
      </c>
      <c r="B1365">
        <v>2018</v>
      </c>
      <c r="C1365">
        <v>1</v>
      </c>
      <c r="D1365" t="s">
        <v>12</v>
      </c>
      <c r="E1365">
        <v>132</v>
      </c>
      <c r="F1365" s="6">
        <v>274283.17576680594</v>
      </c>
      <c r="G1365" s="5">
        <v>96624</v>
      </c>
      <c r="H1365">
        <v>0</v>
      </c>
      <c r="I1365" s="1">
        <v>2.8386650911451188</v>
      </c>
    </row>
    <row r="1366" spans="1:9" x14ac:dyDescent="0.3">
      <c r="A1366" t="s">
        <v>30</v>
      </c>
      <c r="B1366">
        <v>2018</v>
      </c>
      <c r="C1366">
        <v>1</v>
      </c>
      <c r="D1366" t="s">
        <v>13</v>
      </c>
      <c r="E1366">
        <v>335</v>
      </c>
      <c r="F1366" s="6">
        <v>194192.25581440225</v>
      </c>
      <c r="G1366" s="5">
        <v>96624</v>
      </c>
      <c r="H1366">
        <v>0</v>
      </c>
      <c r="I1366" s="1">
        <v>2.0097724769664085</v>
      </c>
    </row>
    <row r="1367" spans="1:9" x14ac:dyDescent="0.3">
      <c r="A1367" t="s">
        <v>30</v>
      </c>
      <c r="B1367">
        <v>2018</v>
      </c>
      <c r="C1367">
        <v>2</v>
      </c>
      <c r="D1367" t="s">
        <v>9</v>
      </c>
      <c r="E1367">
        <v>8075</v>
      </c>
      <c r="F1367" s="6">
        <v>2417434.2729015187</v>
      </c>
      <c r="G1367" s="5">
        <v>142098</v>
      </c>
      <c r="H1367">
        <v>0</v>
      </c>
      <c r="I1367" s="1">
        <v>17.01244403792818</v>
      </c>
    </row>
    <row r="1368" spans="1:9" x14ac:dyDescent="0.3">
      <c r="A1368" t="s">
        <v>30</v>
      </c>
      <c r="B1368">
        <v>2018</v>
      </c>
      <c r="C1368">
        <v>2</v>
      </c>
      <c r="D1368" t="s">
        <v>10</v>
      </c>
      <c r="E1368">
        <v>5667</v>
      </c>
      <c r="F1368" s="6">
        <v>42638443.119972311</v>
      </c>
      <c r="G1368" s="5">
        <v>142098</v>
      </c>
      <c r="H1368">
        <v>0</v>
      </c>
      <c r="I1368" s="1">
        <v>300.0636400228878</v>
      </c>
    </row>
    <row r="1369" spans="1:9" x14ac:dyDescent="0.3">
      <c r="A1369" t="s">
        <v>30</v>
      </c>
      <c r="B1369">
        <v>2018</v>
      </c>
      <c r="C1369">
        <v>2</v>
      </c>
      <c r="D1369" t="s">
        <v>11</v>
      </c>
      <c r="E1369">
        <v>724</v>
      </c>
      <c r="F1369" s="6">
        <v>1761366.2964342085</v>
      </c>
      <c r="G1369" s="5">
        <v>142098</v>
      </c>
      <c r="H1369">
        <v>0</v>
      </c>
      <c r="I1369" s="1">
        <v>12.395433408170478</v>
      </c>
    </row>
    <row r="1370" spans="1:9" x14ac:dyDescent="0.3">
      <c r="A1370" t="s">
        <v>30</v>
      </c>
      <c r="B1370">
        <v>2018</v>
      </c>
      <c r="C1370">
        <v>2</v>
      </c>
      <c r="D1370" t="s">
        <v>12</v>
      </c>
      <c r="E1370">
        <v>151</v>
      </c>
      <c r="F1370" s="6">
        <v>127324.6279709443</v>
      </c>
      <c r="G1370" s="5">
        <v>142098</v>
      </c>
      <c r="H1370">
        <v>0</v>
      </c>
      <c r="I1370" s="1">
        <v>0.89603392004774385</v>
      </c>
    </row>
    <row r="1371" spans="1:9" x14ac:dyDescent="0.3">
      <c r="A1371" t="s">
        <v>30</v>
      </c>
      <c r="B1371">
        <v>2018</v>
      </c>
      <c r="C1371">
        <v>2</v>
      </c>
      <c r="D1371" t="s">
        <v>13</v>
      </c>
      <c r="E1371">
        <v>393</v>
      </c>
      <c r="F1371" s="6">
        <v>390334.22046249802</v>
      </c>
      <c r="G1371" s="5">
        <v>142098</v>
      </c>
      <c r="H1371">
        <v>0</v>
      </c>
      <c r="I1371" s="1">
        <v>2.7469367652078005</v>
      </c>
    </row>
    <row r="1372" spans="1:9" x14ac:dyDescent="0.3">
      <c r="A1372" t="s">
        <v>30</v>
      </c>
      <c r="B1372">
        <v>2018</v>
      </c>
      <c r="C1372">
        <v>3</v>
      </c>
      <c r="D1372" t="s">
        <v>9</v>
      </c>
      <c r="E1372">
        <v>13136</v>
      </c>
      <c r="F1372" s="6">
        <v>4676712.3440451147</v>
      </c>
      <c r="G1372" s="5">
        <v>195239</v>
      </c>
      <c r="H1372">
        <v>0</v>
      </c>
      <c r="I1372" s="1">
        <v>23.953781488560761</v>
      </c>
    </row>
    <row r="1373" spans="1:9" x14ac:dyDescent="0.3">
      <c r="A1373" t="s">
        <v>30</v>
      </c>
      <c r="B1373">
        <v>2018</v>
      </c>
      <c r="C1373">
        <v>3</v>
      </c>
      <c r="D1373" t="s">
        <v>10</v>
      </c>
      <c r="E1373">
        <v>10133</v>
      </c>
      <c r="F1373" s="6">
        <v>77085890.573955655</v>
      </c>
      <c r="G1373" s="5">
        <v>195239</v>
      </c>
      <c r="H1373">
        <v>0</v>
      </c>
      <c r="I1373" s="1">
        <v>394.82834154014137</v>
      </c>
    </row>
    <row r="1374" spans="1:9" x14ac:dyDescent="0.3">
      <c r="A1374" t="s">
        <v>30</v>
      </c>
      <c r="B1374">
        <v>2018</v>
      </c>
      <c r="C1374">
        <v>3</v>
      </c>
      <c r="D1374" t="s">
        <v>11</v>
      </c>
      <c r="E1374">
        <v>1168</v>
      </c>
      <c r="F1374" s="6">
        <v>2016579.2506718007</v>
      </c>
      <c r="G1374" s="5">
        <v>195239</v>
      </c>
      <c r="H1374">
        <v>0</v>
      </c>
      <c r="I1374" s="1">
        <v>10.328772687177258</v>
      </c>
    </row>
    <row r="1375" spans="1:9" x14ac:dyDescent="0.3">
      <c r="A1375" t="s">
        <v>30</v>
      </c>
      <c r="B1375">
        <v>2018</v>
      </c>
      <c r="C1375">
        <v>3</v>
      </c>
      <c r="D1375" t="s">
        <v>12</v>
      </c>
      <c r="E1375">
        <v>84</v>
      </c>
      <c r="F1375" s="6">
        <v>69317.122878721188</v>
      </c>
      <c r="G1375" s="5">
        <v>195239</v>
      </c>
      <c r="H1375">
        <v>0</v>
      </c>
      <c r="I1375" s="1">
        <v>0.35503727676704544</v>
      </c>
    </row>
    <row r="1376" spans="1:9" x14ac:dyDescent="0.3">
      <c r="A1376" t="s">
        <v>30</v>
      </c>
      <c r="B1376">
        <v>2018</v>
      </c>
      <c r="C1376">
        <v>3</v>
      </c>
      <c r="D1376" t="s">
        <v>13</v>
      </c>
      <c r="E1376">
        <v>343</v>
      </c>
      <c r="F1376" s="6">
        <v>242477.8532947429</v>
      </c>
      <c r="G1376" s="5">
        <v>195239</v>
      </c>
      <c r="H1376">
        <v>0</v>
      </c>
      <c r="I1376" s="1">
        <v>1.2419539809912103</v>
      </c>
    </row>
    <row r="1377" spans="1:9" x14ac:dyDescent="0.3">
      <c r="A1377" t="s">
        <v>30</v>
      </c>
      <c r="B1377">
        <v>2018</v>
      </c>
      <c r="C1377">
        <v>4</v>
      </c>
      <c r="D1377" t="s">
        <v>9</v>
      </c>
      <c r="E1377">
        <v>16650</v>
      </c>
      <c r="F1377" s="6">
        <v>5701932.8954542885</v>
      </c>
      <c r="G1377" s="5">
        <v>262713</v>
      </c>
      <c r="H1377">
        <v>0</v>
      </c>
      <c r="I1377" s="1">
        <v>21.704037849114009</v>
      </c>
    </row>
    <row r="1378" spans="1:9" x14ac:dyDescent="0.3">
      <c r="A1378" t="s">
        <v>30</v>
      </c>
      <c r="B1378">
        <v>2018</v>
      </c>
      <c r="C1378">
        <v>4</v>
      </c>
      <c r="D1378" t="s">
        <v>10</v>
      </c>
      <c r="E1378">
        <v>15939</v>
      </c>
      <c r="F1378" s="6">
        <v>123611779.58930421</v>
      </c>
      <c r="G1378" s="5">
        <v>262713</v>
      </c>
      <c r="H1378">
        <v>0</v>
      </c>
      <c r="I1378" s="1">
        <v>470.52022392993194</v>
      </c>
    </row>
    <row r="1379" spans="1:9" x14ac:dyDescent="0.3">
      <c r="A1379" t="s">
        <v>30</v>
      </c>
      <c r="B1379">
        <v>2018</v>
      </c>
      <c r="C1379">
        <v>4</v>
      </c>
      <c r="D1379" t="s">
        <v>11</v>
      </c>
      <c r="E1379">
        <v>1881</v>
      </c>
      <c r="F1379" s="6">
        <v>5082666.8207582431</v>
      </c>
      <c r="G1379" s="5">
        <v>262713</v>
      </c>
      <c r="H1379">
        <v>0</v>
      </c>
      <c r="I1379" s="1">
        <v>19.346841689441494</v>
      </c>
    </row>
    <row r="1380" spans="1:9" x14ac:dyDescent="0.3">
      <c r="A1380" t="s">
        <v>30</v>
      </c>
      <c r="B1380">
        <v>2018</v>
      </c>
      <c r="C1380">
        <v>4</v>
      </c>
      <c r="D1380" t="s">
        <v>12</v>
      </c>
      <c r="E1380">
        <v>142</v>
      </c>
      <c r="F1380" s="6">
        <v>94604.733918469836</v>
      </c>
      <c r="G1380" s="5">
        <v>262713</v>
      </c>
      <c r="H1380">
        <v>0</v>
      </c>
      <c r="I1380" s="1">
        <v>0.36010678542161917</v>
      </c>
    </row>
    <row r="1381" spans="1:9" x14ac:dyDescent="0.3">
      <c r="A1381" t="s">
        <v>30</v>
      </c>
      <c r="B1381">
        <v>2018</v>
      </c>
      <c r="C1381">
        <v>4</v>
      </c>
      <c r="D1381" t="s">
        <v>13</v>
      </c>
      <c r="E1381">
        <v>599</v>
      </c>
      <c r="F1381" s="6">
        <v>1031858.4532022325</v>
      </c>
      <c r="G1381" s="5">
        <v>262713</v>
      </c>
      <c r="H1381">
        <v>0</v>
      </c>
      <c r="I1381" s="1">
        <v>3.9277022956695422</v>
      </c>
    </row>
    <row r="1382" spans="1:9" x14ac:dyDescent="0.3">
      <c r="A1382" t="s">
        <v>30</v>
      </c>
      <c r="B1382">
        <v>2019</v>
      </c>
      <c r="C1382">
        <v>1</v>
      </c>
      <c r="D1382" t="s">
        <v>10</v>
      </c>
      <c r="E1382">
        <v>22076</v>
      </c>
      <c r="F1382" s="6">
        <v>139715922.1887053</v>
      </c>
      <c r="G1382" s="5">
        <v>326139</v>
      </c>
      <c r="H1382">
        <v>0</v>
      </c>
      <c r="I1382" s="1">
        <v>428.39378972985537</v>
      </c>
    </row>
    <row r="1383" spans="1:9" x14ac:dyDescent="0.3">
      <c r="A1383" t="s">
        <v>30</v>
      </c>
      <c r="B1383">
        <v>2019</v>
      </c>
      <c r="C1383">
        <v>1</v>
      </c>
      <c r="D1383" t="s">
        <v>9</v>
      </c>
      <c r="E1383">
        <v>20014</v>
      </c>
      <c r="F1383" s="6">
        <v>7186109.1822882481</v>
      </c>
      <c r="G1383" s="5">
        <v>326139</v>
      </c>
      <c r="H1383">
        <v>0</v>
      </c>
      <c r="I1383" s="1">
        <v>22.03388488432309</v>
      </c>
    </row>
    <row r="1384" spans="1:9" x14ac:dyDescent="0.3">
      <c r="A1384" t="s">
        <v>30</v>
      </c>
      <c r="B1384">
        <v>2019</v>
      </c>
      <c r="C1384">
        <v>1</v>
      </c>
      <c r="D1384" t="s">
        <v>11</v>
      </c>
      <c r="E1384">
        <v>3238</v>
      </c>
      <c r="F1384" s="6">
        <v>4967122.4999400275</v>
      </c>
      <c r="G1384" s="5">
        <v>326139</v>
      </c>
      <c r="H1384">
        <v>0</v>
      </c>
      <c r="I1384" s="1">
        <v>15.230078279322704</v>
      </c>
    </row>
    <row r="1385" spans="1:9" x14ac:dyDescent="0.3">
      <c r="A1385" t="s">
        <v>30</v>
      </c>
      <c r="B1385">
        <v>2019</v>
      </c>
      <c r="C1385">
        <v>1</v>
      </c>
      <c r="D1385" t="s">
        <v>12</v>
      </c>
      <c r="E1385">
        <v>114</v>
      </c>
      <c r="F1385" s="6">
        <v>111851.02856430915</v>
      </c>
      <c r="G1385" s="5">
        <v>326139</v>
      </c>
      <c r="H1385">
        <v>0</v>
      </c>
      <c r="I1385" s="1">
        <v>0.34295508529893437</v>
      </c>
    </row>
    <row r="1386" spans="1:9" x14ac:dyDescent="0.3">
      <c r="A1386" t="s">
        <v>30</v>
      </c>
      <c r="B1386">
        <v>2019</v>
      </c>
      <c r="C1386">
        <v>1</v>
      </c>
      <c r="D1386" t="s">
        <v>13</v>
      </c>
      <c r="E1386">
        <v>703</v>
      </c>
      <c r="F1386" s="6">
        <v>878916.04962929944</v>
      </c>
      <c r="G1386" s="5">
        <v>326139</v>
      </c>
      <c r="H1386">
        <v>0</v>
      </c>
      <c r="I1386" s="1">
        <v>2.6949124441704289</v>
      </c>
    </row>
    <row r="1387" spans="1:9" x14ac:dyDescent="0.3">
      <c r="A1387" t="s">
        <v>30</v>
      </c>
      <c r="B1387">
        <v>2019</v>
      </c>
      <c r="C1387">
        <v>2</v>
      </c>
      <c r="D1387" t="s">
        <v>10</v>
      </c>
      <c r="E1387">
        <v>34202</v>
      </c>
      <c r="F1387" s="6">
        <v>240305709.92824298</v>
      </c>
      <c r="G1387" s="5">
        <v>390676</v>
      </c>
      <c r="H1387">
        <v>1730487</v>
      </c>
      <c r="I1387" s="1">
        <v>615.10230965875303</v>
      </c>
    </row>
    <row r="1388" spans="1:9" x14ac:dyDescent="0.3">
      <c r="A1388" t="s">
        <v>30</v>
      </c>
      <c r="B1388">
        <v>2019</v>
      </c>
      <c r="C1388">
        <v>2</v>
      </c>
      <c r="D1388" t="s">
        <v>9</v>
      </c>
      <c r="E1388">
        <v>25357</v>
      </c>
      <c r="F1388" s="6">
        <v>10116773.366134495</v>
      </c>
      <c r="G1388" s="5">
        <v>390676</v>
      </c>
      <c r="H1388">
        <v>1730487</v>
      </c>
      <c r="I1388" s="1">
        <v>25.895558893135217</v>
      </c>
    </row>
    <row r="1389" spans="1:9" x14ac:dyDescent="0.3">
      <c r="A1389" t="s">
        <v>30</v>
      </c>
      <c r="B1389">
        <v>2019</v>
      </c>
      <c r="C1389">
        <v>2</v>
      </c>
      <c r="D1389" t="s">
        <v>11</v>
      </c>
      <c r="E1389">
        <v>8220</v>
      </c>
      <c r="F1389" s="6">
        <v>7726519.3677582052</v>
      </c>
      <c r="G1389" s="5">
        <v>390676</v>
      </c>
      <c r="H1389">
        <v>1730487</v>
      </c>
      <c r="I1389" s="1">
        <v>19.777307456199523</v>
      </c>
    </row>
    <row r="1390" spans="1:9" x14ac:dyDescent="0.3">
      <c r="A1390" t="s">
        <v>30</v>
      </c>
      <c r="B1390">
        <v>2019</v>
      </c>
      <c r="C1390">
        <v>2</v>
      </c>
      <c r="D1390" t="s">
        <v>12</v>
      </c>
      <c r="E1390">
        <v>86</v>
      </c>
      <c r="F1390" s="6">
        <v>113767.09768193656</v>
      </c>
      <c r="G1390" s="5">
        <v>390676</v>
      </c>
      <c r="H1390">
        <v>1730487</v>
      </c>
      <c r="I1390" s="1">
        <v>0.29120575024300588</v>
      </c>
    </row>
    <row r="1391" spans="1:9" x14ac:dyDescent="0.3">
      <c r="A1391" t="s">
        <v>30</v>
      </c>
      <c r="B1391">
        <v>2019</v>
      </c>
      <c r="C1391">
        <v>2</v>
      </c>
      <c r="D1391" t="s">
        <v>13</v>
      </c>
      <c r="E1391">
        <v>907</v>
      </c>
      <c r="F1391" s="6">
        <v>992737.23760735756</v>
      </c>
      <c r="G1391" s="5">
        <v>390676</v>
      </c>
      <c r="H1391">
        <v>1730487</v>
      </c>
      <c r="I1391" s="1">
        <v>2.5410755654490105</v>
      </c>
    </row>
    <row r="1392" spans="1:9" x14ac:dyDescent="0.3">
      <c r="A1392" t="s">
        <v>30</v>
      </c>
      <c r="B1392">
        <v>2019</v>
      </c>
      <c r="C1392">
        <v>3</v>
      </c>
      <c r="D1392" t="s">
        <v>10</v>
      </c>
      <c r="E1392">
        <v>43198</v>
      </c>
      <c r="F1392" s="6">
        <v>303596367.67958534</v>
      </c>
      <c r="G1392" s="5">
        <v>430903</v>
      </c>
      <c r="H1392">
        <v>5534386</v>
      </c>
      <c r="I1392" s="1">
        <v>704.55849153889699</v>
      </c>
    </row>
    <row r="1393" spans="1:9" x14ac:dyDescent="0.3">
      <c r="A1393" t="s">
        <v>30</v>
      </c>
      <c r="B1393">
        <v>2019</v>
      </c>
      <c r="C1393">
        <v>3</v>
      </c>
      <c r="D1393" t="s">
        <v>9</v>
      </c>
      <c r="E1393">
        <v>41491</v>
      </c>
      <c r="F1393" s="6">
        <v>18054746.121448334</v>
      </c>
      <c r="G1393" s="5">
        <v>430903</v>
      </c>
      <c r="H1393">
        <v>5534386</v>
      </c>
      <c r="I1393" s="1">
        <v>41.899792114346695</v>
      </c>
    </row>
    <row r="1394" spans="1:9" x14ac:dyDescent="0.3">
      <c r="A1394" t="s">
        <v>30</v>
      </c>
      <c r="B1394">
        <v>2019</v>
      </c>
      <c r="C1394">
        <v>3</v>
      </c>
      <c r="D1394" t="s">
        <v>11</v>
      </c>
      <c r="E1394">
        <v>6963</v>
      </c>
      <c r="F1394" s="6">
        <v>8096082.9712299006</v>
      </c>
      <c r="G1394" s="5">
        <v>430903</v>
      </c>
      <c r="H1394">
        <v>5534386</v>
      </c>
      <c r="I1394" s="1">
        <v>18.788643781152373</v>
      </c>
    </row>
    <row r="1395" spans="1:9" x14ac:dyDescent="0.3">
      <c r="A1395" t="s">
        <v>30</v>
      </c>
      <c r="B1395">
        <v>2019</v>
      </c>
      <c r="C1395">
        <v>3</v>
      </c>
      <c r="D1395" t="s">
        <v>12</v>
      </c>
      <c r="E1395">
        <v>48</v>
      </c>
      <c r="F1395" s="6">
        <v>148633.29469977494</v>
      </c>
      <c r="G1395" s="5">
        <v>430903</v>
      </c>
      <c r="H1395">
        <v>5534386</v>
      </c>
      <c r="I1395" s="1">
        <v>0.3449344625119225</v>
      </c>
    </row>
    <row r="1396" spans="1:9" x14ac:dyDescent="0.3">
      <c r="A1396" t="s">
        <v>30</v>
      </c>
      <c r="B1396">
        <v>2019</v>
      </c>
      <c r="C1396">
        <v>3</v>
      </c>
      <c r="D1396" t="s">
        <v>13</v>
      </c>
      <c r="E1396">
        <v>696</v>
      </c>
      <c r="F1396" s="6">
        <v>1233697.1268589406</v>
      </c>
      <c r="G1396" s="5">
        <v>430903</v>
      </c>
      <c r="H1396">
        <v>5534386</v>
      </c>
      <c r="I1396" s="1">
        <v>2.8630506792919532</v>
      </c>
    </row>
    <row r="1397" spans="1:9" x14ac:dyDescent="0.3">
      <c r="A1397" t="s">
        <v>30</v>
      </c>
      <c r="B1397">
        <v>2019</v>
      </c>
      <c r="C1397">
        <v>4</v>
      </c>
      <c r="D1397" t="s">
        <v>10</v>
      </c>
      <c r="E1397">
        <v>42095</v>
      </c>
      <c r="F1397" s="6">
        <v>298044908.50757861</v>
      </c>
      <c r="G1397" s="5">
        <v>474188</v>
      </c>
      <c r="H1397">
        <v>5174840</v>
      </c>
      <c r="I1397" s="1">
        <v>628.53743348119019</v>
      </c>
    </row>
    <row r="1398" spans="1:9" x14ac:dyDescent="0.3">
      <c r="A1398" t="s">
        <v>30</v>
      </c>
      <c r="B1398">
        <v>2019</v>
      </c>
      <c r="C1398">
        <v>4</v>
      </c>
      <c r="D1398" t="s">
        <v>9</v>
      </c>
      <c r="E1398">
        <v>35467</v>
      </c>
      <c r="F1398" s="6">
        <v>16510212.100753112</v>
      </c>
      <c r="G1398" s="5">
        <v>474188</v>
      </c>
      <c r="H1398">
        <v>5174840</v>
      </c>
      <c r="I1398" s="1">
        <v>34.817861482688535</v>
      </c>
    </row>
    <row r="1399" spans="1:9" x14ac:dyDescent="0.3">
      <c r="A1399" t="s">
        <v>30</v>
      </c>
      <c r="B1399">
        <v>2019</v>
      </c>
      <c r="C1399">
        <v>4</v>
      </c>
      <c r="D1399" t="s">
        <v>11</v>
      </c>
      <c r="E1399">
        <v>6522</v>
      </c>
      <c r="F1399" s="6">
        <v>8717893.8999293875</v>
      </c>
      <c r="G1399" s="5">
        <v>474188</v>
      </c>
      <c r="H1399">
        <v>5174840</v>
      </c>
      <c r="I1399" s="1">
        <v>18.38488932644729</v>
      </c>
    </row>
    <row r="1400" spans="1:9" x14ac:dyDescent="0.3">
      <c r="A1400" t="s">
        <v>30</v>
      </c>
      <c r="B1400">
        <v>2019</v>
      </c>
      <c r="C1400">
        <v>4</v>
      </c>
      <c r="D1400" t="s">
        <v>12</v>
      </c>
      <c r="E1400">
        <v>46</v>
      </c>
      <c r="F1400" s="6">
        <v>162760.63254625077</v>
      </c>
      <c r="G1400" s="5">
        <v>474188</v>
      </c>
      <c r="H1400">
        <v>5174840</v>
      </c>
      <c r="I1400" s="1">
        <v>0.34324072424070362</v>
      </c>
    </row>
    <row r="1401" spans="1:9" x14ac:dyDescent="0.3">
      <c r="A1401" t="s">
        <v>30</v>
      </c>
      <c r="B1401">
        <v>2019</v>
      </c>
      <c r="C1401">
        <v>4</v>
      </c>
      <c r="D1401" t="s">
        <v>13</v>
      </c>
      <c r="E1401">
        <v>576</v>
      </c>
      <c r="F1401" s="6">
        <v>1253584.887304229</v>
      </c>
      <c r="G1401" s="5">
        <v>474188</v>
      </c>
      <c r="H1401">
        <v>5174840</v>
      </c>
      <c r="I1401" s="1">
        <v>2.6436453206412414</v>
      </c>
    </row>
    <row r="1402" spans="1:9" x14ac:dyDescent="0.3">
      <c r="A1402" t="s">
        <v>30</v>
      </c>
      <c r="B1402">
        <v>2020</v>
      </c>
      <c r="C1402">
        <v>1</v>
      </c>
      <c r="D1402" t="s">
        <v>10</v>
      </c>
      <c r="E1402">
        <v>51560</v>
      </c>
      <c r="F1402" s="6">
        <v>339551900.3873952</v>
      </c>
      <c r="G1402" s="5">
        <v>525690</v>
      </c>
      <c r="H1402">
        <v>6495324</v>
      </c>
      <c r="I1402" s="1">
        <v>645.91660558008562</v>
      </c>
    </row>
    <row r="1403" spans="1:9" x14ac:dyDescent="0.3">
      <c r="A1403" t="s">
        <v>30</v>
      </c>
      <c r="B1403">
        <v>2020</v>
      </c>
      <c r="C1403">
        <v>1</v>
      </c>
      <c r="D1403" t="s">
        <v>9</v>
      </c>
      <c r="E1403">
        <v>49801</v>
      </c>
      <c r="F1403" s="6">
        <v>23010664.720232859</v>
      </c>
      <c r="G1403" s="5">
        <v>525690</v>
      </c>
      <c r="H1403">
        <v>6495324</v>
      </c>
      <c r="I1403" s="1">
        <v>43.772308242943289</v>
      </c>
    </row>
    <row r="1404" spans="1:9" x14ac:dyDescent="0.3">
      <c r="A1404" t="s">
        <v>30</v>
      </c>
      <c r="B1404">
        <v>2020</v>
      </c>
      <c r="C1404">
        <v>1</v>
      </c>
      <c r="D1404" t="s">
        <v>11</v>
      </c>
      <c r="E1404">
        <v>14264</v>
      </c>
      <c r="F1404" s="6">
        <v>13338124.271892821</v>
      </c>
      <c r="G1404" s="5">
        <v>525690</v>
      </c>
      <c r="H1404">
        <v>6495324</v>
      </c>
      <c r="I1404" s="1">
        <v>25.372604142922295</v>
      </c>
    </row>
    <row r="1405" spans="1:9" x14ac:dyDescent="0.3">
      <c r="A1405" t="s">
        <v>30</v>
      </c>
      <c r="B1405">
        <v>2020</v>
      </c>
      <c r="C1405">
        <v>1</v>
      </c>
      <c r="D1405" t="s">
        <v>12</v>
      </c>
      <c r="E1405">
        <v>204</v>
      </c>
      <c r="F1405" s="6">
        <v>583108.94554837735</v>
      </c>
      <c r="G1405" s="5">
        <v>525690</v>
      </c>
      <c r="H1405">
        <v>6495324</v>
      </c>
      <c r="I1405" s="1">
        <v>1.109225866096706</v>
      </c>
    </row>
    <row r="1406" spans="1:9" x14ac:dyDescent="0.3">
      <c r="A1406" t="s">
        <v>30</v>
      </c>
      <c r="B1406">
        <v>2020</v>
      </c>
      <c r="C1406">
        <v>1</v>
      </c>
      <c r="D1406" t="s">
        <v>13</v>
      </c>
      <c r="E1406">
        <v>590</v>
      </c>
      <c r="F1406" s="6">
        <v>1155879.1206742569</v>
      </c>
      <c r="G1406" s="5">
        <v>525690</v>
      </c>
      <c r="H1406">
        <v>6495324</v>
      </c>
      <c r="I1406" s="1">
        <v>2.1987846842706862</v>
      </c>
    </row>
    <row r="1407" spans="1:9" x14ac:dyDescent="0.3">
      <c r="A1407" t="s">
        <v>30</v>
      </c>
      <c r="B1407">
        <v>2020</v>
      </c>
      <c r="C1407">
        <v>2</v>
      </c>
      <c r="D1407" t="s">
        <v>9</v>
      </c>
      <c r="E1407">
        <v>70601</v>
      </c>
      <c r="F1407" s="6">
        <v>32087339.266190995</v>
      </c>
      <c r="G1407" s="5">
        <v>583374</v>
      </c>
      <c r="H1407">
        <v>7652403</v>
      </c>
      <c r="I1407" s="1">
        <v>55.003032816325366</v>
      </c>
    </row>
    <row r="1408" spans="1:9" x14ac:dyDescent="0.3">
      <c r="A1408" t="s">
        <v>30</v>
      </c>
      <c r="B1408">
        <v>2020</v>
      </c>
      <c r="C1408">
        <v>2</v>
      </c>
      <c r="D1408" t="s">
        <v>10</v>
      </c>
      <c r="E1408">
        <v>68450</v>
      </c>
      <c r="F1408" s="6">
        <v>470749365.09816045</v>
      </c>
      <c r="G1408" s="5">
        <v>583374</v>
      </c>
      <c r="H1408">
        <v>7652403</v>
      </c>
      <c r="I1408" s="1">
        <v>806.94265616595953</v>
      </c>
    </row>
    <row r="1409" spans="1:9" x14ac:dyDescent="0.3">
      <c r="A1409" t="s">
        <v>30</v>
      </c>
      <c r="B1409">
        <v>2020</v>
      </c>
      <c r="C1409">
        <v>2</v>
      </c>
      <c r="D1409" t="s">
        <v>11</v>
      </c>
      <c r="E1409">
        <v>15132</v>
      </c>
      <c r="F1409" s="6">
        <v>19679330.186414924</v>
      </c>
      <c r="G1409" s="5">
        <v>583374</v>
      </c>
      <c r="H1409">
        <v>7652403</v>
      </c>
      <c r="I1409" s="1">
        <v>33.733642888464217</v>
      </c>
    </row>
    <row r="1410" spans="1:9" x14ac:dyDescent="0.3">
      <c r="A1410" t="s">
        <v>30</v>
      </c>
      <c r="B1410">
        <v>2020</v>
      </c>
      <c r="C1410">
        <v>2</v>
      </c>
      <c r="D1410" t="s">
        <v>12</v>
      </c>
      <c r="E1410">
        <v>337</v>
      </c>
      <c r="F1410" s="6">
        <v>786069.16307688178</v>
      </c>
      <c r="G1410" s="5">
        <v>583374</v>
      </c>
      <c r="H1410">
        <v>7652403</v>
      </c>
      <c r="I1410" s="1">
        <v>1.3474531999658568</v>
      </c>
    </row>
    <row r="1411" spans="1:9" x14ac:dyDescent="0.3">
      <c r="A1411" t="s">
        <v>30</v>
      </c>
      <c r="B1411">
        <v>2020</v>
      </c>
      <c r="C1411">
        <v>2</v>
      </c>
      <c r="D1411" t="s">
        <v>13</v>
      </c>
      <c r="E1411">
        <v>490</v>
      </c>
      <c r="F1411" s="6">
        <v>490894.93818109273</v>
      </c>
      <c r="G1411" s="5">
        <v>583374</v>
      </c>
      <c r="H1411">
        <v>7652403</v>
      </c>
      <c r="I1411" s="1">
        <v>0.84147551687441113</v>
      </c>
    </row>
    <row r="1412" spans="1:9" x14ac:dyDescent="0.3">
      <c r="A1412" t="s">
        <v>30</v>
      </c>
      <c r="B1412">
        <v>2020</v>
      </c>
      <c r="C1412">
        <v>3</v>
      </c>
      <c r="D1412" t="s">
        <v>10</v>
      </c>
      <c r="E1412">
        <v>108345</v>
      </c>
      <c r="F1412" s="6">
        <v>751333715.28960311</v>
      </c>
      <c r="G1412" s="5">
        <v>642411</v>
      </c>
      <c r="H1412">
        <v>11172480</v>
      </c>
      <c r="I1412" s="1">
        <v>1169.5530046801862</v>
      </c>
    </row>
    <row r="1413" spans="1:9" x14ac:dyDescent="0.3">
      <c r="A1413" t="s">
        <v>30</v>
      </c>
      <c r="B1413">
        <v>2020</v>
      </c>
      <c r="C1413">
        <v>3</v>
      </c>
      <c r="D1413" t="s">
        <v>9</v>
      </c>
      <c r="E1413">
        <v>81623</v>
      </c>
      <c r="F1413" s="6">
        <v>40380074.550141789</v>
      </c>
      <c r="G1413" s="5">
        <v>642411</v>
      </c>
      <c r="H1413">
        <v>11172480</v>
      </c>
      <c r="I1413" s="1">
        <v>62.857072108263694</v>
      </c>
    </row>
    <row r="1414" spans="1:9" x14ac:dyDescent="0.3">
      <c r="A1414" t="s">
        <v>30</v>
      </c>
      <c r="B1414">
        <v>2020</v>
      </c>
      <c r="C1414">
        <v>3</v>
      </c>
      <c r="D1414" t="s">
        <v>11</v>
      </c>
      <c r="E1414">
        <v>36861</v>
      </c>
      <c r="F1414" s="6">
        <v>40538778.756517448</v>
      </c>
      <c r="G1414" s="5">
        <v>642411</v>
      </c>
      <c r="H1414">
        <v>11172480</v>
      </c>
      <c r="I1414" s="1">
        <v>63.104116767174673</v>
      </c>
    </row>
    <row r="1415" spans="1:9" x14ac:dyDescent="0.3">
      <c r="A1415" t="s">
        <v>30</v>
      </c>
      <c r="B1415">
        <v>2020</v>
      </c>
      <c r="C1415">
        <v>3</v>
      </c>
      <c r="D1415" t="s">
        <v>12</v>
      </c>
      <c r="E1415">
        <v>621</v>
      </c>
      <c r="F1415" s="6">
        <v>2334917.7832646337</v>
      </c>
      <c r="G1415" s="5">
        <v>642411</v>
      </c>
      <c r="H1415">
        <v>11172480</v>
      </c>
      <c r="I1415" s="1">
        <v>3.6346167535497269</v>
      </c>
    </row>
    <row r="1416" spans="1:9" x14ac:dyDescent="0.3">
      <c r="A1416" t="s">
        <v>30</v>
      </c>
      <c r="B1416">
        <v>2020</v>
      </c>
      <c r="C1416">
        <v>3</v>
      </c>
      <c r="D1416" t="s">
        <v>13</v>
      </c>
      <c r="E1416">
        <v>772</v>
      </c>
      <c r="F1416" s="6">
        <v>900013.67866625905</v>
      </c>
      <c r="G1416" s="5">
        <v>642411</v>
      </c>
      <c r="H1416">
        <v>11172480</v>
      </c>
      <c r="I1416" s="1">
        <v>1.4009935674611098</v>
      </c>
    </row>
    <row r="1417" spans="1:9" x14ac:dyDescent="0.3">
      <c r="A1417" t="s">
        <v>30</v>
      </c>
      <c r="B1417">
        <v>2020</v>
      </c>
      <c r="C1417">
        <v>4</v>
      </c>
      <c r="D1417" t="s">
        <v>10</v>
      </c>
      <c r="E1417">
        <v>151582</v>
      </c>
      <c r="F1417" s="6">
        <v>985814864.34291232</v>
      </c>
      <c r="G1417" s="5">
        <v>713383</v>
      </c>
      <c r="H1417">
        <v>13560327</v>
      </c>
      <c r="I1417" s="1">
        <v>1381.887239172944</v>
      </c>
    </row>
    <row r="1418" spans="1:9" x14ac:dyDescent="0.3">
      <c r="A1418" t="s">
        <v>30</v>
      </c>
      <c r="B1418">
        <v>2020</v>
      </c>
      <c r="C1418">
        <v>4</v>
      </c>
      <c r="D1418" t="s">
        <v>9</v>
      </c>
      <c r="E1418">
        <v>94133</v>
      </c>
      <c r="F1418" s="6">
        <v>44185250.863645099</v>
      </c>
      <c r="G1418" s="5">
        <v>713383</v>
      </c>
      <c r="H1418">
        <v>13560327</v>
      </c>
      <c r="I1418" s="1">
        <v>61.937627983348492</v>
      </c>
    </row>
    <row r="1419" spans="1:9" x14ac:dyDescent="0.3">
      <c r="A1419" t="s">
        <v>30</v>
      </c>
      <c r="B1419">
        <v>2020</v>
      </c>
      <c r="C1419">
        <v>4</v>
      </c>
      <c r="D1419" t="s">
        <v>11</v>
      </c>
      <c r="E1419">
        <v>83868</v>
      </c>
      <c r="F1419" s="6">
        <v>77511378.307394445</v>
      </c>
      <c r="G1419" s="5">
        <v>713383</v>
      </c>
      <c r="H1419">
        <v>13560327</v>
      </c>
      <c r="I1419" s="1">
        <v>108.65324560214421</v>
      </c>
    </row>
    <row r="1420" spans="1:9" x14ac:dyDescent="0.3">
      <c r="A1420" t="s">
        <v>30</v>
      </c>
      <c r="B1420">
        <v>2020</v>
      </c>
      <c r="C1420">
        <v>4</v>
      </c>
      <c r="D1420" t="s">
        <v>12</v>
      </c>
      <c r="E1420">
        <v>729</v>
      </c>
      <c r="F1420" s="6">
        <v>1965054.5898611392</v>
      </c>
      <c r="G1420" s="5">
        <v>713383</v>
      </c>
      <c r="H1420">
        <v>13560327</v>
      </c>
      <c r="I1420" s="1">
        <v>2.75455763574565</v>
      </c>
    </row>
    <row r="1421" spans="1:9" x14ac:dyDescent="0.3">
      <c r="A1421" t="s">
        <v>30</v>
      </c>
      <c r="B1421">
        <v>2020</v>
      </c>
      <c r="C1421">
        <v>4</v>
      </c>
      <c r="D1421" t="s">
        <v>13</v>
      </c>
      <c r="E1421">
        <v>1822</v>
      </c>
      <c r="F1421" s="6">
        <v>2486922.4041473325</v>
      </c>
      <c r="G1421" s="5">
        <v>713383</v>
      </c>
      <c r="H1421">
        <v>13560327</v>
      </c>
      <c r="I1421" s="1">
        <v>3.486097095315325</v>
      </c>
    </row>
    <row r="1422" spans="1:9" x14ac:dyDescent="0.3">
      <c r="A1422" t="s">
        <v>30</v>
      </c>
      <c r="B1422">
        <v>2021</v>
      </c>
      <c r="C1422">
        <v>1</v>
      </c>
      <c r="D1422" t="s">
        <v>10</v>
      </c>
      <c r="E1422">
        <v>141894</v>
      </c>
      <c r="F1422" s="6">
        <v>869999786.15139341</v>
      </c>
      <c r="G1422" s="5">
        <v>769109</v>
      </c>
      <c r="H1422">
        <v>13026244</v>
      </c>
      <c r="I1422" s="1">
        <v>1131.1787875988884</v>
      </c>
    </row>
    <row r="1423" spans="1:9" x14ac:dyDescent="0.3">
      <c r="A1423" t="s">
        <v>30</v>
      </c>
      <c r="B1423">
        <v>2021</v>
      </c>
      <c r="C1423">
        <v>1</v>
      </c>
      <c r="D1423" t="s">
        <v>9</v>
      </c>
      <c r="E1423">
        <v>72719</v>
      </c>
      <c r="F1423" s="6">
        <v>35459532.412106298</v>
      </c>
      <c r="G1423" s="5">
        <v>769109</v>
      </c>
      <c r="H1423">
        <v>13026244</v>
      </c>
      <c r="I1423" s="1">
        <v>46.104690508245639</v>
      </c>
    </row>
    <row r="1424" spans="1:9" x14ac:dyDescent="0.3">
      <c r="A1424" t="s">
        <v>30</v>
      </c>
      <c r="B1424">
        <v>2021</v>
      </c>
      <c r="C1424">
        <v>1</v>
      </c>
      <c r="D1424" t="s">
        <v>11</v>
      </c>
      <c r="E1424">
        <v>58875</v>
      </c>
      <c r="F1424" s="6">
        <v>74977913.472374335</v>
      </c>
      <c r="G1424" s="5">
        <v>769109</v>
      </c>
      <c r="H1424">
        <v>13026244</v>
      </c>
      <c r="I1424" s="1">
        <v>97.486719661809104</v>
      </c>
    </row>
    <row r="1425" spans="1:9" x14ac:dyDescent="0.3">
      <c r="A1425" t="s">
        <v>30</v>
      </c>
      <c r="B1425">
        <v>2021</v>
      </c>
      <c r="C1425">
        <v>1</v>
      </c>
      <c r="D1425" t="s">
        <v>12</v>
      </c>
      <c r="E1425">
        <v>629</v>
      </c>
      <c r="F1425" s="6">
        <v>1455016.1482842809</v>
      </c>
      <c r="G1425" s="5">
        <v>769109</v>
      </c>
      <c r="H1425">
        <v>13026244</v>
      </c>
      <c r="I1425" s="1">
        <v>1.8918204679496415</v>
      </c>
    </row>
    <row r="1426" spans="1:9" x14ac:dyDescent="0.3">
      <c r="A1426" t="s">
        <v>30</v>
      </c>
      <c r="B1426">
        <v>2021</v>
      </c>
      <c r="C1426">
        <v>1</v>
      </c>
      <c r="D1426" t="s">
        <v>13</v>
      </c>
      <c r="E1426">
        <v>1298</v>
      </c>
      <c r="F1426" s="6">
        <v>1527565.0627209258</v>
      </c>
      <c r="G1426" s="5">
        <v>769109</v>
      </c>
      <c r="H1426">
        <v>13026244</v>
      </c>
      <c r="I1426" s="1">
        <v>1.98614898892215</v>
      </c>
    </row>
    <row r="1427" spans="1:9" x14ac:dyDescent="0.3">
      <c r="A1427" t="s">
        <v>30</v>
      </c>
      <c r="B1427">
        <v>2021</v>
      </c>
      <c r="C1427">
        <v>2</v>
      </c>
      <c r="D1427" t="s">
        <v>10</v>
      </c>
      <c r="E1427">
        <v>209818</v>
      </c>
      <c r="F1427" s="6">
        <v>1259044412.4358737</v>
      </c>
      <c r="G1427" s="5">
        <v>825528</v>
      </c>
      <c r="H1427">
        <v>48307952</v>
      </c>
      <c r="I1427" s="1">
        <v>1525.1383507717167</v>
      </c>
    </row>
    <row r="1428" spans="1:9" x14ac:dyDescent="0.3">
      <c r="A1428" t="s">
        <v>30</v>
      </c>
      <c r="B1428">
        <v>2021</v>
      </c>
      <c r="C1428">
        <v>2</v>
      </c>
      <c r="D1428" t="s">
        <v>9</v>
      </c>
      <c r="E1428">
        <v>95458</v>
      </c>
      <c r="F1428" s="6">
        <v>44754721.828153409</v>
      </c>
      <c r="G1428" s="5">
        <v>825528</v>
      </c>
      <c r="H1428">
        <v>48307952</v>
      </c>
      <c r="I1428" s="1">
        <v>54.213451061809423</v>
      </c>
    </row>
    <row r="1429" spans="1:9" x14ac:dyDescent="0.3">
      <c r="A1429" t="s">
        <v>30</v>
      </c>
      <c r="B1429">
        <v>2021</v>
      </c>
      <c r="C1429">
        <v>2</v>
      </c>
      <c r="D1429" t="s">
        <v>11</v>
      </c>
      <c r="E1429">
        <v>92078</v>
      </c>
      <c r="F1429" s="6">
        <v>119608470.04115529</v>
      </c>
      <c r="G1429" s="5">
        <v>825528</v>
      </c>
      <c r="H1429">
        <v>48307952</v>
      </c>
      <c r="I1429" s="1">
        <v>144.88723585530144</v>
      </c>
    </row>
    <row r="1430" spans="1:9" x14ac:dyDescent="0.3">
      <c r="A1430" t="s">
        <v>30</v>
      </c>
      <c r="B1430">
        <v>2021</v>
      </c>
      <c r="C1430">
        <v>2</v>
      </c>
      <c r="D1430" t="s">
        <v>12</v>
      </c>
      <c r="E1430">
        <v>755</v>
      </c>
      <c r="F1430" s="6">
        <v>1756762.1471181023</v>
      </c>
      <c r="G1430" s="5">
        <v>825528</v>
      </c>
      <c r="H1430">
        <v>48307952</v>
      </c>
      <c r="I1430" s="1">
        <v>2.12804671327696</v>
      </c>
    </row>
    <row r="1431" spans="1:9" x14ac:dyDescent="0.3">
      <c r="A1431" t="s">
        <v>30</v>
      </c>
      <c r="B1431">
        <v>2021</v>
      </c>
      <c r="C1431">
        <v>2</v>
      </c>
      <c r="D1431" t="s">
        <v>13</v>
      </c>
      <c r="E1431">
        <v>1607</v>
      </c>
      <c r="F1431" s="6">
        <v>2094729.0180191218</v>
      </c>
      <c r="G1431" s="5">
        <v>825528</v>
      </c>
      <c r="H1431">
        <v>48307952</v>
      </c>
      <c r="I1431" s="1">
        <v>2.5374415138179707</v>
      </c>
    </row>
    <row r="1432" spans="1:9" x14ac:dyDescent="0.3">
      <c r="A1432" t="s">
        <v>30</v>
      </c>
      <c r="B1432">
        <v>2021</v>
      </c>
      <c r="C1432">
        <v>3</v>
      </c>
      <c r="D1432" t="s">
        <v>10</v>
      </c>
      <c r="E1432">
        <v>330919</v>
      </c>
      <c r="F1432" s="6">
        <v>1917311078.1287262</v>
      </c>
      <c r="G1432" s="5">
        <v>893310</v>
      </c>
      <c r="H1432">
        <v>78095050</v>
      </c>
      <c r="I1432" s="1">
        <v>2146.299804243461</v>
      </c>
    </row>
    <row r="1433" spans="1:9" x14ac:dyDescent="0.3">
      <c r="A1433" t="s">
        <v>30</v>
      </c>
      <c r="B1433">
        <v>2021</v>
      </c>
      <c r="C1433">
        <v>3</v>
      </c>
      <c r="D1433" t="s">
        <v>11</v>
      </c>
      <c r="E1433">
        <v>135108</v>
      </c>
      <c r="F1433" s="6">
        <v>233260756.5088715</v>
      </c>
      <c r="G1433" s="5">
        <v>893310</v>
      </c>
      <c r="H1433">
        <v>78095050</v>
      </c>
      <c r="I1433" s="1">
        <v>261.11960742505011</v>
      </c>
    </row>
    <row r="1434" spans="1:9" x14ac:dyDescent="0.3">
      <c r="A1434" t="s">
        <v>30</v>
      </c>
      <c r="B1434">
        <v>2021</v>
      </c>
      <c r="C1434">
        <v>3</v>
      </c>
      <c r="D1434" t="s">
        <v>9</v>
      </c>
      <c r="E1434">
        <v>121856</v>
      </c>
      <c r="F1434" s="6">
        <v>58750081.815117203</v>
      </c>
      <c r="G1434" s="5">
        <v>893310</v>
      </c>
      <c r="H1434">
        <v>78095050</v>
      </c>
      <c r="I1434" s="1">
        <v>65.766734745068575</v>
      </c>
    </row>
    <row r="1435" spans="1:9" x14ac:dyDescent="0.3">
      <c r="A1435" t="s">
        <v>30</v>
      </c>
      <c r="B1435">
        <v>2021</v>
      </c>
      <c r="C1435">
        <v>3</v>
      </c>
      <c r="D1435" t="s">
        <v>12</v>
      </c>
      <c r="E1435">
        <v>900</v>
      </c>
      <c r="F1435" s="6">
        <v>1911625.5446910746</v>
      </c>
      <c r="G1435" s="5">
        <v>893310</v>
      </c>
      <c r="H1435">
        <v>78095050</v>
      </c>
      <c r="I1435" s="1">
        <v>2.1399352349028611</v>
      </c>
    </row>
    <row r="1436" spans="1:9" x14ac:dyDescent="0.3">
      <c r="A1436" t="s">
        <v>30</v>
      </c>
      <c r="B1436">
        <v>2021</v>
      </c>
      <c r="C1436">
        <v>3</v>
      </c>
      <c r="D1436" t="s">
        <v>13</v>
      </c>
      <c r="E1436">
        <v>2204</v>
      </c>
      <c r="F1436" s="6">
        <v>2751201.9371823343</v>
      </c>
      <c r="G1436" s="5">
        <v>893310</v>
      </c>
      <c r="H1436">
        <v>78095050</v>
      </c>
      <c r="I1436" s="1">
        <v>3.0797841031470981</v>
      </c>
    </row>
    <row r="1437" spans="1:9" x14ac:dyDescent="0.3">
      <c r="A1437" t="s">
        <v>30</v>
      </c>
      <c r="B1437">
        <v>2021</v>
      </c>
      <c r="C1437">
        <v>4</v>
      </c>
      <c r="D1437" t="s">
        <v>10</v>
      </c>
      <c r="E1437">
        <v>337120</v>
      </c>
      <c r="F1437" s="6">
        <v>1804428550.1884875</v>
      </c>
      <c r="G1437" s="5">
        <v>957627</v>
      </c>
      <c r="H1437">
        <v>29317233</v>
      </c>
      <c r="I1437" s="1">
        <v>1884.2707548852397</v>
      </c>
    </row>
    <row r="1438" spans="1:9" x14ac:dyDescent="0.3">
      <c r="A1438" t="s">
        <v>30</v>
      </c>
      <c r="B1438">
        <v>2021</v>
      </c>
      <c r="C1438">
        <v>4</v>
      </c>
      <c r="D1438" t="s">
        <v>11</v>
      </c>
      <c r="E1438">
        <v>169110</v>
      </c>
      <c r="F1438" s="6">
        <v>284786365.92960173</v>
      </c>
      <c r="G1438" s="5">
        <v>957627</v>
      </c>
      <c r="H1438">
        <v>29317233</v>
      </c>
      <c r="I1438" s="1">
        <v>297.38756940813255</v>
      </c>
    </row>
    <row r="1439" spans="1:9" x14ac:dyDescent="0.3">
      <c r="A1439" t="s">
        <v>30</v>
      </c>
      <c r="B1439">
        <v>2021</v>
      </c>
      <c r="C1439">
        <v>4</v>
      </c>
      <c r="D1439" t="s">
        <v>9</v>
      </c>
      <c r="E1439">
        <v>120607</v>
      </c>
      <c r="F1439" s="6">
        <v>58403893.472532429</v>
      </c>
      <c r="G1439" s="5">
        <v>957627</v>
      </c>
      <c r="H1439">
        <v>29317233</v>
      </c>
      <c r="I1439" s="1">
        <v>60.988144102591541</v>
      </c>
    </row>
    <row r="1440" spans="1:9" x14ac:dyDescent="0.3">
      <c r="A1440" t="s">
        <v>30</v>
      </c>
      <c r="B1440">
        <v>2021</v>
      </c>
      <c r="C1440">
        <v>4</v>
      </c>
      <c r="D1440" t="s">
        <v>12</v>
      </c>
      <c r="E1440">
        <v>912</v>
      </c>
      <c r="F1440" s="6">
        <v>3068708.9471209948</v>
      </c>
      <c r="G1440" s="5">
        <v>957627</v>
      </c>
      <c r="H1440">
        <v>29317233</v>
      </c>
      <c r="I1440" s="1">
        <v>3.2044929258688351</v>
      </c>
    </row>
    <row r="1441" spans="1:9" x14ac:dyDescent="0.3">
      <c r="A1441" t="s">
        <v>30</v>
      </c>
      <c r="B1441">
        <v>2021</v>
      </c>
      <c r="C1441">
        <v>4</v>
      </c>
      <c r="D1441" t="s">
        <v>13</v>
      </c>
      <c r="E1441">
        <v>2438</v>
      </c>
      <c r="F1441" s="6">
        <v>2847620.2425241945</v>
      </c>
      <c r="G1441" s="5">
        <v>957627</v>
      </c>
      <c r="H1441">
        <v>29317233</v>
      </c>
      <c r="I1441" s="1">
        <v>2.9736215066243896</v>
      </c>
    </row>
    <row r="1442" spans="1:9" x14ac:dyDescent="0.3">
      <c r="A1442" t="s">
        <v>31</v>
      </c>
      <c r="B1442">
        <v>2018</v>
      </c>
      <c r="C1442">
        <v>1</v>
      </c>
      <c r="D1442" t="s">
        <v>10</v>
      </c>
      <c r="E1442">
        <v>423</v>
      </c>
      <c r="F1442" s="6">
        <v>1860278.2784597143</v>
      </c>
      <c r="G1442" s="5">
        <v>5511</v>
      </c>
      <c r="H1442">
        <v>0</v>
      </c>
      <c r="I1442" s="1">
        <v>337.55729966607043</v>
      </c>
    </row>
    <row r="1443" spans="1:9" x14ac:dyDescent="0.3">
      <c r="A1443" t="s">
        <v>31</v>
      </c>
      <c r="B1443">
        <v>2018</v>
      </c>
      <c r="C1443">
        <v>1</v>
      </c>
      <c r="D1443" t="s">
        <v>9</v>
      </c>
      <c r="E1443">
        <v>342</v>
      </c>
      <c r="F1443" s="6">
        <v>61432.049385050741</v>
      </c>
      <c r="G1443" s="5">
        <v>5511</v>
      </c>
      <c r="H1443">
        <v>0</v>
      </c>
      <c r="I1443" s="1">
        <v>11.147169186182316</v>
      </c>
    </row>
    <row r="1444" spans="1:9" x14ac:dyDescent="0.3">
      <c r="A1444" t="s">
        <v>31</v>
      </c>
      <c r="B1444">
        <v>2018</v>
      </c>
      <c r="C1444">
        <v>1</v>
      </c>
      <c r="D1444" t="s">
        <v>11</v>
      </c>
      <c r="E1444">
        <v>5</v>
      </c>
      <c r="F1444" s="6">
        <v>590.7505138175776</v>
      </c>
      <c r="G1444" s="5">
        <v>5511</v>
      </c>
      <c r="H1444">
        <v>0</v>
      </c>
      <c r="I1444" s="1">
        <v>0.10719479474098668</v>
      </c>
    </row>
    <row r="1445" spans="1:9" x14ac:dyDescent="0.3">
      <c r="A1445" t="s">
        <v>31</v>
      </c>
      <c r="B1445">
        <v>2018</v>
      </c>
      <c r="C1445">
        <v>1</v>
      </c>
      <c r="D1445" t="s">
        <v>13</v>
      </c>
      <c r="E1445">
        <v>8</v>
      </c>
      <c r="F1445" s="6">
        <v>6310.1025191577146</v>
      </c>
      <c r="G1445" s="5">
        <v>5511</v>
      </c>
      <c r="H1445">
        <v>0</v>
      </c>
      <c r="I1445" s="1">
        <v>1.1450013643908028</v>
      </c>
    </row>
    <row r="1446" spans="1:9" x14ac:dyDescent="0.3">
      <c r="A1446" t="s">
        <v>31</v>
      </c>
      <c r="B1446">
        <v>2018</v>
      </c>
      <c r="C1446">
        <v>2</v>
      </c>
      <c r="D1446" t="s">
        <v>10</v>
      </c>
      <c r="E1446">
        <v>1315</v>
      </c>
      <c r="F1446" s="6">
        <v>5757123.0799193792</v>
      </c>
      <c r="G1446" s="5">
        <v>7546</v>
      </c>
      <c r="H1446">
        <v>0</v>
      </c>
      <c r="I1446" s="1">
        <v>762.93706333413456</v>
      </c>
    </row>
    <row r="1447" spans="1:9" x14ac:dyDescent="0.3">
      <c r="A1447" t="s">
        <v>31</v>
      </c>
      <c r="B1447">
        <v>2018</v>
      </c>
      <c r="C1447">
        <v>2</v>
      </c>
      <c r="D1447" t="s">
        <v>9</v>
      </c>
      <c r="E1447">
        <v>750</v>
      </c>
      <c r="F1447" s="6">
        <v>353202.79885100422</v>
      </c>
      <c r="G1447" s="5">
        <v>7546</v>
      </c>
      <c r="H1447">
        <v>0</v>
      </c>
      <c r="I1447" s="1">
        <v>46.806625874768649</v>
      </c>
    </row>
    <row r="1448" spans="1:9" x14ac:dyDescent="0.3">
      <c r="A1448" t="s">
        <v>31</v>
      </c>
      <c r="B1448">
        <v>2018</v>
      </c>
      <c r="C1448">
        <v>2</v>
      </c>
      <c r="D1448" t="s">
        <v>11</v>
      </c>
      <c r="E1448">
        <v>42</v>
      </c>
      <c r="F1448" s="6">
        <v>64568.477892795563</v>
      </c>
      <c r="G1448" s="5">
        <v>7546</v>
      </c>
      <c r="H1448">
        <v>0</v>
      </c>
      <c r="I1448" s="1">
        <v>8.5566496014836417</v>
      </c>
    </row>
    <row r="1449" spans="1:9" x14ac:dyDescent="0.3">
      <c r="A1449" t="s">
        <v>31</v>
      </c>
      <c r="B1449">
        <v>2018</v>
      </c>
      <c r="C1449">
        <v>2</v>
      </c>
      <c r="D1449" t="s">
        <v>12</v>
      </c>
      <c r="E1449">
        <v>6</v>
      </c>
      <c r="F1449" s="6">
        <v>9134.4132231589938</v>
      </c>
      <c r="G1449" s="5">
        <v>7546</v>
      </c>
      <c r="H1449">
        <v>0</v>
      </c>
      <c r="I1449" s="1">
        <v>1.2104973791623368</v>
      </c>
    </row>
    <row r="1450" spans="1:9" x14ac:dyDescent="0.3">
      <c r="A1450" t="s">
        <v>31</v>
      </c>
      <c r="B1450">
        <v>2018</v>
      </c>
      <c r="C1450">
        <v>2</v>
      </c>
      <c r="D1450" t="s">
        <v>13</v>
      </c>
      <c r="E1450">
        <v>19</v>
      </c>
      <c r="F1450" s="6">
        <v>3780.7695141997474</v>
      </c>
      <c r="G1450" s="5">
        <v>7546</v>
      </c>
      <c r="H1450">
        <v>0</v>
      </c>
      <c r="I1450" s="1">
        <v>0.501029620222601</v>
      </c>
    </row>
    <row r="1451" spans="1:9" x14ac:dyDescent="0.3">
      <c r="A1451" t="s">
        <v>31</v>
      </c>
      <c r="B1451">
        <v>2018</v>
      </c>
      <c r="C1451">
        <v>3</v>
      </c>
      <c r="D1451" t="s">
        <v>10</v>
      </c>
      <c r="E1451">
        <v>841</v>
      </c>
      <c r="F1451" s="6">
        <v>3926048.7448830502</v>
      </c>
      <c r="G1451" s="5">
        <v>10098</v>
      </c>
      <c r="H1451">
        <v>0</v>
      </c>
      <c r="I1451" s="1">
        <v>388.79468656001683</v>
      </c>
    </row>
    <row r="1452" spans="1:9" x14ac:dyDescent="0.3">
      <c r="A1452" t="s">
        <v>31</v>
      </c>
      <c r="B1452">
        <v>2018</v>
      </c>
      <c r="C1452">
        <v>3</v>
      </c>
      <c r="D1452" t="s">
        <v>9</v>
      </c>
      <c r="E1452">
        <v>760</v>
      </c>
      <c r="F1452" s="6">
        <v>300978.32420203416</v>
      </c>
      <c r="G1452" s="5">
        <v>10098</v>
      </c>
      <c r="H1452">
        <v>0</v>
      </c>
      <c r="I1452" s="1">
        <v>29.805736205390588</v>
      </c>
    </row>
    <row r="1453" spans="1:9" x14ac:dyDescent="0.3">
      <c r="A1453" t="s">
        <v>31</v>
      </c>
      <c r="B1453">
        <v>2018</v>
      </c>
      <c r="C1453">
        <v>3</v>
      </c>
      <c r="D1453" t="s">
        <v>11</v>
      </c>
      <c r="E1453">
        <v>87</v>
      </c>
      <c r="F1453" s="6">
        <v>94046.433330342057</v>
      </c>
      <c r="G1453" s="5">
        <v>10098</v>
      </c>
      <c r="H1453">
        <v>0</v>
      </c>
      <c r="I1453" s="1">
        <v>9.3133722846446876</v>
      </c>
    </row>
    <row r="1454" spans="1:9" x14ac:dyDescent="0.3">
      <c r="A1454" t="s">
        <v>31</v>
      </c>
      <c r="B1454">
        <v>2018</v>
      </c>
      <c r="C1454">
        <v>3</v>
      </c>
      <c r="D1454" t="s">
        <v>13</v>
      </c>
      <c r="E1454">
        <v>15</v>
      </c>
      <c r="F1454" s="6">
        <v>17958.809570422687</v>
      </c>
      <c r="G1454" s="5">
        <v>10098</v>
      </c>
      <c r="H1454">
        <v>0</v>
      </c>
      <c r="I1454" s="1">
        <v>1.7784521262054553</v>
      </c>
    </row>
    <row r="1455" spans="1:9" x14ac:dyDescent="0.3">
      <c r="A1455" t="s">
        <v>31</v>
      </c>
      <c r="B1455">
        <v>2018</v>
      </c>
      <c r="C1455">
        <v>4</v>
      </c>
      <c r="D1455" t="s">
        <v>9</v>
      </c>
      <c r="E1455">
        <v>792</v>
      </c>
      <c r="F1455" s="6">
        <v>351201.08790004038</v>
      </c>
      <c r="G1455" s="5">
        <v>12716</v>
      </c>
      <c r="H1455">
        <v>0</v>
      </c>
      <c r="I1455" s="1">
        <v>27.618833587609341</v>
      </c>
    </row>
    <row r="1456" spans="1:9" x14ac:dyDescent="0.3">
      <c r="A1456" t="s">
        <v>31</v>
      </c>
      <c r="B1456">
        <v>2018</v>
      </c>
      <c r="C1456">
        <v>4</v>
      </c>
      <c r="D1456" t="s">
        <v>10</v>
      </c>
      <c r="E1456">
        <v>689</v>
      </c>
      <c r="F1456" s="6">
        <v>3841230.4308709241</v>
      </c>
      <c r="G1456" s="5">
        <v>12716</v>
      </c>
      <c r="H1456">
        <v>0</v>
      </c>
      <c r="I1456" s="1">
        <v>302.07851768409279</v>
      </c>
    </row>
    <row r="1457" spans="1:9" x14ac:dyDescent="0.3">
      <c r="A1457" t="s">
        <v>31</v>
      </c>
      <c r="B1457">
        <v>2018</v>
      </c>
      <c r="C1457">
        <v>4</v>
      </c>
      <c r="D1457" t="s">
        <v>11</v>
      </c>
      <c r="E1457">
        <v>144</v>
      </c>
      <c r="F1457" s="6">
        <v>262079.85573632165</v>
      </c>
      <c r="G1457" s="5">
        <v>12716</v>
      </c>
      <c r="H1457">
        <v>0</v>
      </c>
      <c r="I1457" s="1">
        <v>20.610243452054235</v>
      </c>
    </row>
    <row r="1458" spans="1:9" x14ac:dyDescent="0.3">
      <c r="A1458" t="s">
        <v>31</v>
      </c>
      <c r="B1458">
        <v>2018</v>
      </c>
      <c r="C1458">
        <v>4</v>
      </c>
      <c r="D1458" t="s">
        <v>12</v>
      </c>
      <c r="E1458">
        <v>6</v>
      </c>
      <c r="F1458" s="6">
        <v>389.89323239199541</v>
      </c>
      <c r="G1458" s="5">
        <v>12716</v>
      </c>
      <c r="H1458">
        <v>0</v>
      </c>
      <c r="I1458" s="1">
        <v>3.0661625699276142E-2</v>
      </c>
    </row>
    <row r="1459" spans="1:9" x14ac:dyDescent="0.3">
      <c r="A1459" t="s">
        <v>31</v>
      </c>
      <c r="B1459">
        <v>2018</v>
      </c>
      <c r="C1459">
        <v>4</v>
      </c>
      <c r="D1459" t="s">
        <v>13</v>
      </c>
      <c r="E1459">
        <v>11</v>
      </c>
      <c r="F1459" s="6">
        <v>8312.430483153179</v>
      </c>
      <c r="G1459" s="5">
        <v>12716</v>
      </c>
      <c r="H1459">
        <v>0</v>
      </c>
      <c r="I1459" s="1">
        <v>0.65369852808691242</v>
      </c>
    </row>
    <row r="1460" spans="1:9" x14ac:dyDescent="0.3">
      <c r="A1460" t="s">
        <v>31</v>
      </c>
      <c r="B1460">
        <v>2019</v>
      </c>
      <c r="C1460">
        <v>1</v>
      </c>
      <c r="D1460" t="s">
        <v>10</v>
      </c>
      <c r="E1460">
        <v>1183</v>
      </c>
      <c r="F1460" s="6">
        <v>8221402.3685369287</v>
      </c>
      <c r="G1460" s="5">
        <v>15576</v>
      </c>
      <c r="H1460">
        <v>0</v>
      </c>
      <c r="I1460" s="1">
        <v>527.82501082029592</v>
      </c>
    </row>
    <row r="1461" spans="1:9" x14ac:dyDescent="0.3">
      <c r="A1461" t="s">
        <v>31</v>
      </c>
      <c r="B1461">
        <v>2019</v>
      </c>
      <c r="C1461">
        <v>1</v>
      </c>
      <c r="D1461" t="s">
        <v>9</v>
      </c>
      <c r="E1461">
        <v>1173</v>
      </c>
      <c r="F1461" s="6">
        <v>353870.52398354514</v>
      </c>
      <c r="G1461" s="5">
        <v>15576</v>
      </c>
      <c r="H1461">
        <v>0</v>
      </c>
      <c r="I1461" s="1">
        <v>22.718960194115635</v>
      </c>
    </row>
    <row r="1462" spans="1:9" x14ac:dyDescent="0.3">
      <c r="A1462" t="s">
        <v>31</v>
      </c>
      <c r="B1462">
        <v>2019</v>
      </c>
      <c r="C1462">
        <v>1</v>
      </c>
      <c r="D1462" t="s">
        <v>11</v>
      </c>
      <c r="E1462">
        <v>113</v>
      </c>
      <c r="F1462" s="6">
        <v>183062.14559756211</v>
      </c>
      <c r="G1462" s="5">
        <v>15576</v>
      </c>
      <c r="H1462">
        <v>0</v>
      </c>
      <c r="I1462" s="1">
        <v>11.752834206314979</v>
      </c>
    </row>
    <row r="1463" spans="1:9" x14ac:dyDescent="0.3">
      <c r="A1463" t="s">
        <v>31</v>
      </c>
      <c r="B1463">
        <v>2019</v>
      </c>
      <c r="C1463">
        <v>1</v>
      </c>
      <c r="D1463" t="s">
        <v>13</v>
      </c>
      <c r="E1463">
        <v>12</v>
      </c>
      <c r="F1463" s="6">
        <v>27795.441220958</v>
      </c>
      <c r="G1463" s="5">
        <v>15576</v>
      </c>
      <c r="H1463">
        <v>0</v>
      </c>
      <c r="I1463" s="1">
        <v>1.7845044440779405</v>
      </c>
    </row>
    <row r="1464" spans="1:9" x14ac:dyDescent="0.3">
      <c r="A1464" t="s">
        <v>31</v>
      </c>
      <c r="B1464">
        <v>2019</v>
      </c>
      <c r="C1464">
        <v>2</v>
      </c>
      <c r="D1464" t="s">
        <v>9</v>
      </c>
      <c r="E1464">
        <v>1448</v>
      </c>
      <c r="F1464" s="6">
        <v>436735.1684614296</v>
      </c>
      <c r="G1464" s="5">
        <v>19217</v>
      </c>
      <c r="H1464">
        <v>50380</v>
      </c>
      <c r="I1464" s="1">
        <v>22.726500934663559</v>
      </c>
    </row>
    <row r="1465" spans="1:9" x14ac:dyDescent="0.3">
      <c r="A1465" t="s">
        <v>31</v>
      </c>
      <c r="B1465">
        <v>2019</v>
      </c>
      <c r="C1465">
        <v>2</v>
      </c>
      <c r="D1465" t="s">
        <v>10</v>
      </c>
      <c r="E1465">
        <v>1318</v>
      </c>
      <c r="F1465" s="6">
        <v>8602732.1177881956</v>
      </c>
      <c r="G1465" s="5">
        <v>19217</v>
      </c>
      <c r="H1465">
        <v>50380</v>
      </c>
      <c r="I1465" s="1">
        <v>447.66259654411175</v>
      </c>
    </row>
    <row r="1466" spans="1:9" x14ac:dyDescent="0.3">
      <c r="A1466" t="s">
        <v>31</v>
      </c>
      <c r="B1466">
        <v>2019</v>
      </c>
      <c r="C1466">
        <v>2</v>
      </c>
      <c r="D1466" t="s">
        <v>11</v>
      </c>
      <c r="E1466">
        <v>137</v>
      </c>
      <c r="F1466" s="6">
        <v>190716.54115617339</v>
      </c>
      <c r="G1466" s="5">
        <v>19217</v>
      </c>
      <c r="H1466">
        <v>50380</v>
      </c>
      <c r="I1466" s="1">
        <v>9.9243659861671123</v>
      </c>
    </row>
    <row r="1467" spans="1:9" x14ac:dyDescent="0.3">
      <c r="A1467" t="s">
        <v>31</v>
      </c>
      <c r="B1467">
        <v>2019</v>
      </c>
      <c r="C1467">
        <v>2</v>
      </c>
      <c r="D1467" t="s">
        <v>13</v>
      </c>
      <c r="E1467">
        <v>23</v>
      </c>
      <c r="F1467" s="6">
        <v>12340.309583089191</v>
      </c>
      <c r="G1467" s="5">
        <v>19217</v>
      </c>
      <c r="H1467">
        <v>50380</v>
      </c>
      <c r="I1467" s="1">
        <v>0.64215588193210127</v>
      </c>
    </row>
    <row r="1468" spans="1:9" x14ac:dyDescent="0.3">
      <c r="A1468" t="s">
        <v>31</v>
      </c>
      <c r="B1468">
        <v>2019</v>
      </c>
      <c r="C1468">
        <v>3</v>
      </c>
      <c r="D1468" t="s">
        <v>9</v>
      </c>
      <c r="E1468">
        <v>1528</v>
      </c>
      <c r="F1468" s="6">
        <v>503049.24119136349</v>
      </c>
      <c r="G1468" s="5">
        <v>23287</v>
      </c>
      <c r="H1468">
        <v>165418</v>
      </c>
      <c r="I1468" s="1">
        <v>21.602148889567719</v>
      </c>
    </row>
    <row r="1469" spans="1:9" x14ac:dyDescent="0.3">
      <c r="A1469" t="s">
        <v>31</v>
      </c>
      <c r="B1469">
        <v>2019</v>
      </c>
      <c r="C1469">
        <v>3</v>
      </c>
      <c r="D1469" t="s">
        <v>10</v>
      </c>
      <c r="E1469">
        <v>1455</v>
      </c>
      <c r="F1469" s="6">
        <v>8923273.8629484456</v>
      </c>
      <c r="G1469" s="5">
        <v>23287</v>
      </c>
      <c r="H1469">
        <v>165418</v>
      </c>
      <c r="I1469" s="1">
        <v>383.18692244378605</v>
      </c>
    </row>
    <row r="1470" spans="1:9" x14ac:dyDescent="0.3">
      <c r="A1470" t="s">
        <v>31</v>
      </c>
      <c r="B1470">
        <v>2019</v>
      </c>
      <c r="C1470">
        <v>3</v>
      </c>
      <c r="D1470" t="s">
        <v>11</v>
      </c>
      <c r="E1470">
        <v>111</v>
      </c>
      <c r="F1470" s="6">
        <v>215159.68119447335</v>
      </c>
      <c r="G1470" s="5">
        <v>23287</v>
      </c>
      <c r="H1470">
        <v>165418</v>
      </c>
      <c r="I1470" s="1">
        <v>9.2394761538400552</v>
      </c>
    </row>
    <row r="1471" spans="1:9" x14ac:dyDescent="0.3">
      <c r="A1471" t="s">
        <v>31</v>
      </c>
      <c r="B1471">
        <v>2019</v>
      </c>
      <c r="C1471">
        <v>3</v>
      </c>
      <c r="D1471" t="s">
        <v>13</v>
      </c>
      <c r="E1471">
        <v>10</v>
      </c>
      <c r="F1471" s="6">
        <v>10278.678434187355</v>
      </c>
      <c r="G1471" s="5">
        <v>23287</v>
      </c>
      <c r="H1471">
        <v>165418</v>
      </c>
      <c r="I1471" s="1">
        <v>0.4413912669810347</v>
      </c>
    </row>
    <row r="1472" spans="1:9" x14ac:dyDescent="0.3">
      <c r="A1472" t="s">
        <v>31</v>
      </c>
      <c r="B1472">
        <v>2019</v>
      </c>
      <c r="C1472">
        <v>4</v>
      </c>
      <c r="D1472" t="s">
        <v>9</v>
      </c>
      <c r="E1472">
        <v>1801</v>
      </c>
      <c r="F1472" s="6">
        <v>618155.90046447655</v>
      </c>
      <c r="G1472" s="5">
        <v>26697</v>
      </c>
      <c r="H1472">
        <v>195360</v>
      </c>
      <c r="I1472" s="1">
        <v>23.154508014551318</v>
      </c>
    </row>
    <row r="1473" spans="1:9" x14ac:dyDescent="0.3">
      <c r="A1473" t="s">
        <v>31</v>
      </c>
      <c r="B1473">
        <v>2019</v>
      </c>
      <c r="C1473">
        <v>4</v>
      </c>
      <c r="D1473" t="s">
        <v>10</v>
      </c>
      <c r="E1473">
        <v>1753</v>
      </c>
      <c r="F1473" s="6">
        <v>10383413.246670496</v>
      </c>
      <c r="G1473" s="5">
        <v>26697</v>
      </c>
      <c r="H1473">
        <v>195360</v>
      </c>
      <c r="I1473" s="1">
        <v>388.9355825250214</v>
      </c>
    </row>
    <row r="1474" spans="1:9" x14ac:dyDescent="0.3">
      <c r="A1474" t="s">
        <v>31</v>
      </c>
      <c r="B1474">
        <v>2019</v>
      </c>
      <c r="C1474">
        <v>4</v>
      </c>
      <c r="D1474" t="s">
        <v>11</v>
      </c>
      <c r="E1474">
        <v>188</v>
      </c>
      <c r="F1474" s="6">
        <v>211413.62244321496</v>
      </c>
      <c r="G1474" s="5">
        <v>26697</v>
      </c>
      <c r="H1474">
        <v>195360</v>
      </c>
      <c r="I1474" s="1">
        <v>7.9190029757356619</v>
      </c>
    </row>
    <row r="1475" spans="1:9" x14ac:dyDescent="0.3">
      <c r="A1475" t="s">
        <v>31</v>
      </c>
      <c r="B1475">
        <v>2019</v>
      </c>
      <c r="C1475">
        <v>4</v>
      </c>
      <c r="D1475" t="s">
        <v>12</v>
      </c>
      <c r="E1475">
        <v>2</v>
      </c>
      <c r="F1475" s="6">
        <v>34.397211816256558</v>
      </c>
      <c r="G1475" s="5">
        <v>26697</v>
      </c>
      <c r="H1475">
        <v>195360</v>
      </c>
      <c r="I1475" s="1">
        <v>1.2884298541505246E-3</v>
      </c>
    </row>
    <row r="1476" spans="1:9" x14ac:dyDescent="0.3">
      <c r="A1476" t="s">
        <v>31</v>
      </c>
      <c r="B1476">
        <v>2019</v>
      </c>
      <c r="C1476">
        <v>4</v>
      </c>
      <c r="D1476" t="s">
        <v>13</v>
      </c>
      <c r="E1476">
        <v>21</v>
      </c>
      <c r="F1476" s="6">
        <v>56896.23813384895</v>
      </c>
      <c r="G1476" s="5">
        <v>26697</v>
      </c>
      <c r="H1476">
        <v>195360</v>
      </c>
      <c r="I1476" s="1">
        <v>2.1311847074146515</v>
      </c>
    </row>
    <row r="1477" spans="1:9" x14ac:dyDescent="0.3">
      <c r="A1477" t="s">
        <v>31</v>
      </c>
      <c r="B1477">
        <v>2020</v>
      </c>
      <c r="C1477">
        <v>1</v>
      </c>
      <c r="D1477" t="s">
        <v>9</v>
      </c>
      <c r="E1477">
        <v>2684</v>
      </c>
      <c r="F1477" s="6">
        <v>789255.26461239986</v>
      </c>
      <c r="G1477" s="5">
        <v>30492</v>
      </c>
      <c r="H1477">
        <v>241802</v>
      </c>
      <c r="I1477" s="1">
        <v>25.884011039367699</v>
      </c>
    </row>
    <row r="1478" spans="1:9" x14ac:dyDescent="0.3">
      <c r="A1478" t="s">
        <v>31</v>
      </c>
      <c r="B1478">
        <v>2020</v>
      </c>
      <c r="C1478">
        <v>1</v>
      </c>
      <c r="D1478" t="s">
        <v>10</v>
      </c>
      <c r="E1478">
        <v>2068</v>
      </c>
      <c r="F1478" s="6">
        <v>12463327.261836832</v>
      </c>
      <c r="G1478" s="5">
        <v>30492</v>
      </c>
      <c r="H1478">
        <v>241802</v>
      </c>
      <c r="I1478" s="1">
        <v>408.74089144158575</v>
      </c>
    </row>
    <row r="1479" spans="1:9" x14ac:dyDescent="0.3">
      <c r="A1479" t="s">
        <v>31</v>
      </c>
      <c r="B1479">
        <v>2020</v>
      </c>
      <c r="C1479">
        <v>1</v>
      </c>
      <c r="D1479" t="s">
        <v>11</v>
      </c>
      <c r="E1479">
        <v>387</v>
      </c>
      <c r="F1479" s="6">
        <v>216594.03077193064</v>
      </c>
      <c r="G1479" s="5">
        <v>30492</v>
      </c>
      <c r="H1479">
        <v>241802</v>
      </c>
      <c r="I1479" s="1">
        <v>7.1033067943044292</v>
      </c>
    </row>
    <row r="1480" spans="1:9" x14ac:dyDescent="0.3">
      <c r="A1480" t="s">
        <v>31</v>
      </c>
      <c r="B1480">
        <v>2020</v>
      </c>
      <c r="C1480">
        <v>1</v>
      </c>
      <c r="D1480" t="s">
        <v>13</v>
      </c>
      <c r="E1480">
        <v>12</v>
      </c>
      <c r="F1480" s="6">
        <v>33192.017283045374</v>
      </c>
      <c r="G1480" s="5">
        <v>30492</v>
      </c>
      <c r="H1480">
        <v>241802</v>
      </c>
      <c r="I1480" s="1">
        <v>1.0885483826264388</v>
      </c>
    </row>
    <row r="1481" spans="1:9" x14ac:dyDescent="0.3">
      <c r="A1481" t="s">
        <v>31</v>
      </c>
      <c r="B1481">
        <v>2020</v>
      </c>
      <c r="C1481">
        <v>2</v>
      </c>
      <c r="D1481" t="s">
        <v>9</v>
      </c>
      <c r="E1481">
        <v>4497</v>
      </c>
      <c r="F1481" s="6">
        <v>1061694.138574572</v>
      </c>
      <c r="G1481" s="5">
        <v>35057</v>
      </c>
      <c r="H1481">
        <v>321222</v>
      </c>
      <c r="I1481" s="1">
        <v>30.284797289402174</v>
      </c>
    </row>
    <row r="1482" spans="1:9" x14ac:dyDescent="0.3">
      <c r="A1482" t="s">
        <v>31</v>
      </c>
      <c r="B1482">
        <v>2020</v>
      </c>
      <c r="C1482">
        <v>2</v>
      </c>
      <c r="D1482" t="s">
        <v>10</v>
      </c>
      <c r="E1482">
        <v>2176</v>
      </c>
      <c r="F1482" s="6">
        <v>14718605.188911092</v>
      </c>
      <c r="G1482" s="5">
        <v>35057</v>
      </c>
      <c r="H1482">
        <v>321222</v>
      </c>
      <c r="I1482" s="1">
        <v>419.84782465445107</v>
      </c>
    </row>
    <row r="1483" spans="1:9" x14ac:dyDescent="0.3">
      <c r="A1483" t="s">
        <v>31</v>
      </c>
      <c r="B1483">
        <v>2020</v>
      </c>
      <c r="C1483">
        <v>2</v>
      </c>
      <c r="D1483" t="s">
        <v>11</v>
      </c>
      <c r="E1483">
        <v>472</v>
      </c>
      <c r="F1483" s="6">
        <v>971609.45835378231</v>
      </c>
      <c r="G1483" s="5">
        <v>35057</v>
      </c>
      <c r="H1483">
        <v>321222</v>
      </c>
      <c r="I1483" s="1">
        <v>27.715134163042539</v>
      </c>
    </row>
    <row r="1484" spans="1:9" x14ac:dyDescent="0.3">
      <c r="A1484" t="s">
        <v>31</v>
      </c>
      <c r="B1484">
        <v>2020</v>
      </c>
      <c r="C1484">
        <v>2</v>
      </c>
      <c r="D1484" t="s">
        <v>12</v>
      </c>
      <c r="E1484">
        <v>60</v>
      </c>
      <c r="F1484" s="6">
        <v>158593.59701229632</v>
      </c>
      <c r="G1484" s="5">
        <v>35057</v>
      </c>
      <c r="H1484">
        <v>321222</v>
      </c>
      <c r="I1484" s="1">
        <v>4.5238781701884454</v>
      </c>
    </row>
    <row r="1485" spans="1:9" x14ac:dyDescent="0.3">
      <c r="A1485" t="s">
        <v>31</v>
      </c>
      <c r="B1485">
        <v>2020</v>
      </c>
      <c r="C1485">
        <v>2</v>
      </c>
      <c r="D1485" t="s">
        <v>13</v>
      </c>
      <c r="E1485">
        <v>15</v>
      </c>
      <c r="F1485" s="6">
        <v>32419.703092655054</v>
      </c>
      <c r="G1485" s="5">
        <v>35057</v>
      </c>
      <c r="H1485">
        <v>321222</v>
      </c>
      <c r="I1485" s="1">
        <v>0.92477117530464825</v>
      </c>
    </row>
    <row r="1486" spans="1:9" x14ac:dyDescent="0.3">
      <c r="A1486" t="s">
        <v>31</v>
      </c>
      <c r="B1486">
        <v>2020</v>
      </c>
      <c r="C1486">
        <v>3</v>
      </c>
      <c r="D1486" t="s">
        <v>9</v>
      </c>
      <c r="E1486">
        <v>4696</v>
      </c>
      <c r="F1486" s="6">
        <v>1186947.5538162689</v>
      </c>
      <c r="G1486" s="5">
        <v>40084</v>
      </c>
      <c r="H1486">
        <v>353408</v>
      </c>
      <c r="I1486" s="1">
        <v>29.611504685567031</v>
      </c>
    </row>
    <row r="1487" spans="1:9" x14ac:dyDescent="0.3">
      <c r="A1487" t="s">
        <v>31</v>
      </c>
      <c r="B1487">
        <v>2020</v>
      </c>
      <c r="C1487">
        <v>3</v>
      </c>
      <c r="D1487" t="s">
        <v>10</v>
      </c>
      <c r="E1487">
        <v>2946</v>
      </c>
      <c r="F1487" s="6">
        <v>19189391.618742835</v>
      </c>
      <c r="G1487" s="5">
        <v>40084</v>
      </c>
      <c r="H1487">
        <v>353408</v>
      </c>
      <c r="I1487" s="1">
        <v>478.7294586054993</v>
      </c>
    </row>
    <row r="1488" spans="1:9" x14ac:dyDescent="0.3">
      <c r="A1488" t="s">
        <v>31</v>
      </c>
      <c r="B1488">
        <v>2020</v>
      </c>
      <c r="C1488">
        <v>3</v>
      </c>
      <c r="D1488" t="s">
        <v>11</v>
      </c>
      <c r="E1488">
        <v>903</v>
      </c>
      <c r="F1488" s="6">
        <v>842981.16945136595</v>
      </c>
      <c r="G1488" s="5">
        <v>40084</v>
      </c>
      <c r="H1488">
        <v>353408</v>
      </c>
      <c r="I1488" s="1">
        <v>21.030365468799669</v>
      </c>
    </row>
    <row r="1489" spans="1:9" x14ac:dyDescent="0.3">
      <c r="A1489" t="s">
        <v>31</v>
      </c>
      <c r="B1489">
        <v>2020</v>
      </c>
      <c r="C1489">
        <v>3</v>
      </c>
      <c r="D1489" t="s">
        <v>12</v>
      </c>
      <c r="E1489">
        <v>27</v>
      </c>
      <c r="F1489" s="6">
        <v>45457.50970027798</v>
      </c>
      <c r="G1489" s="5">
        <v>40084</v>
      </c>
      <c r="H1489">
        <v>353408</v>
      </c>
      <c r="I1489" s="1">
        <v>1.1340562244356347</v>
      </c>
    </row>
    <row r="1490" spans="1:9" x14ac:dyDescent="0.3">
      <c r="A1490" t="s">
        <v>31</v>
      </c>
      <c r="B1490">
        <v>2020</v>
      </c>
      <c r="C1490">
        <v>3</v>
      </c>
      <c r="D1490" t="s">
        <v>13</v>
      </c>
      <c r="E1490">
        <v>17</v>
      </c>
      <c r="F1490" s="6">
        <v>42055.45694608544</v>
      </c>
      <c r="G1490" s="5">
        <v>40084</v>
      </c>
      <c r="H1490">
        <v>353408</v>
      </c>
      <c r="I1490" s="1">
        <v>1.0491831390601098</v>
      </c>
    </row>
    <row r="1491" spans="1:9" x14ac:dyDescent="0.3">
      <c r="A1491" t="s">
        <v>31</v>
      </c>
      <c r="B1491">
        <v>2020</v>
      </c>
      <c r="C1491">
        <v>4</v>
      </c>
      <c r="D1491" t="s">
        <v>9</v>
      </c>
      <c r="E1491">
        <v>5187</v>
      </c>
      <c r="F1491" s="6">
        <v>1499298.1127799235</v>
      </c>
      <c r="G1491" s="5">
        <v>45969</v>
      </c>
      <c r="H1491">
        <v>452584</v>
      </c>
      <c r="I1491" s="1">
        <v>32.615417189408589</v>
      </c>
    </row>
    <row r="1492" spans="1:9" x14ac:dyDescent="0.3">
      <c r="A1492" t="s">
        <v>31</v>
      </c>
      <c r="B1492">
        <v>2020</v>
      </c>
      <c r="C1492">
        <v>4</v>
      </c>
      <c r="D1492" t="s">
        <v>10</v>
      </c>
      <c r="E1492">
        <v>4741</v>
      </c>
      <c r="F1492" s="6">
        <v>27284123.245664999</v>
      </c>
      <c r="G1492" s="5">
        <v>45969</v>
      </c>
      <c r="H1492">
        <v>452584</v>
      </c>
      <c r="I1492" s="1">
        <v>593.53310373653983</v>
      </c>
    </row>
    <row r="1493" spans="1:9" x14ac:dyDescent="0.3">
      <c r="A1493" t="s">
        <v>31</v>
      </c>
      <c r="B1493">
        <v>2020</v>
      </c>
      <c r="C1493">
        <v>4</v>
      </c>
      <c r="D1493" t="s">
        <v>11</v>
      </c>
      <c r="E1493">
        <v>1668</v>
      </c>
      <c r="F1493" s="6">
        <v>1227101.6378793938</v>
      </c>
      <c r="G1493" s="5">
        <v>45969</v>
      </c>
      <c r="H1493">
        <v>452584</v>
      </c>
      <c r="I1493" s="1">
        <v>26.694112072905519</v>
      </c>
    </row>
    <row r="1494" spans="1:9" x14ac:dyDescent="0.3">
      <c r="A1494" t="s">
        <v>31</v>
      </c>
      <c r="B1494">
        <v>2020</v>
      </c>
      <c r="C1494">
        <v>4</v>
      </c>
      <c r="D1494" t="s">
        <v>12</v>
      </c>
      <c r="E1494">
        <v>22</v>
      </c>
      <c r="F1494" s="6">
        <v>13968.753996552699</v>
      </c>
      <c r="G1494" s="5">
        <v>45969</v>
      </c>
      <c r="H1494">
        <v>452584</v>
      </c>
      <c r="I1494" s="1">
        <v>0.30387334935614652</v>
      </c>
    </row>
    <row r="1495" spans="1:9" x14ac:dyDescent="0.3">
      <c r="A1495" t="s">
        <v>31</v>
      </c>
      <c r="B1495">
        <v>2020</v>
      </c>
      <c r="C1495">
        <v>4</v>
      </c>
      <c r="D1495" t="s">
        <v>13</v>
      </c>
      <c r="E1495">
        <v>32</v>
      </c>
      <c r="F1495" s="6">
        <v>86826.166759517757</v>
      </c>
      <c r="G1495" s="5">
        <v>45969</v>
      </c>
      <c r="H1495">
        <v>452584</v>
      </c>
      <c r="I1495" s="1">
        <v>1.8887982501145937</v>
      </c>
    </row>
    <row r="1496" spans="1:9" x14ac:dyDescent="0.3">
      <c r="A1496" t="s">
        <v>31</v>
      </c>
      <c r="B1496">
        <v>2021</v>
      </c>
      <c r="C1496">
        <v>1</v>
      </c>
      <c r="D1496" t="s">
        <v>10</v>
      </c>
      <c r="E1496">
        <v>3942</v>
      </c>
      <c r="F1496" s="6">
        <v>24823715.017422147</v>
      </c>
      <c r="G1496" s="5">
        <v>50347</v>
      </c>
      <c r="H1496">
        <v>520113</v>
      </c>
      <c r="I1496" s="1">
        <v>493.05251588817896</v>
      </c>
    </row>
    <row r="1497" spans="1:9" x14ac:dyDescent="0.3">
      <c r="A1497" t="s">
        <v>31</v>
      </c>
      <c r="B1497">
        <v>2021</v>
      </c>
      <c r="C1497">
        <v>1</v>
      </c>
      <c r="D1497" t="s">
        <v>9</v>
      </c>
      <c r="E1497">
        <v>3541</v>
      </c>
      <c r="F1497" s="6">
        <v>1070209.4218526704</v>
      </c>
      <c r="G1497" s="5">
        <v>50347</v>
      </c>
      <c r="H1497">
        <v>520113</v>
      </c>
      <c r="I1497" s="1">
        <v>21.256667166915019</v>
      </c>
    </row>
    <row r="1498" spans="1:9" x14ac:dyDescent="0.3">
      <c r="A1498" t="s">
        <v>31</v>
      </c>
      <c r="B1498">
        <v>2021</v>
      </c>
      <c r="C1498">
        <v>1</v>
      </c>
      <c r="D1498" t="s">
        <v>11</v>
      </c>
      <c r="E1498">
        <v>1537</v>
      </c>
      <c r="F1498" s="6">
        <v>1040213.7953898906</v>
      </c>
      <c r="G1498" s="5">
        <v>50347</v>
      </c>
      <c r="H1498">
        <v>520113</v>
      </c>
      <c r="I1498" s="1">
        <v>20.660889335807308</v>
      </c>
    </row>
    <row r="1499" spans="1:9" x14ac:dyDescent="0.3">
      <c r="A1499" t="s">
        <v>31</v>
      </c>
      <c r="B1499">
        <v>2021</v>
      </c>
      <c r="C1499">
        <v>1</v>
      </c>
      <c r="D1499" t="s">
        <v>12</v>
      </c>
      <c r="E1499">
        <v>19</v>
      </c>
      <c r="F1499" s="6">
        <v>15929.095105497145</v>
      </c>
      <c r="G1499" s="5">
        <v>50347</v>
      </c>
      <c r="H1499">
        <v>520113</v>
      </c>
      <c r="I1499" s="1">
        <v>0.31638618200681562</v>
      </c>
    </row>
    <row r="1500" spans="1:9" x14ac:dyDescent="0.3">
      <c r="A1500" t="s">
        <v>31</v>
      </c>
      <c r="B1500">
        <v>2021</v>
      </c>
      <c r="C1500">
        <v>1</v>
      </c>
      <c r="D1500" t="s">
        <v>13</v>
      </c>
      <c r="E1500">
        <v>46</v>
      </c>
      <c r="F1500" s="6">
        <v>92715.584310947204</v>
      </c>
      <c r="G1500" s="5">
        <v>50347</v>
      </c>
      <c r="H1500">
        <v>520113</v>
      </c>
      <c r="I1500" s="1">
        <v>1.8415314579011104</v>
      </c>
    </row>
    <row r="1501" spans="1:9" x14ac:dyDescent="0.3">
      <c r="A1501" t="s">
        <v>31</v>
      </c>
      <c r="B1501">
        <v>2021</v>
      </c>
      <c r="C1501">
        <v>2</v>
      </c>
      <c r="D1501" t="s">
        <v>9</v>
      </c>
      <c r="E1501">
        <v>5499</v>
      </c>
      <c r="F1501" s="6">
        <v>1745295.8280772951</v>
      </c>
      <c r="G1501" s="5">
        <v>53856</v>
      </c>
      <c r="H1501">
        <v>443311</v>
      </c>
      <c r="I1501" s="1">
        <v>32.406711008565345</v>
      </c>
    </row>
    <row r="1502" spans="1:9" x14ac:dyDescent="0.3">
      <c r="A1502" t="s">
        <v>31</v>
      </c>
      <c r="B1502">
        <v>2021</v>
      </c>
      <c r="C1502">
        <v>2</v>
      </c>
      <c r="D1502" t="s">
        <v>10</v>
      </c>
      <c r="E1502">
        <v>4069</v>
      </c>
      <c r="F1502" s="6">
        <v>23996417.493664831</v>
      </c>
      <c r="G1502" s="5">
        <v>53856</v>
      </c>
      <c r="H1502">
        <v>443311</v>
      </c>
      <c r="I1502" s="1">
        <v>445.56627847713963</v>
      </c>
    </row>
    <row r="1503" spans="1:9" x14ac:dyDescent="0.3">
      <c r="A1503" t="s">
        <v>31</v>
      </c>
      <c r="B1503">
        <v>2021</v>
      </c>
      <c r="C1503">
        <v>2</v>
      </c>
      <c r="D1503" t="s">
        <v>11</v>
      </c>
      <c r="E1503">
        <v>1743</v>
      </c>
      <c r="F1503" s="6">
        <v>1525331.9146529401</v>
      </c>
      <c r="G1503" s="5">
        <v>53856</v>
      </c>
      <c r="H1503">
        <v>443311</v>
      </c>
      <c r="I1503" s="1">
        <v>28.322413745041224</v>
      </c>
    </row>
    <row r="1504" spans="1:9" x14ac:dyDescent="0.3">
      <c r="A1504" t="s">
        <v>31</v>
      </c>
      <c r="B1504">
        <v>2021</v>
      </c>
      <c r="C1504">
        <v>2</v>
      </c>
      <c r="D1504" t="s">
        <v>12</v>
      </c>
      <c r="E1504">
        <v>29</v>
      </c>
      <c r="F1504" s="6">
        <v>15052.018496008179</v>
      </c>
      <c r="G1504" s="5">
        <v>53856</v>
      </c>
      <c r="H1504">
        <v>443311</v>
      </c>
      <c r="I1504" s="1">
        <v>0.27948638027347333</v>
      </c>
    </row>
    <row r="1505" spans="1:9" x14ac:dyDescent="0.3">
      <c r="A1505" t="s">
        <v>31</v>
      </c>
      <c r="B1505">
        <v>2021</v>
      </c>
      <c r="C1505">
        <v>2</v>
      </c>
      <c r="D1505" t="s">
        <v>13</v>
      </c>
      <c r="E1505">
        <v>44</v>
      </c>
      <c r="F1505" s="6">
        <v>101366.40306045809</v>
      </c>
      <c r="G1505" s="5">
        <v>53856</v>
      </c>
      <c r="H1505">
        <v>443311</v>
      </c>
      <c r="I1505" s="1">
        <v>1.8821747448837287</v>
      </c>
    </row>
    <row r="1506" spans="1:9" x14ac:dyDescent="0.3">
      <c r="A1506" t="s">
        <v>31</v>
      </c>
      <c r="B1506">
        <v>2021</v>
      </c>
      <c r="C1506">
        <v>3</v>
      </c>
      <c r="D1506" t="s">
        <v>10</v>
      </c>
      <c r="E1506">
        <v>5687</v>
      </c>
      <c r="F1506" s="6">
        <v>34142107.520169854</v>
      </c>
      <c r="G1506" s="5">
        <v>58157</v>
      </c>
      <c r="H1506">
        <v>540397</v>
      </c>
      <c r="I1506" s="1">
        <v>587.06789415151843</v>
      </c>
    </row>
    <row r="1507" spans="1:9" x14ac:dyDescent="0.3">
      <c r="A1507" t="s">
        <v>31</v>
      </c>
      <c r="B1507">
        <v>2021</v>
      </c>
      <c r="C1507">
        <v>3</v>
      </c>
      <c r="D1507" t="s">
        <v>9</v>
      </c>
      <c r="E1507">
        <v>5153</v>
      </c>
      <c r="F1507" s="6">
        <v>1700287.4734963956</v>
      </c>
      <c r="G1507" s="5">
        <v>58157</v>
      </c>
      <c r="H1507">
        <v>540397</v>
      </c>
      <c r="I1507" s="1">
        <v>29.236162001072884</v>
      </c>
    </row>
    <row r="1508" spans="1:9" x14ac:dyDescent="0.3">
      <c r="A1508" t="s">
        <v>31</v>
      </c>
      <c r="B1508">
        <v>2021</v>
      </c>
      <c r="C1508">
        <v>3</v>
      </c>
      <c r="D1508" t="s">
        <v>11</v>
      </c>
      <c r="E1508">
        <v>2450</v>
      </c>
      <c r="F1508" s="6">
        <v>2750367.0630282219</v>
      </c>
      <c r="G1508" s="5">
        <v>58157</v>
      </c>
      <c r="H1508">
        <v>540397</v>
      </c>
      <c r="I1508" s="1">
        <v>47.292106935162096</v>
      </c>
    </row>
    <row r="1509" spans="1:9" x14ac:dyDescent="0.3">
      <c r="A1509" t="s">
        <v>31</v>
      </c>
      <c r="B1509">
        <v>2021</v>
      </c>
      <c r="C1509">
        <v>3</v>
      </c>
      <c r="D1509" t="s">
        <v>12</v>
      </c>
      <c r="E1509">
        <v>48</v>
      </c>
      <c r="F1509" s="6">
        <v>137227.35390598275</v>
      </c>
      <c r="G1509" s="5">
        <v>58157</v>
      </c>
      <c r="H1509">
        <v>540397</v>
      </c>
      <c r="I1509" s="1">
        <v>2.3596016628433851</v>
      </c>
    </row>
    <row r="1510" spans="1:9" x14ac:dyDescent="0.3">
      <c r="A1510" t="s">
        <v>31</v>
      </c>
      <c r="B1510">
        <v>2021</v>
      </c>
      <c r="C1510">
        <v>3</v>
      </c>
      <c r="D1510" t="s">
        <v>13</v>
      </c>
      <c r="E1510">
        <v>32</v>
      </c>
      <c r="F1510" s="6">
        <v>73174.288167687686</v>
      </c>
      <c r="G1510" s="5">
        <v>58157</v>
      </c>
      <c r="H1510">
        <v>540397</v>
      </c>
      <c r="I1510" s="1">
        <v>1.2582197872601353</v>
      </c>
    </row>
    <row r="1511" spans="1:9" x14ac:dyDescent="0.3">
      <c r="A1511" t="s">
        <v>31</v>
      </c>
      <c r="B1511">
        <v>2021</v>
      </c>
      <c r="C1511">
        <v>4</v>
      </c>
      <c r="D1511" t="s">
        <v>10</v>
      </c>
      <c r="E1511">
        <v>7154</v>
      </c>
      <c r="F1511" s="6">
        <v>44696668.861207649</v>
      </c>
      <c r="G1511" s="5">
        <v>62018</v>
      </c>
      <c r="H1511">
        <v>740520</v>
      </c>
      <c r="I1511" s="1">
        <v>720.70477701969833</v>
      </c>
    </row>
    <row r="1512" spans="1:9" x14ac:dyDescent="0.3">
      <c r="A1512" t="s">
        <v>31</v>
      </c>
      <c r="B1512">
        <v>2021</v>
      </c>
      <c r="C1512">
        <v>4</v>
      </c>
      <c r="D1512" t="s">
        <v>9</v>
      </c>
      <c r="E1512">
        <v>5355</v>
      </c>
      <c r="F1512" s="6">
        <v>2093901.2918026838</v>
      </c>
      <c r="G1512" s="5">
        <v>62018</v>
      </c>
      <c r="H1512">
        <v>740520</v>
      </c>
      <c r="I1512" s="1">
        <v>33.762799377643326</v>
      </c>
    </row>
    <row r="1513" spans="1:9" x14ac:dyDescent="0.3">
      <c r="A1513" t="s">
        <v>31</v>
      </c>
      <c r="B1513">
        <v>2021</v>
      </c>
      <c r="C1513">
        <v>4</v>
      </c>
      <c r="D1513" t="s">
        <v>11</v>
      </c>
      <c r="E1513">
        <v>2872</v>
      </c>
      <c r="F1513" s="6">
        <v>4071239.0874364958</v>
      </c>
      <c r="G1513" s="5">
        <v>62018</v>
      </c>
      <c r="H1513">
        <v>740520</v>
      </c>
      <c r="I1513" s="1">
        <v>65.646088029870299</v>
      </c>
    </row>
    <row r="1514" spans="1:9" x14ac:dyDescent="0.3">
      <c r="A1514" t="s">
        <v>31</v>
      </c>
      <c r="B1514">
        <v>2021</v>
      </c>
      <c r="C1514">
        <v>4</v>
      </c>
      <c r="D1514" t="s">
        <v>12</v>
      </c>
      <c r="E1514">
        <v>27</v>
      </c>
      <c r="F1514" s="6">
        <v>19994.541946360278</v>
      </c>
      <c r="G1514" s="5">
        <v>62018</v>
      </c>
      <c r="H1514">
        <v>740520</v>
      </c>
      <c r="I1514" s="1">
        <v>0.32239901232481338</v>
      </c>
    </row>
    <row r="1515" spans="1:9" x14ac:dyDescent="0.3">
      <c r="A1515" t="s">
        <v>31</v>
      </c>
      <c r="B1515">
        <v>2021</v>
      </c>
      <c r="C1515">
        <v>4</v>
      </c>
      <c r="D1515" t="s">
        <v>13</v>
      </c>
      <c r="E1515">
        <v>62</v>
      </c>
      <c r="F1515" s="6">
        <v>116381.74598782149</v>
      </c>
      <c r="G1515" s="5">
        <v>62018</v>
      </c>
      <c r="H1515">
        <v>740520</v>
      </c>
      <c r="I1515" s="1">
        <v>1.8765801217037228</v>
      </c>
    </row>
    <row r="1516" spans="1:9" x14ac:dyDescent="0.3">
      <c r="A1516" t="s">
        <v>32</v>
      </c>
      <c r="B1516">
        <v>2018</v>
      </c>
      <c r="C1516">
        <v>1</v>
      </c>
      <c r="D1516" t="s">
        <v>9</v>
      </c>
      <c r="E1516">
        <v>4404190</v>
      </c>
      <c r="F1516" s="6">
        <v>667057311.45603716</v>
      </c>
      <c r="G1516" s="5">
        <v>28089633</v>
      </c>
      <c r="H1516">
        <v>0</v>
      </c>
      <c r="I1516" s="1">
        <v>23.747455563269096</v>
      </c>
    </row>
    <row r="1517" spans="1:9" x14ac:dyDescent="0.3">
      <c r="A1517" t="s">
        <v>32</v>
      </c>
      <c r="B1517">
        <v>2018</v>
      </c>
      <c r="C1517">
        <v>1</v>
      </c>
      <c r="D1517" t="s">
        <v>10</v>
      </c>
      <c r="E1517">
        <v>2848290</v>
      </c>
      <c r="F1517" s="6">
        <v>7590790588.5519028</v>
      </c>
      <c r="G1517" s="5">
        <v>28089633</v>
      </c>
      <c r="H1517">
        <v>0</v>
      </c>
      <c r="I1517" s="1">
        <v>270.23459468309545</v>
      </c>
    </row>
    <row r="1518" spans="1:9" x14ac:dyDescent="0.3">
      <c r="A1518" t="s">
        <v>32</v>
      </c>
      <c r="B1518">
        <v>2018</v>
      </c>
      <c r="C1518">
        <v>1</v>
      </c>
      <c r="D1518" t="s">
        <v>12</v>
      </c>
      <c r="E1518">
        <v>230519</v>
      </c>
      <c r="F1518" s="6">
        <v>43374288.983730227</v>
      </c>
      <c r="G1518" s="5">
        <v>28089633</v>
      </c>
      <c r="H1518">
        <v>0</v>
      </c>
      <c r="I1518" s="1">
        <v>1.54413868574681</v>
      </c>
    </row>
    <row r="1519" spans="1:9" x14ac:dyDescent="0.3">
      <c r="A1519" t="s">
        <v>32</v>
      </c>
      <c r="B1519">
        <v>2018</v>
      </c>
      <c r="C1519">
        <v>1</v>
      </c>
      <c r="D1519" t="s">
        <v>11</v>
      </c>
      <c r="E1519">
        <v>196394</v>
      </c>
      <c r="F1519" s="6">
        <v>170119673.71275404</v>
      </c>
      <c r="G1519" s="5">
        <v>28089633</v>
      </c>
      <c r="H1519">
        <v>0</v>
      </c>
      <c r="I1519" s="1">
        <v>6.0563152858833735</v>
      </c>
    </row>
    <row r="1520" spans="1:9" x14ac:dyDescent="0.3">
      <c r="A1520" t="s">
        <v>32</v>
      </c>
      <c r="B1520">
        <v>2018</v>
      </c>
      <c r="C1520">
        <v>1</v>
      </c>
      <c r="D1520" t="s">
        <v>13</v>
      </c>
      <c r="E1520">
        <v>346002</v>
      </c>
      <c r="F1520" s="6">
        <v>210261540.74149579</v>
      </c>
      <c r="G1520" s="5">
        <v>28089633</v>
      </c>
      <c r="H1520">
        <v>0</v>
      </c>
      <c r="I1520" s="1">
        <v>7.4853787068523037</v>
      </c>
    </row>
    <row r="1521" spans="1:9" x14ac:dyDescent="0.3">
      <c r="A1521" t="s">
        <v>32</v>
      </c>
      <c r="B1521">
        <v>2018</v>
      </c>
      <c r="C1521">
        <v>2</v>
      </c>
      <c r="D1521" t="s">
        <v>9</v>
      </c>
      <c r="E1521">
        <v>5324535</v>
      </c>
      <c r="F1521" s="6">
        <v>1132090445.8903365</v>
      </c>
      <c r="G1521" s="5">
        <v>37858282</v>
      </c>
      <c r="H1521">
        <v>0</v>
      </c>
      <c r="I1521" s="1">
        <v>29.90337611966482</v>
      </c>
    </row>
    <row r="1522" spans="1:9" x14ac:dyDescent="0.3">
      <c r="A1522" t="s">
        <v>32</v>
      </c>
      <c r="B1522">
        <v>2018</v>
      </c>
      <c r="C1522">
        <v>2</v>
      </c>
      <c r="D1522" t="s">
        <v>10</v>
      </c>
      <c r="E1522">
        <v>4269392</v>
      </c>
      <c r="F1522" s="6">
        <v>14155603482.492638</v>
      </c>
      <c r="G1522" s="5">
        <v>37858282</v>
      </c>
      <c r="H1522">
        <v>0</v>
      </c>
      <c r="I1522" s="1">
        <v>373.9103502502474</v>
      </c>
    </row>
    <row r="1523" spans="1:9" x14ac:dyDescent="0.3">
      <c r="A1523" t="s">
        <v>32</v>
      </c>
      <c r="B1523">
        <v>2018</v>
      </c>
      <c r="C1523">
        <v>2</v>
      </c>
      <c r="D1523" t="s">
        <v>11</v>
      </c>
      <c r="E1523">
        <v>397135</v>
      </c>
      <c r="F1523" s="6">
        <v>339308203.17074043</v>
      </c>
      <c r="G1523" s="5">
        <v>37858282</v>
      </c>
      <c r="H1523">
        <v>0</v>
      </c>
      <c r="I1523" s="1">
        <v>8.9625885076015983</v>
      </c>
    </row>
    <row r="1524" spans="1:9" x14ac:dyDescent="0.3">
      <c r="A1524" t="s">
        <v>32</v>
      </c>
      <c r="B1524">
        <v>2018</v>
      </c>
      <c r="C1524">
        <v>2</v>
      </c>
      <c r="D1524" t="s">
        <v>12</v>
      </c>
      <c r="E1524">
        <v>305553</v>
      </c>
      <c r="F1524" s="6">
        <v>53860331.805742756</v>
      </c>
      <c r="G1524" s="5">
        <v>37858282</v>
      </c>
      <c r="H1524">
        <v>0</v>
      </c>
      <c r="I1524" s="1">
        <v>1.422682936477222</v>
      </c>
    </row>
    <row r="1525" spans="1:9" x14ac:dyDescent="0.3">
      <c r="A1525" t="s">
        <v>32</v>
      </c>
      <c r="B1525">
        <v>2018</v>
      </c>
      <c r="C1525">
        <v>2</v>
      </c>
      <c r="D1525" t="s">
        <v>13</v>
      </c>
      <c r="E1525">
        <v>264797</v>
      </c>
      <c r="F1525" s="6">
        <v>243218603.31985626</v>
      </c>
      <c r="G1525" s="5">
        <v>37858282</v>
      </c>
      <c r="H1525">
        <v>0</v>
      </c>
      <c r="I1525" s="1">
        <v>6.4244490365372693</v>
      </c>
    </row>
    <row r="1526" spans="1:9" x14ac:dyDescent="0.3">
      <c r="A1526" t="s">
        <v>32</v>
      </c>
      <c r="B1526">
        <v>2018</v>
      </c>
      <c r="C1526">
        <v>3</v>
      </c>
      <c r="D1526" t="s">
        <v>10</v>
      </c>
      <c r="E1526">
        <v>9988509</v>
      </c>
      <c r="F1526" s="6">
        <v>22057686208.544342</v>
      </c>
      <c r="G1526" s="5">
        <v>47402399</v>
      </c>
      <c r="H1526">
        <v>0</v>
      </c>
      <c r="I1526" s="1">
        <v>465.32847859755668</v>
      </c>
    </row>
    <row r="1527" spans="1:9" x14ac:dyDescent="0.3">
      <c r="A1527" t="s">
        <v>32</v>
      </c>
      <c r="B1527">
        <v>2018</v>
      </c>
      <c r="C1527">
        <v>3</v>
      </c>
      <c r="D1527" t="s">
        <v>9</v>
      </c>
      <c r="E1527">
        <v>5733261</v>
      </c>
      <c r="F1527" s="6">
        <v>1367773856.6756551</v>
      </c>
      <c r="G1527" s="5">
        <v>47402399</v>
      </c>
      <c r="H1527">
        <v>0</v>
      </c>
      <c r="I1527" s="1">
        <v>28.854528157438931</v>
      </c>
    </row>
    <row r="1528" spans="1:9" x14ac:dyDescent="0.3">
      <c r="A1528" t="s">
        <v>32</v>
      </c>
      <c r="B1528">
        <v>2018</v>
      </c>
      <c r="C1528">
        <v>3</v>
      </c>
      <c r="D1528" t="s">
        <v>11</v>
      </c>
      <c r="E1528">
        <v>784995</v>
      </c>
      <c r="F1528" s="6">
        <v>465390819.59013355</v>
      </c>
      <c r="G1528" s="5">
        <v>47402399</v>
      </c>
      <c r="H1528">
        <v>0</v>
      </c>
      <c r="I1528" s="1">
        <v>9.8178748208531292</v>
      </c>
    </row>
    <row r="1529" spans="1:9" x14ac:dyDescent="0.3">
      <c r="A1529" t="s">
        <v>32</v>
      </c>
      <c r="B1529">
        <v>2018</v>
      </c>
      <c r="C1529">
        <v>3</v>
      </c>
      <c r="D1529" t="s">
        <v>12</v>
      </c>
      <c r="E1529">
        <v>359440</v>
      </c>
      <c r="F1529" s="6">
        <v>46120458.63885434</v>
      </c>
      <c r="G1529" s="5">
        <v>47402399</v>
      </c>
      <c r="H1529">
        <v>0</v>
      </c>
      <c r="I1529" s="1">
        <v>0.97295621343667316</v>
      </c>
    </row>
    <row r="1530" spans="1:9" x14ac:dyDescent="0.3">
      <c r="A1530" t="s">
        <v>32</v>
      </c>
      <c r="B1530">
        <v>2018</v>
      </c>
      <c r="C1530">
        <v>3</v>
      </c>
      <c r="D1530" t="s">
        <v>13</v>
      </c>
      <c r="E1530">
        <v>260780</v>
      </c>
      <c r="F1530" s="6">
        <v>212770861.22341695</v>
      </c>
      <c r="G1530" s="5">
        <v>47402399</v>
      </c>
      <c r="H1530">
        <v>0</v>
      </c>
      <c r="I1530" s="1">
        <v>4.4886095579976226</v>
      </c>
    </row>
    <row r="1531" spans="1:9" x14ac:dyDescent="0.3">
      <c r="A1531" t="s">
        <v>32</v>
      </c>
      <c r="B1531">
        <v>2018</v>
      </c>
      <c r="C1531">
        <v>4</v>
      </c>
      <c r="D1531" t="s">
        <v>10</v>
      </c>
      <c r="E1531">
        <v>11456555</v>
      </c>
      <c r="F1531" s="6">
        <v>30897348664.905441</v>
      </c>
      <c r="G1531" s="5">
        <v>59019862</v>
      </c>
      <c r="H1531">
        <v>0</v>
      </c>
      <c r="I1531" s="1">
        <v>523.50763993493308</v>
      </c>
    </row>
    <row r="1532" spans="1:9" x14ac:dyDescent="0.3">
      <c r="A1532" t="s">
        <v>32</v>
      </c>
      <c r="B1532">
        <v>2018</v>
      </c>
      <c r="C1532">
        <v>4</v>
      </c>
      <c r="D1532" t="s">
        <v>9</v>
      </c>
      <c r="E1532">
        <v>7273502</v>
      </c>
      <c r="F1532" s="6">
        <v>1669345516.9413681</v>
      </c>
      <c r="G1532" s="5">
        <v>59019862</v>
      </c>
      <c r="H1532">
        <v>0</v>
      </c>
      <c r="I1532" s="1">
        <v>28.284470013524736</v>
      </c>
    </row>
    <row r="1533" spans="1:9" x14ac:dyDescent="0.3">
      <c r="A1533" t="s">
        <v>32</v>
      </c>
      <c r="B1533">
        <v>2018</v>
      </c>
      <c r="C1533">
        <v>4</v>
      </c>
      <c r="D1533" t="s">
        <v>11</v>
      </c>
      <c r="E1533">
        <v>2056426</v>
      </c>
      <c r="F1533" s="6">
        <v>1036249753.9278035</v>
      </c>
      <c r="G1533" s="5">
        <v>59019862</v>
      </c>
      <c r="H1533">
        <v>0</v>
      </c>
      <c r="I1533" s="1">
        <v>17.557644474461895</v>
      </c>
    </row>
    <row r="1534" spans="1:9" x14ac:dyDescent="0.3">
      <c r="A1534" t="s">
        <v>32</v>
      </c>
      <c r="B1534">
        <v>2018</v>
      </c>
      <c r="C1534">
        <v>4</v>
      </c>
      <c r="D1534" t="s">
        <v>12</v>
      </c>
      <c r="E1534">
        <v>313540</v>
      </c>
      <c r="F1534" s="6">
        <v>43367243.154430926</v>
      </c>
      <c r="G1534" s="5">
        <v>59019862</v>
      </c>
      <c r="H1534">
        <v>0</v>
      </c>
      <c r="I1534" s="1">
        <v>0.73479065665099197</v>
      </c>
    </row>
    <row r="1535" spans="1:9" x14ac:dyDescent="0.3">
      <c r="A1535" t="s">
        <v>32</v>
      </c>
      <c r="B1535">
        <v>2018</v>
      </c>
      <c r="C1535">
        <v>4</v>
      </c>
      <c r="D1535" t="s">
        <v>13</v>
      </c>
      <c r="E1535">
        <v>297532</v>
      </c>
      <c r="F1535" s="6">
        <v>259296894.03827757</v>
      </c>
      <c r="G1535" s="5">
        <v>59019862</v>
      </c>
      <c r="H1535">
        <v>0</v>
      </c>
      <c r="I1535" s="1">
        <v>4.3933836042903245</v>
      </c>
    </row>
    <row r="1536" spans="1:9" x14ac:dyDescent="0.3">
      <c r="A1536" t="s">
        <v>32</v>
      </c>
      <c r="B1536">
        <v>2019</v>
      </c>
      <c r="C1536">
        <v>1</v>
      </c>
      <c r="D1536" t="s">
        <v>10</v>
      </c>
      <c r="E1536">
        <v>23708825</v>
      </c>
      <c r="F1536" s="6">
        <v>44114206183.091858</v>
      </c>
      <c r="G1536" s="5">
        <v>70558433</v>
      </c>
      <c r="H1536">
        <v>0</v>
      </c>
      <c r="I1536" s="1">
        <v>625.21521960517259</v>
      </c>
    </row>
    <row r="1537" spans="1:9" x14ac:dyDescent="0.3">
      <c r="A1537" t="s">
        <v>32</v>
      </c>
      <c r="B1537">
        <v>2019</v>
      </c>
      <c r="C1537">
        <v>1</v>
      </c>
      <c r="D1537" t="s">
        <v>9</v>
      </c>
      <c r="E1537">
        <v>9966905</v>
      </c>
      <c r="F1537" s="6">
        <v>2423593841.7161422</v>
      </c>
      <c r="G1537" s="5">
        <v>70558433</v>
      </c>
      <c r="H1537">
        <v>0</v>
      </c>
      <c r="I1537" s="1">
        <v>34.348748103804148</v>
      </c>
    </row>
    <row r="1538" spans="1:9" x14ac:dyDescent="0.3">
      <c r="A1538" t="s">
        <v>32</v>
      </c>
      <c r="B1538">
        <v>2019</v>
      </c>
      <c r="C1538">
        <v>1</v>
      </c>
      <c r="D1538" t="s">
        <v>11</v>
      </c>
      <c r="E1538">
        <v>3018928</v>
      </c>
      <c r="F1538" s="6">
        <v>1263699222.3501081</v>
      </c>
      <c r="G1538" s="5">
        <v>70558433</v>
      </c>
      <c r="H1538">
        <v>0</v>
      </c>
      <c r="I1538" s="1">
        <v>17.909967223196528</v>
      </c>
    </row>
    <row r="1539" spans="1:9" x14ac:dyDescent="0.3">
      <c r="A1539" t="s">
        <v>32</v>
      </c>
      <c r="B1539">
        <v>2019</v>
      </c>
      <c r="C1539">
        <v>1</v>
      </c>
      <c r="D1539" t="s">
        <v>12</v>
      </c>
      <c r="E1539">
        <v>290838</v>
      </c>
      <c r="F1539" s="6">
        <v>28901169.292499043</v>
      </c>
      <c r="G1539" s="5">
        <v>70558433</v>
      </c>
      <c r="H1539">
        <v>0</v>
      </c>
      <c r="I1539" s="1">
        <v>0.40960616702611641</v>
      </c>
    </row>
    <row r="1540" spans="1:9" x14ac:dyDescent="0.3">
      <c r="A1540" t="s">
        <v>32</v>
      </c>
      <c r="B1540">
        <v>2019</v>
      </c>
      <c r="C1540">
        <v>1</v>
      </c>
      <c r="D1540" t="s">
        <v>13</v>
      </c>
      <c r="E1540">
        <v>315553</v>
      </c>
      <c r="F1540" s="6">
        <v>239879105.59723681</v>
      </c>
      <c r="G1540" s="5">
        <v>70558433</v>
      </c>
      <c r="H1540">
        <v>0</v>
      </c>
      <c r="I1540" s="1">
        <v>3.3997226893805426</v>
      </c>
    </row>
    <row r="1541" spans="1:9" x14ac:dyDescent="0.3">
      <c r="A1541" t="s">
        <v>32</v>
      </c>
      <c r="B1541">
        <v>2019</v>
      </c>
      <c r="C1541">
        <v>2</v>
      </c>
      <c r="D1541" t="s">
        <v>10</v>
      </c>
      <c r="E1541">
        <v>20868744</v>
      </c>
      <c r="F1541" s="6">
        <v>61758841793.876663</v>
      </c>
      <c r="G1541" s="5">
        <v>80312892</v>
      </c>
      <c r="H1541">
        <v>557063661</v>
      </c>
      <c r="I1541" s="1">
        <v>768.97793437542589</v>
      </c>
    </row>
    <row r="1542" spans="1:9" x14ac:dyDescent="0.3">
      <c r="A1542" t="s">
        <v>32</v>
      </c>
      <c r="B1542">
        <v>2019</v>
      </c>
      <c r="C1542">
        <v>2</v>
      </c>
      <c r="D1542" t="s">
        <v>9</v>
      </c>
      <c r="E1542">
        <v>12044969</v>
      </c>
      <c r="F1542" s="6">
        <v>3571897178.3031011</v>
      </c>
      <c r="G1542" s="5">
        <v>80312892</v>
      </c>
      <c r="H1542">
        <v>557063661</v>
      </c>
      <c r="I1542" s="1">
        <v>44.474767242886749</v>
      </c>
    </row>
    <row r="1543" spans="1:9" x14ac:dyDescent="0.3">
      <c r="A1543" t="s">
        <v>32</v>
      </c>
      <c r="B1543">
        <v>2019</v>
      </c>
      <c r="C1543">
        <v>2</v>
      </c>
      <c r="D1543" t="s">
        <v>11</v>
      </c>
      <c r="E1543">
        <v>7331352</v>
      </c>
      <c r="F1543" s="6">
        <v>2671155681.4491549</v>
      </c>
      <c r="G1543" s="5">
        <v>80312892</v>
      </c>
      <c r="H1543">
        <v>557063661</v>
      </c>
      <c r="I1543" s="1">
        <v>33.259363657943666</v>
      </c>
    </row>
    <row r="1544" spans="1:9" x14ac:dyDescent="0.3">
      <c r="A1544" t="s">
        <v>32</v>
      </c>
      <c r="B1544">
        <v>2019</v>
      </c>
      <c r="C1544">
        <v>2</v>
      </c>
      <c r="D1544" t="s">
        <v>12</v>
      </c>
      <c r="E1544">
        <v>149197</v>
      </c>
      <c r="F1544" s="6">
        <v>18869661.513485767</v>
      </c>
      <c r="G1544" s="5">
        <v>80312892</v>
      </c>
      <c r="H1544">
        <v>557063661</v>
      </c>
      <c r="I1544" s="1">
        <v>0.23495183704112868</v>
      </c>
    </row>
    <row r="1545" spans="1:9" x14ac:dyDescent="0.3">
      <c r="A1545" t="s">
        <v>32</v>
      </c>
      <c r="B1545">
        <v>2019</v>
      </c>
      <c r="C1545">
        <v>2</v>
      </c>
      <c r="D1545" t="s">
        <v>13</v>
      </c>
      <c r="E1545">
        <v>451751</v>
      </c>
      <c r="F1545" s="6">
        <v>313802065.4154737</v>
      </c>
      <c r="G1545" s="5">
        <v>80312892</v>
      </c>
      <c r="H1545">
        <v>557063661</v>
      </c>
      <c r="I1545" s="1">
        <v>3.9072440003215636</v>
      </c>
    </row>
    <row r="1546" spans="1:9" x14ac:dyDescent="0.3">
      <c r="A1546" t="s">
        <v>32</v>
      </c>
      <c r="B1546">
        <v>2019</v>
      </c>
      <c r="C1546">
        <v>3</v>
      </c>
      <c r="D1546" t="s">
        <v>10</v>
      </c>
      <c r="E1546">
        <v>22631038</v>
      </c>
      <c r="F1546" s="6">
        <v>67648107703.035698</v>
      </c>
      <c r="G1546" s="5">
        <v>89987304</v>
      </c>
      <c r="H1546">
        <v>2115887180</v>
      </c>
      <c r="I1546" s="1">
        <v>751.75168824966352</v>
      </c>
    </row>
    <row r="1547" spans="1:9" x14ac:dyDescent="0.3">
      <c r="A1547" t="s">
        <v>32</v>
      </c>
      <c r="B1547">
        <v>2019</v>
      </c>
      <c r="C1547">
        <v>3</v>
      </c>
      <c r="D1547" t="s">
        <v>11</v>
      </c>
      <c r="E1547">
        <v>17163551</v>
      </c>
      <c r="F1547" s="6">
        <v>5147459307.1017418</v>
      </c>
      <c r="G1547" s="5">
        <v>89987304</v>
      </c>
      <c r="H1547">
        <v>2115887180</v>
      </c>
      <c r="I1547" s="1">
        <v>57.202061605287582</v>
      </c>
    </row>
    <row r="1548" spans="1:9" x14ac:dyDescent="0.3">
      <c r="A1548" t="s">
        <v>32</v>
      </c>
      <c r="B1548">
        <v>2019</v>
      </c>
      <c r="C1548">
        <v>3</v>
      </c>
      <c r="D1548" t="s">
        <v>9</v>
      </c>
      <c r="E1548">
        <v>13156616</v>
      </c>
      <c r="F1548" s="6">
        <v>4576521609.4608335</v>
      </c>
      <c r="G1548" s="5">
        <v>89987304</v>
      </c>
      <c r="H1548">
        <v>2115887180</v>
      </c>
      <c r="I1548" s="1">
        <v>50.857414391043804</v>
      </c>
    </row>
    <row r="1549" spans="1:9" x14ac:dyDescent="0.3">
      <c r="A1549" t="s">
        <v>32</v>
      </c>
      <c r="B1549">
        <v>2019</v>
      </c>
      <c r="C1549">
        <v>3</v>
      </c>
      <c r="D1549" t="s">
        <v>12</v>
      </c>
      <c r="E1549">
        <v>192821</v>
      </c>
      <c r="F1549" s="6">
        <v>25654168.600921322</v>
      </c>
      <c r="G1549" s="5">
        <v>89987304</v>
      </c>
      <c r="H1549">
        <v>2115887180</v>
      </c>
      <c r="I1549" s="1">
        <v>0.28508653399507694</v>
      </c>
    </row>
    <row r="1550" spans="1:9" x14ac:dyDescent="0.3">
      <c r="A1550" t="s">
        <v>32</v>
      </c>
      <c r="B1550">
        <v>2019</v>
      </c>
      <c r="C1550">
        <v>3</v>
      </c>
      <c r="D1550" t="s">
        <v>13</v>
      </c>
      <c r="E1550">
        <v>466385</v>
      </c>
      <c r="F1550" s="6">
        <v>278578703.04411173</v>
      </c>
      <c r="G1550" s="5">
        <v>89987304</v>
      </c>
      <c r="H1550">
        <v>2115887180</v>
      </c>
      <c r="I1550" s="1">
        <v>3.0957556306399816</v>
      </c>
    </row>
    <row r="1551" spans="1:9" x14ac:dyDescent="0.3">
      <c r="A1551" t="s">
        <v>32</v>
      </c>
      <c r="B1551">
        <v>2019</v>
      </c>
      <c r="C1551">
        <v>4</v>
      </c>
      <c r="D1551" t="s">
        <v>10</v>
      </c>
      <c r="E1551">
        <v>32083162</v>
      </c>
      <c r="F1551" s="6">
        <v>92064471161.989197</v>
      </c>
      <c r="G1551" s="5">
        <v>100817651</v>
      </c>
      <c r="H1551">
        <v>2616294736</v>
      </c>
      <c r="I1551" s="1">
        <v>913.17810173924011</v>
      </c>
    </row>
    <row r="1552" spans="1:9" x14ac:dyDescent="0.3">
      <c r="A1552" t="s">
        <v>32</v>
      </c>
      <c r="B1552">
        <v>2019</v>
      </c>
      <c r="C1552">
        <v>4</v>
      </c>
      <c r="D1552" t="s">
        <v>11</v>
      </c>
      <c r="E1552">
        <v>19447707</v>
      </c>
      <c r="F1552" s="6">
        <v>7304157801.6129351</v>
      </c>
      <c r="G1552" s="5">
        <v>100817651</v>
      </c>
      <c r="H1552">
        <v>2616294736</v>
      </c>
      <c r="I1552" s="1">
        <v>72.449196436970496</v>
      </c>
    </row>
    <row r="1553" spans="1:9" x14ac:dyDescent="0.3">
      <c r="A1553" t="s">
        <v>32</v>
      </c>
      <c r="B1553">
        <v>2019</v>
      </c>
      <c r="C1553">
        <v>4</v>
      </c>
      <c r="D1553" t="s">
        <v>9</v>
      </c>
      <c r="E1553">
        <v>16081734</v>
      </c>
      <c r="F1553" s="6">
        <v>5104821720.9990158</v>
      </c>
      <c r="G1553" s="5">
        <v>100817651</v>
      </c>
      <c r="H1553">
        <v>2616294736</v>
      </c>
      <c r="I1553" s="1">
        <v>50.634206117329754</v>
      </c>
    </row>
    <row r="1554" spans="1:9" x14ac:dyDescent="0.3">
      <c r="A1554" t="s">
        <v>32</v>
      </c>
      <c r="B1554">
        <v>2019</v>
      </c>
      <c r="C1554">
        <v>4</v>
      </c>
      <c r="D1554" t="s">
        <v>12</v>
      </c>
      <c r="E1554">
        <v>127116</v>
      </c>
      <c r="F1554" s="6">
        <v>24020060.932133198</v>
      </c>
      <c r="G1554" s="5">
        <v>100817651</v>
      </c>
      <c r="H1554">
        <v>2616294736</v>
      </c>
      <c r="I1554" s="1">
        <v>0.23825253508567856</v>
      </c>
    </row>
    <row r="1555" spans="1:9" x14ac:dyDescent="0.3">
      <c r="A1555" t="s">
        <v>32</v>
      </c>
      <c r="B1555">
        <v>2019</v>
      </c>
      <c r="C1555">
        <v>4</v>
      </c>
      <c r="D1555" t="s">
        <v>13</v>
      </c>
      <c r="E1555">
        <v>392270</v>
      </c>
      <c r="F1555" s="6">
        <v>190456045.32494444</v>
      </c>
      <c r="G1555" s="5">
        <v>100817651</v>
      </c>
      <c r="H1555">
        <v>2616294736</v>
      </c>
      <c r="I1555" s="1">
        <v>1.8891140929770764</v>
      </c>
    </row>
    <row r="1556" spans="1:9" x14ac:dyDescent="0.3">
      <c r="A1556" t="s">
        <v>32</v>
      </c>
      <c r="B1556">
        <v>2020</v>
      </c>
      <c r="C1556">
        <v>1</v>
      </c>
      <c r="D1556" t="s">
        <v>10</v>
      </c>
      <c r="E1556">
        <v>34540722</v>
      </c>
      <c r="F1556" s="6">
        <v>110325991607.38477</v>
      </c>
      <c r="G1556" s="5">
        <v>111665081</v>
      </c>
      <c r="H1556">
        <v>2886977280</v>
      </c>
      <c r="I1556" s="1">
        <v>988.00798440637652</v>
      </c>
    </row>
    <row r="1557" spans="1:9" x14ac:dyDescent="0.3">
      <c r="A1557" t="s">
        <v>32</v>
      </c>
      <c r="B1557">
        <v>2020</v>
      </c>
      <c r="C1557">
        <v>1</v>
      </c>
      <c r="D1557" t="s">
        <v>11</v>
      </c>
      <c r="E1557">
        <v>24618074</v>
      </c>
      <c r="F1557" s="6">
        <v>9898242848.2579308</v>
      </c>
      <c r="G1557" s="5">
        <v>111665081</v>
      </c>
      <c r="H1557">
        <v>2886977280</v>
      </c>
      <c r="I1557" s="1">
        <v>88.642239450468239</v>
      </c>
    </row>
    <row r="1558" spans="1:9" x14ac:dyDescent="0.3">
      <c r="A1558" t="s">
        <v>32</v>
      </c>
      <c r="B1558">
        <v>2020</v>
      </c>
      <c r="C1558">
        <v>1</v>
      </c>
      <c r="D1558" t="s">
        <v>9</v>
      </c>
      <c r="E1558">
        <v>19788516</v>
      </c>
      <c r="F1558" s="6">
        <v>6311610609.8462248</v>
      </c>
      <c r="G1558" s="5">
        <v>111665081</v>
      </c>
      <c r="H1558">
        <v>2886977280</v>
      </c>
      <c r="I1558" s="1">
        <v>56.522688680503663</v>
      </c>
    </row>
    <row r="1559" spans="1:9" x14ac:dyDescent="0.3">
      <c r="A1559" t="s">
        <v>32</v>
      </c>
      <c r="B1559">
        <v>2020</v>
      </c>
      <c r="C1559">
        <v>1</v>
      </c>
      <c r="D1559" t="s">
        <v>12</v>
      </c>
      <c r="E1559">
        <v>68055</v>
      </c>
      <c r="F1559" s="6">
        <v>30645714.401902914</v>
      </c>
      <c r="G1559" s="5">
        <v>111665081</v>
      </c>
      <c r="H1559">
        <v>2886977280</v>
      </c>
      <c r="I1559" s="1">
        <v>0.27444313054233055</v>
      </c>
    </row>
    <row r="1560" spans="1:9" x14ac:dyDescent="0.3">
      <c r="A1560" t="s">
        <v>32</v>
      </c>
      <c r="B1560">
        <v>2020</v>
      </c>
      <c r="C1560">
        <v>1</v>
      </c>
      <c r="D1560" t="s">
        <v>13</v>
      </c>
      <c r="E1560">
        <v>351379</v>
      </c>
      <c r="F1560" s="6">
        <v>170790656.30339786</v>
      </c>
      <c r="G1560" s="5">
        <v>111665081</v>
      </c>
      <c r="H1560">
        <v>2886977280</v>
      </c>
      <c r="I1560" s="1">
        <v>1.5294902826730397</v>
      </c>
    </row>
    <row r="1561" spans="1:9" x14ac:dyDescent="0.3">
      <c r="A1561" t="s">
        <v>32</v>
      </c>
      <c r="B1561">
        <v>2020</v>
      </c>
      <c r="C1561">
        <v>2</v>
      </c>
      <c r="D1561" t="s">
        <v>10</v>
      </c>
      <c r="E1561">
        <v>34860958</v>
      </c>
      <c r="F1561" s="6">
        <v>128184693854.7977</v>
      </c>
      <c r="G1561" s="5">
        <v>125118653</v>
      </c>
      <c r="H1561">
        <v>2791470484</v>
      </c>
      <c r="I1561" s="1">
        <v>1024.5050660415734</v>
      </c>
    </row>
    <row r="1562" spans="1:9" x14ac:dyDescent="0.3">
      <c r="A1562" t="s">
        <v>32</v>
      </c>
      <c r="B1562">
        <v>2020</v>
      </c>
      <c r="C1562">
        <v>2</v>
      </c>
      <c r="D1562" t="s">
        <v>9</v>
      </c>
      <c r="E1562">
        <v>27497528</v>
      </c>
      <c r="F1562" s="6">
        <v>8904067957.0121193</v>
      </c>
      <c r="G1562" s="5">
        <v>125118653</v>
      </c>
      <c r="H1562">
        <v>2791470484</v>
      </c>
      <c r="I1562" s="1">
        <v>71.164992137600137</v>
      </c>
    </row>
    <row r="1563" spans="1:9" x14ac:dyDescent="0.3">
      <c r="A1563" t="s">
        <v>32</v>
      </c>
      <c r="B1563">
        <v>2020</v>
      </c>
      <c r="C1563">
        <v>2</v>
      </c>
      <c r="D1563" t="s">
        <v>11</v>
      </c>
      <c r="E1563">
        <v>13685723</v>
      </c>
      <c r="F1563" s="6">
        <v>10666223053.634727</v>
      </c>
      <c r="G1563" s="5">
        <v>125118653</v>
      </c>
      <c r="H1563">
        <v>2791470484</v>
      </c>
      <c r="I1563" s="1">
        <v>85.248864161243233</v>
      </c>
    </row>
    <row r="1564" spans="1:9" x14ac:dyDescent="0.3">
      <c r="A1564" t="s">
        <v>32</v>
      </c>
      <c r="B1564">
        <v>2020</v>
      </c>
      <c r="C1564">
        <v>2</v>
      </c>
      <c r="D1564" t="s">
        <v>12</v>
      </c>
      <c r="E1564">
        <v>80988</v>
      </c>
      <c r="F1564" s="6">
        <v>62073621.443515137</v>
      </c>
      <c r="G1564" s="5">
        <v>125118653</v>
      </c>
      <c r="H1564">
        <v>2791470484</v>
      </c>
      <c r="I1564" s="1">
        <v>0.49611804439354967</v>
      </c>
    </row>
    <row r="1565" spans="1:9" x14ac:dyDescent="0.3">
      <c r="A1565" t="s">
        <v>32</v>
      </c>
      <c r="B1565">
        <v>2020</v>
      </c>
      <c r="C1565">
        <v>2</v>
      </c>
      <c r="D1565" t="s">
        <v>13</v>
      </c>
      <c r="E1565">
        <v>215376</v>
      </c>
      <c r="F1565" s="6">
        <v>104956802.17437972</v>
      </c>
      <c r="G1565" s="5">
        <v>125118653</v>
      </c>
      <c r="H1565">
        <v>2791470484</v>
      </c>
      <c r="I1565" s="1">
        <v>0.83885815310351619</v>
      </c>
    </row>
    <row r="1566" spans="1:9" x14ac:dyDescent="0.3">
      <c r="A1566" t="s">
        <v>32</v>
      </c>
      <c r="B1566">
        <v>2020</v>
      </c>
      <c r="C1566">
        <v>3</v>
      </c>
      <c r="D1566" t="s">
        <v>10</v>
      </c>
      <c r="E1566">
        <v>50871564</v>
      </c>
      <c r="F1566" s="6">
        <v>174978985034.2865</v>
      </c>
      <c r="G1566" s="5">
        <v>138206464</v>
      </c>
      <c r="H1566">
        <v>3573360934</v>
      </c>
      <c r="I1566" s="1">
        <v>1266.0694729465513</v>
      </c>
    </row>
    <row r="1567" spans="1:9" x14ac:dyDescent="0.3">
      <c r="A1567" t="s">
        <v>32</v>
      </c>
      <c r="B1567">
        <v>2020</v>
      </c>
      <c r="C1567">
        <v>3</v>
      </c>
      <c r="D1567" t="s">
        <v>11</v>
      </c>
      <c r="E1567">
        <v>31879804</v>
      </c>
      <c r="F1567" s="6">
        <v>20621273981.65966</v>
      </c>
      <c r="G1567" s="5">
        <v>138206464</v>
      </c>
      <c r="H1567">
        <v>3573360934</v>
      </c>
      <c r="I1567" s="1">
        <v>149.20629169457413</v>
      </c>
    </row>
    <row r="1568" spans="1:9" x14ac:dyDescent="0.3">
      <c r="A1568" t="s">
        <v>32</v>
      </c>
      <c r="B1568">
        <v>2020</v>
      </c>
      <c r="C1568">
        <v>3</v>
      </c>
      <c r="D1568" t="s">
        <v>9</v>
      </c>
      <c r="E1568">
        <v>25380467</v>
      </c>
      <c r="F1568" s="6">
        <v>9834190567.2055168</v>
      </c>
      <c r="G1568" s="5">
        <v>138206464</v>
      </c>
      <c r="H1568">
        <v>3573360934</v>
      </c>
      <c r="I1568" s="1">
        <v>71.155793170466453</v>
      </c>
    </row>
    <row r="1569" spans="1:9" x14ac:dyDescent="0.3">
      <c r="A1569" t="s">
        <v>32</v>
      </c>
      <c r="B1569">
        <v>2020</v>
      </c>
      <c r="C1569">
        <v>3</v>
      </c>
      <c r="D1569" t="s">
        <v>12</v>
      </c>
      <c r="E1569">
        <v>131725</v>
      </c>
      <c r="F1569" s="6">
        <v>122971108.07060198</v>
      </c>
      <c r="G1569" s="5">
        <v>138206464</v>
      </c>
      <c r="H1569">
        <v>3573360934</v>
      </c>
      <c r="I1569" s="1">
        <v>0.88976379621869195</v>
      </c>
    </row>
    <row r="1570" spans="1:9" x14ac:dyDescent="0.3">
      <c r="A1570" t="s">
        <v>32</v>
      </c>
      <c r="B1570">
        <v>2020</v>
      </c>
      <c r="C1570">
        <v>3</v>
      </c>
      <c r="D1570" t="s">
        <v>13</v>
      </c>
      <c r="E1570">
        <v>316321</v>
      </c>
      <c r="F1570" s="6">
        <v>144259293.31583393</v>
      </c>
      <c r="G1570" s="5">
        <v>138206464</v>
      </c>
      <c r="H1570">
        <v>3573360934</v>
      </c>
      <c r="I1570" s="1">
        <v>1.043795558765138</v>
      </c>
    </row>
    <row r="1571" spans="1:9" x14ac:dyDescent="0.3">
      <c r="A1571" t="s">
        <v>32</v>
      </c>
      <c r="B1571">
        <v>2020</v>
      </c>
      <c r="C1571">
        <v>4</v>
      </c>
      <c r="D1571" t="s">
        <v>10</v>
      </c>
      <c r="E1571">
        <v>67972167</v>
      </c>
      <c r="F1571" s="6">
        <v>235584201864.22342</v>
      </c>
      <c r="G1571" s="5">
        <v>151117417</v>
      </c>
      <c r="H1571">
        <v>4461285906</v>
      </c>
      <c r="I1571" s="1">
        <v>1558.9480454408733</v>
      </c>
    </row>
    <row r="1572" spans="1:9" x14ac:dyDescent="0.3">
      <c r="A1572" t="s">
        <v>32</v>
      </c>
      <c r="B1572">
        <v>2020</v>
      </c>
      <c r="C1572">
        <v>4</v>
      </c>
      <c r="D1572" t="s">
        <v>11</v>
      </c>
      <c r="E1572">
        <v>57707471</v>
      </c>
      <c r="F1572" s="6">
        <v>37315576877.145691</v>
      </c>
      <c r="G1572" s="5">
        <v>151117417</v>
      </c>
      <c r="H1572">
        <v>4461285906</v>
      </c>
      <c r="I1572" s="1">
        <v>246.93101310185637</v>
      </c>
    </row>
    <row r="1573" spans="1:9" x14ac:dyDescent="0.3">
      <c r="A1573" t="s">
        <v>32</v>
      </c>
      <c r="B1573">
        <v>2020</v>
      </c>
      <c r="C1573">
        <v>4</v>
      </c>
      <c r="D1573" t="s">
        <v>9</v>
      </c>
      <c r="E1573">
        <v>27335834</v>
      </c>
      <c r="F1573" s="6">
        <v>10977774483.325565</v>
      </c>
      <c r="G1573" s="5">
        <v>151117417</v>
      </c>
      <c r="H1573">
        <v>4461285906</v>
      </c>
      <c r="I1573" s="1">
        <v>72.64400557697175</v>
      </c>
    </row>
    <row r="1574" spans="1:9" x14ac:dyDescent="0.3">
      <c r="A1574" t="s">
        <v>32</v>
      </c>
      <c r="B1574">
        <v>2020</v>
      </c>
      <c r="C1574">
        <v>4</v>
      </c>
      <c r="D1574" t="s">
        <v>12</v>
      </c>
      <c r="E1574">
        <v>149532</v>
      </c>
      <c r="F1574" s="6">
        <v>132590450.07074244</v>
      </c>
      <c r="G1574" s="5">
        <v>151117417</v>
      </c>
      <c r="H1574">
        <v>4461285906</v>
      </c>
      <c r="I1574" s="1">
        <v>0.87740018789986629</v>
      </c>
    </row>
    <row r="1575" spans="1:9" x14ac:dyDescent="0.3">
      <c r="A1575" t="s">
        <v>32</v>
      </c>
      <c r="B1575">
        <v>2020</v>
      </c>
      <c r="C1575">
        <v>4</v>
      </c>
      <c r="D1575" t="s">
        <v>13</v>
      </c>
      <c r="E1575">
        <v>487537</v>
      </c>
      <c r="F1575" s="6">
        <v>264996097.6059612</v>
      </c>
      <c r="G1575" s="5">
        <v>151117417</v>
      </c>
      <c r="H1575">
        <v>4461285906</v>
      </c>
      <c r="I1575" s="1">
        <v>1.7535774688761467</v>
      </c>
    </row>
    <row r="1576" spans="1:9" x14ac:dyDescent="0.3">
      <c r="A1576" t="s">
        <v>32</v>
      </c>
      <c r="B1576">
        <v>2021</v>
      </c>
      <c r="C1576">
        <v>1</v>
      </c>
      <c r="D1576" t="s">
        <v>11</v>
      </c>
      <c r="E1576">
        <v>84812245</v>
      </c>
      <c r="F1576" s="6">
        <v>50098244499.506622</v>
      </c>
      <c r="G1576" s="5">
        <v>163233697</v>
      </c>
      <c r="H1576">
        <v>5307503036</v>
      </c>
      <c r="I1576" s="1">
        <v>306.91116736458298</v>
      </c>
    </row>
    <row r="1577" spans="1:9" x14ac:dyDescent="0.3">
      <c r="A1577" t="s">
        <v>32</v>
      </c>
      <c r="B1577">
        <v>2021</v>
      </c>
      <c r="C1577">
        <v>1</v>
      </c>
      <c r="D1577" t="s">
        <v>10</v>
      </c>
      <c r="E1577">
        <v>84070625</v>
      </c>
      <c r="F1577" s="6">
        <v>279938170703.81708</v>
      </c>
      <c r="G1577" s="5">
        <v>163233697</v>
      </c>
      <c r="H1577">
        <v>5307503036</v>
      </c>
      <c r="I1577" s="1">
        <v>1714.9533205990983</v>
      </c>
    </row>
    <row r="1578" spans="1:9" x14ac:dyDescent="0.3">
      <c r="A1578" t="s">
        <v>32</v>
      </c>
      <c r="B1578">
        <v>2021</v>
      </c>
      <c r="C1578">
        <v>1</v>
      </c>
      <c r="D1578" t="s">
        <v>9</v>
      </c>
      <c r="E1578">
        <v>32500681</v>
      </c>
      <c r="F1578" s="6">
        <v>13060914041.039404</v>
      </c>
      <c r="G1578" s="5">
        <v>163233697</v>
      </c>
      <c r="H1578">
        <v>5307503036</v>
      </c>
      <c r="I1578" s="1">
        <v>80.01358960239321</v>
      </c>
    </row>
    <row r="1579" spans="1:9" x14ac:dyDescent="0.3">
      <c r="A1579" t="s">
        <v>32</v>
      </c>
      <c r="B1579">
        <v>2021</v>
      </c>
      <c r="C1579">
        <v>1</v>
      </c>
      <c r="D1579" t="s">
        <v>12</v>
      </c>
      <c r="E1579">
        <v>169378</v>
      </c>
      <c r="F1579" s="6">
        <v>161838389.79547781</v>
      </c>
      <c r="G1579" s="5">
        <v>163233697</v>
      </c>
      <c r="H1579">
        <v>5307503036</v>
      </c>
      <c r="I1579" s="1">
        <v>0.99145208844640587</v>
      </c>
    </row>
    <row r="1580" spans="1:9" x14ac:dyDescent="0.3">
      <c r="A1580" t="s">
        <v>32</v>
      </c>
      <c r="B1580">
        <v>2021</v>
      </c>
      <c r="C1580">
        <v>1</v>
      </c>
      <c r="D1580" t="s">
        <v>13</v>
      </c>
      <c r="E1580">
        <v>445569</v>
      </c>
      <c r="F1580" s="6">
        <v>274786748.12995231</v>
      </c>
      <c r="G1580" s="5">
        <v>163233697</v>
      </c>
      <c r="H1580">
        <v>5307503036</v>
      </c>
      <c r="I1580" s="1">
        <v>1.6833947474090005</v>
      </c>
    </row>
    <row r="1581" spans="1:9" x14ac:dyDescent="0.3">
      <c r="A1581" t="s">
        <v>32</v>
      </c>
      <c r="B1581">
        <v>2021</v>
      </c>
      <c r="C1581">
        <v>2</v>
      </c>
      <c r="D1581" t="s">
        <v>10</v>
      </c>
      <c r="E1581">
        <v>99367521</v>
      </c>
      <c r="F1581" s="6">
        <v>348935762191.10486</v>
      </c>
      <c r="G1581" s="5">
        <v>175350285</v>
      </c>
      <c r="H1581">
        <v>8005158139</v>
      </c>
      <c r="I1581" s="1">
        <v>1989.9355292813175</v>
      </c>
    </row>
    <row r="1582" spans="1:9" x14ac:dyDescent="0.3">
      <c r="A1582" t="s">
        <v>32</v>
      </c>
      <c r="B1582">
        <v>2021</v>
      </c>
      <c r="C1582">
        <v>2</v>
      </c>
      <c r="D1582" t="s">
        <v>11</v>
      </c>
      <c r="E1582">
        <v>77113464</v>
      </c>
      <c r="F1582" s="6">
        <v>58839392449.993698</v>
      </c>
      <c r="G1582" s="5">
        <v>175350285</v>
      </c>
      <c r="H1582">
        <v>8005158139</v>
      </c>
      <c r="I1582" s="1">
        <v>335.55344634879663</v>
      </c>
    </row>
    <row r="1583" spans="1:9" x14ac:dyDescent="0.3">
      <c r="A1583" t="s">
        <v>32</v>
      </c>
      <c r="B1583">
        <v>2021</v>
      </c>
      <c r="C1583">
        <v>2</v>
      </c>
      <c r="D1583" t="s">
        <v>9</v>
      </c>
      <c r="E1583">
        <v>46118636</v>
      </c>
      <c r="F1583" s="6">
        <v>17230546398.848663</v>
      </c>
      <c r="G1583" s="5">
        <v>175350285</v>
      </c>
      <c r="H1583">
        <v>8005158139</v>
      </c>
      <c r="I1583" s="1">
        <v>98.263577951120311</v>
      </c>
    </row>
    <row r="1584" spans="1:9" x14ac:dyDescent="0.3">
      <c r="A1584" t="s">
        <v>32</v>
      </c>
      <c r="B1584">
        <v>2021</v>
      </c>
      <c r="C1584">
        <v>2</v>
      </c>
      <c r="D1584" t="s">
        <v>12</v>
      </c>
      <c r="E1584">
        <v>188726</v>
      </c>
      <c r="F1584" s="6">
        <v>177313389.66602695</v>
      </c>
      <c r="G1584" s="5">
        <v>175350285</v>
      </c>
      <c r="H1584">
        <v>8005158139</v>
      </c>
      <c r="I1584" s="1">
        <v>1.0111953320522231</v>
      </c>
    </row>
    <row r="1585" spans="1:9" x14ac:dyDescent="0.3">
      <c r="A1585" t="s">
        <v>32</v>
      </c>
      <c r="B1585">
        <v>2021</v>
      </c>
      <c r="C1585">
        <v>2</v>
      </c>
      <c r="D1585" t="s">
        <v>13</v>
      </c>
      <c r="E1585">
        <v>526333</v>
      </c>
      <c r="F1585" s="6">
        <v>317753606.01156956</v>
      </c>
      <c r="G1585" s="5">
        <v>175350285</v>
      </c>
      <c r="H1585">
        <v>8005158139</v>
      </c>
      <c r="I1585" s="1">
        <v>1.8121077248980209</v>
      </c>
    </row>
    <row r="1586" spans="1:9" x14ac:dyDescent="0.3">
      <c r="A1586" t="s">
        <v>32</v>
      </c>
      <c r="B1586">
        <v>2021</v>
      </c>
      <c r="C1586">
        <v>3</v>
      </c>
      <c r="D1586" t="s">
        <v>11</v>
      </c>
      <c r="E1586">
        <v>138433772</v>
      </c>
      <c r="F1586" s="6">
        <v>85885669792.432281</v>
      </c>
      <c r="G1586" s="5">
        <v>189312563</v>
      </c>
      <c r="H1586">
        <v>10225302164</v>
      </c>
      <c r="I1586" s="1">
        <v>453.67126423845565</v>
      </c>
    </row>
    <row r="1587" spans="1:9" x14ac:dyDescent="0.3">
      <c r="A1587" t="s">
        <v>32</v>
      </c>
      <c r="B1587">
        <v>2021</v>
      </c>
      <c r="C1587">
        <v>3</v>
      </c>
      <c r="D1587" t="s">
        <v>10</v>
      </c>
      <c r="E1587">
        <v>127654821</v>
      </c>
      <c r="F1587" s="6">
        <v>398912712886.4574</v>
      </c>
      <c r="G1587" s="5">
        <v>189312563</v>
      </c>
      <c r="H1587">
        <v>10225302164</v>
      </c>
      <c r="I1587" s="1">
        <v>2107.1645038499501</v>
      </c>
    </row>
    <row r="1588" spans="1:9" x14ac:dyDescent="0.3">
      <c r="A1588" t="s">
        <v>32</v>
      </c>
      <c r="B1588">
        <v>2021</v>
      </c>
      <c r="C1588">
        <v>3</v>
      </c>
      <c r="D1588" t="s">
        <v>9</v>
      </c>
      <c r="E1588">
        <v>44437315</v>
      </c>
      <c r="F1588" s="6">
        <v>19025346050.627724</v>
      </c>
      <c r="G1588" s="5">
        <v>189312563</v>
      </c>
      <c r="H1588">
        <v>10225302164</v>
      </c>
      <c r="I1588" s="1">
        <v>100.49700743118524</v>
      </c>
    </row>
    <row r="1589" spans="1:9" x14ac:dyDescent="0.3">
      <c r="A1589" t="s">
        <v>32</v>
      </c>
      <c r="B1589">
        <v>2021</v>
      </c>
      <c r="C1589">
        <v>3</v>
      </c>
      <c r="D1589" t="s">
        <v>12</v>
      </c>
      <c r="E1589">
        <v>174454</v>
      </c>
      <c r="F1589" s="6">
        <v>180366422.58245987</v>
      </c>
      <c r="G1589" s="5">
        <v>189312563</v>
      </c>
      <c r="H1589">
        <v>10225302164</v>
      </c>
      <c r="I1589" s="1">
        <v>0.95274407426653385</v>
      </c>
    </row>
    <row r="1590" spans="1:9" x14ac:dyDescent="0.3">
      <c r="A1590" t="s">
        <v>32</v>
      </c>
      <c r="B1590">
        <v>2021</v>
      </c>
      <c r="C1590">
        <v>3</v>
      </c>
      <c r="D1590" t="s">
        <v>13</v>
      </c>
      <c r="E1590">
        <v>742972</v>
      </c>
      <c r="F1590" s="6">
        <v>408508699.43654072</v>
      </c>
      <c r="G1590" s="5">
        <v>189312563</v>
      </c>
      <c r="H1590">
        <v>10225302164</v>
      </c>
      <c r="I1590" s="1">
        <v>2.1578530920662709</v>
      </c>
    </row>
    <row r="1591" spans="1:9" x14ac:dyDescent="0.3">
      <c r="A1591" t="s">
        <v>32</v>
      </c>
      <c r="B1591">
        <v>2021</v>
      </c>
      <c r="C1591">
        <v>4</v>
      </c>
      <c r="D1591" t="s">
        <v>11</v>
      </c>
      <c r="E1591">
        <v>197193842</v>
      </c>
      <c r="F1591" s="6">
        <v>126461098235.02324</v>
      </c>
      <c r="G1591" s="5">
        <v>203018673</v>
      </c>
      <c r="H1591">
        <v>10522938591</v>
      </c>
      <c r="I1591" s="1">
        <v>622.90377710735618</v>
      </c>
    </row>
    <row r="1592" spans="1:9" x14ac:dyDescent="0.3">
      <c r="A1592" t="s">
        <v>32</v>
      </c>
      <c r="B1592">
        <v>2021</v>
      </c>
      <c r="C1592">
        <v>4</v>
      </c>
      <c r="D1592" t="s">
        <v>10</v>
      </c>
      <c r="E1592">
        <v>159649020</v>
      </c>
      <c r="F1592" s="6">
        <v>507118521843.35883</v>
      </c>
      <c r="G1592" s="5">
        <v>203018673</v>
      </c>
      <c r="H1592">
        <v>10522938591</v>
      </c>
      <c r="I1592" s="1">
        <v>2497.891028197977</v>
      </c>
    </row>
    <row r="1593" spans="1:9" x14ac:dyDescent="0.3">
      <c r="A1593" t="s">
        <v>32</v>
      </c>
      <c r="B1593">
        <v>2021</v>
      </c>
      <c r="C1593">
        <v>4</v>
      </c>
      <c r="D1593" t="s">
        <v>9</v>
      </c>
      <c r="E1593">
        <v>46220966</v>
      </c>
      <c r="F1593" s="6">
        <v>22492766779.156635</v>
      </c>
      <c r="G1593" s="5">
        <v>203018673</v>
      </c>
      <c r="H1593">
        <v>10522938591</v>
      </c>
      <c r="I1593" s="1">
        <v>110.79161560255413</v>
      </c>
    </row>
    <row r="1594" spans="1:9" x14ac:dyDescent="0.3">
      <c r="A1594" t="s">
        <v>32</v>
      </c>
      <c r="B1594">
        <v>2021</v>
      </c>
      <c r="C1594">
        <v>4</v>
      </c>
      <c r="D1594" t="s">
        <v>12</v>
      </c>
      <c r="E1594">
        <v>247925</v>
      </c>
      <c r="F1594" s="6">
        <v>246488171.37792647</v>
      </c>
      <c r="G1594" s="5">
        <v>203018673</v>
      </c>
      <c r="H1594">
        <v>10522938591</v>
      </c>
      <c r="I1594" s="1">
        <v>1.2141157645037235</v>
      </c>
    </row>
    <row r="1595" spans="1:9" x14ac:dyDescent="0.3">
      <c r="A1595" t="s">
        <v>32</v>
      </c>
      <c r="B1595">
        <v>2021</v>
      </c>
      <c r="C1595">
        <v>4</v>
      </c>
      <c r="D1595" t="s">
        <v>13</v>
      </c>
      <c r="E1595">
        <v>996331</v>
      </c>
      <c r="F1595" s="6">
        <v>568617375.5894115</v>
      </c>
      <c r="G1595" s="5">
        <v>203018673</v>
      </c>
      <c r="H1595">
        <v>10522938591</v>
      </c>
      <c r="I1595" s="1">
        <v>2.8008131822899438</v>
      </c>
    </row>
    <row r="1596" spans="1:9" x14ac:dyDescent="0.3">
      <c r="A1596" t="s">
        <v>33</v>
      </c>
      <c r="B1596">
        <v>2018</v>
      </c>
      <c r="C1596">
        <v>1</v>
      </c>
      <c r="D1596" t="s">
        <v>9</v>
      </c>
      <c r="E1596">
        <v>9670237</v>
      </c>
      <c r="F1596" s="6">
        <v>2283567431.2235351</v>
      </c>
      <c r="G1596" s="5">
        <v>67176934</v>
      </c>
      <c r="H1596">
        <v>0</v>
      </c>
      <c r="I1596" s="1">
        <v>33.993326209611396</v>
      </c>
    </row>
    <row r="1597" spans="1:9" x14ac:dyDescent="0.3">
      <c r="A1597" t="s">
        <v>33</v>
      </c>
      <c r="B1597">
        <v>2018</v>
      </c>
      <c r="C1597">
        <v>1</v>
      </c>
      <c r="D1597" t="s">
        <v>10</v>
      </c>
      <c r="E1597">
        <v>5227770</v>
      </c>
      <c r="F1597" s="6">
        <v>18283896464.750908</v>
      </c>
      <c r="G1597" s="5">
        <v>67176934</v>
      </c>
      <c r="H1597">
        <v>0</v>
      </c>
      <c r="I1597" s="1">
        <v>272.17521515273245</v>
      </c>
    </row>
    <row r="1598" spans="1:9" x14ac:dyDescent="0.3">
      <c r="A1598" t="s">
        <v>33</v>
      </c>
      <c r="B1598">
        <v>2018</v>
      </c>
      <c r="C1598">
        <v>1</v>
      </c>
      <c r="D1598" t="s">
        <v>11</v>
      </c>
      <c r="E1598">
        <v>616779</v>
      </c>
      <c r="F1598" s="6">
        <v>576964070.73668587</v>
      </c>
      <c r="G1598" s="5">
        <v>67176934</v>
      </c>
      <c r="H1598">
        <v>0</v>
      </c>
      <c r="I1598" s="1">
        <v>8.5887228901617618</v>
      </c>
    </row>
    <row r="1599" spans="1:9" x14ac:dyDescent="0.3">
      <c r="A1599" t="s">
        <v>33</v>
      </c>
      <c r="B1599">
        <v>2018</v>
      </c>
      <c r="C1599">
        <v>1</v>
      </c>
      <c r="D1599" t="s">
        <v>12</v>
      </c>
      <c r="E1599">
        <v>235051</v>
      </c>
      <c r="F1599" s="6">
        <v>60997258.060299724</v>
      </c>
      <c r="G1599" s="5">
        <v>67176934</v>
      </c>
      <c r="H1599">
        <v>0</v>
      </c>
      <c r="I1599" s="1">
        <v>0.90800896123511265</v>
      </c>
    </row>
    <row r="1600" spans="1:9" x14ac:dyDescent="0.3">
      <c r="A1600" t="s">
        <v>33</v>
      </c>
      <c r="B1600">
        <v>2018</v>
      </c>
      <c r="C1600">
        <v>1</v>
      </c>
      <c r="D1600" t="s">
        <v>13</v>
      </c>
      <c r="E1600">
        <v>637197</v>
      </c>
      <c r="F1600" s="6">
        <v>506188032.95395643</v>
      </c>
      <c r="G1600" s="5">
        <v>67176934</v>
      </c>
      <c r="H1600">
        <v>0</v>
      </c>
      <c r="I1600" s="1">
        <v>7.5351464083483837</v>
      </c>
    </row>
    <row r="1601" spans="1:9" x14ac:dyDescent="0.3">
      <c r="A1601" t="s">
        <v>33</v>
      </c>
      <c r="B1601">
        <v>2018</v>
      </c>
      <c r="C1601">
        <v>2</v>
      </c>
      <c r="D1601" t="s">
        <v>9</v>
      </c>
      <c r="E1601">
        <v>12384216</v>
      </c>
      <c r="F1601" s="6">
        <v>3725800358.6814823</v>
      </c>
      <c r="G1601" s="5">
        <v>90446081</v>
      </c>
      <c r="H1601">
        <v>0</v>
      </c>
      <c r="I1601" s="1">
        <v>41.193607478487458</v>
      </c>
    </row>
    <row r="1602" spans="1:9" x14ac:dyDescent="0.3">
      <c r="A1602" t="s">
        <v>33</v>
      </c>
      <c r="B1602">
        <v>2018</v>
      </c>
      <c r="C1602">
        <v>2</v>
      </c>
      <c r="D1602" t="s">
        <v>10</v>
      </c>
      <c r="E1602">
        <v>7772336</v>
      </c>
      <c r="F1602" s="6">
        <v>30782831245.6586</v>
      </c>
      <c r="G1602" s="5">
        <v>90446081</v>
      </c>
      <c r="H1602">
        <v>0</v>
      </c>
      <c r="I1602" s="1">
        <v>340.34455562158189</v>
      </c>
    </row>
    <row r="1603" spans="1:9" x14ac:dyDescent="0.3">
      <c r="A1603" t="s">
        <v>33</v>
      </c>
      <c r="B1603">
        <v>2018</v>
      </c>
      <c r="C1603">
        <v>2</v>
      </c>
      <c r="D1603" t="s">
        <v>11</v>
      </c>
      <c r="E1603">
        <v>1306326</v>
      </c>
      <c r="F1603" s="6">
        <v>1226121649.4989598</v>
      </c>
      <c r="G1603" s="5">
        <v>90446081</v>
      </c>
      <c r="H1603">
        <v>0</v>
      </c>
      <c r="I1603" s="1">
        <v>13.55638227707135</v>
      </c>
    </row>
    <row r="1604" spans="1:9" x14ac:dyDescent="0.3">
      <c r="A1604" t="s">
        <v>33</v>
      </c>
      <c r="B1604">
        <v>2018</v>
      </c>
      <c r="C1604">
        <v>2</v>
      </c>
      <c r="D1604" t="s">
        <v>12</v>
      </c>
      <c r="E1604">
        <v>262875</v>
      </c>
      <c r="F1604" s="6">
        <v>85545909.435288414</v>
      </c>
      <c r="G1604" s="5">
        <v>90446081</v>
      </c>
      <c r="H1604">
        <v>0</v>
      </c>
      <c r="I1604" s="1">
        <v>0.94582217924166789</v>
      </c>
    </row>
    <row r="1605" spans="1:9" x14ac:dyDescent="0.3">
      <c r="A1605" t="s">
        <v>33</v>
      </c>
      <c r="B1605">
        <v>2018</v>
      </c>
      <c r="C1605">
        <v>2</v>
      </c>
      <c r="D1605" t="s">
        <v>13</v>
      </c>
      <c r="E1605">
        <v>559987</v>
      </c>
      <c r="F1605" s="6">
        <v>536758077.84638786</v>
      </c>
      <c r="G1605" s="5">
        <v>90446081</v>
      </c>
      <c r="H1605">
        <v>0</v>
      </c>
      <c r="I1605" s="1">
        <v>5.9345642388462121</v>
      </c>
    </row>
    <row r="1606" spans="1:9" x14ac:dyDescent="0.3">
      <c r="A1606" t="s">
        <v>33</v>
      </c>
      <c r="B1606">
        <v>2018</v>
      </c>
      <c r="C1606">
        <v>3</v>
      </c>
      <c r="D1606" t="s">
        <v>9</v>
      </c>
      <c r="E1606">
        <v>14371791</v>
      </c>
      <c r="F1606" s="6">
        <v>4547486090.1867371</v>
      </c>
      <c r="G1606" s="5">
        <v>114785363</v>
      </c>
      <c r="H1606">
        <v>0</v>
      </c>
      <c r="I1606" s="1">
        <v>39.617299378029038</v>
      </c>
    </row>
    <row r="1607" spans="1:9" x14ac:dyDescent="0.3">
      <c r="A1607" t="s">
        <v>33</v>
      </c>
      <c r="B1607">
        <v>2018</v>
      </c>
      <c r="C1607">
        <v>3</v>
      </c>
      <c r="D1607" t="s">
        <v>10</v>
      </c>
      <c r="E1607">
        <v>13470065</v>
      </c>
      <c r="F1607" s="6">
        <v>45466534003.980484</v>
      </c>
      <c r="G1607" s="5">
        <v>114785363</v>
      </c>
      <c r="H1607">
        <v>0</v>
      </c>
      <c r="I1607" s="1">
        <v>396.10045057731344</v>
      </c>
    </row>
    <row r="1608" spans="1:9" x14ac:dyDescent="0.3">
      <c r="A1608" t="s">
        <v>33</v>
      </c>
      <c r="B1608">
        <v>2018</v>
      </c>
      <c r="C1608">
        <v>3</v>
      </c>
      <c r="D1608" t="s">
        <v>11</v>
      </c>
      <c r="E1608">
        <v>2797204</v>
      </c>
      <c r="F1608" s="6">
        <v>1702220875.4343855</v>
      </c>
      <c r="G1608" s="5">
        <v>114785363</v>
      </c>
      <c r="H1608">
        <v>0</v>
      </c>
      <c r="I1608" s="1">
        <v>14.829598748007493</v>
      </c>
    </row>
    <row r="1609" spans="1:9" x14ac:dyDescent="0.3">
      <c r="A1609" t="s">
        <v>33</v>
      </c>
      <c r="B1609">
        <v>2018</v>
      </c>
      <c r="C1609">
        <v>3</v>
      </c>
      <c r="D1609" t="s">
        <v>12</v>
      </c>
      <c r="E1609">
        <v>234598</v>
      </c>
      <c r="F1609" s="6">
        <v>52348968.006728604</v>
      </c>
      <c r="G1609" s="5">
        <v>114785363</v>
      </c>
      <c r="H1609">
        <v>0</v>
      </c>
      <c r="I1609" s="1">
        <v>0.45605961107365756</v>
      </c>
    </row>
    <row r="1610" spans="1:9" x14ac:dyDescent="0.3">
      <c r="A1610" t="s">
        <v>33</v>
      </c>
      <c r="B1610">
        <v>2018</v>
      </c>
      <c r="C1610">
        <v>3</v>
      </c>
      <c r="D1610" t="s">
        <v>13</v>
      </c>
      <c r="E1610">
        <v>664880</v>
      </c>
      <c r="F1610" s="6">
        <v>492227795.63869768</v>
      </c>
      <c r="G1610" s="5">
        <v>114785363</v>
      </c>
      <c r="H1610">
        <v>0</v>
      </c>
      <c r="I1610" s="1">
        <v>4.2882453195595822</v>
      </c>
    </row>
    <row r="1611" spans="1:9" x14ac:dyDescent="0.3">
      <c r="A1611" t="s">
        <v>33</v>
      </c>
      <c r="B1611">
        <v>2018</v>
      </c>
      <c r="C1611">
        <v>4</v>
      </c>
      <c r="D1611" t="s">
        <v>10</v>
      </c>
      <c r="E1611">
        <v>20824667</v>
      </c>
      <c r="F1611" s="6">
        <v>68974011019.102936</v>
      </c>
      <c r="G1611" s="5">
        <v>147197622</v>
      </c>
      <c r="H1611">
        <v>0</v>
      </c>
      <c r="I1611" s="1">
        <v>468.58101429860693</v>
      </c>
    </row>
    <row r="1612" spans="1:9" x14ac:dyDescent="0.3">
      <c r="A1612" t="s">
        <v>33</v>
      </c>
      <c r="B1612">
        <v>2018</v>
      </c>
      <c r="C1612">
        <v>4</v>
      </c>
      <c r="D1612" t="s">
        <v>9</v>
      </c>
      <c r="E1612">
        <v>18071025</v>
      </c>
      <c r="F1612" s="6">
        <v>5860865070.470685</v>
      </c>
      <c r="G1612" s="5">
        <v>147197622</v>
      </c>
      <c r="H1612">
        <v>0</v>
      </c>
      <c r="I1612" s="1">
        <v>39.81630267417421</v>
      </c>
    </row>
    <row r="1613" spans="1:9" x14ac:dyDescent="0.3">
      <c r="A1613" t="s">
        <v>33</v>
      </c>
      <c r="B1613">
        <v>2018</v>
      </c>
      <c r="C1613">
        <v>4</v>
      </c>
      <c r="D1613" t="s">
        <v>11</v>
      </c>
      <c r="E1613">
        <v>6047705</v>
      </c>
      <c r="F1613" s="6">
        <v>3985195742.2480145</v>
      </c>
      <c r="G1613" s="5">
        <v>147197622</v>
      </c>
      <c r="H1613">
        <v>0</v>
      </c>
      <c r="I1613" s="1">
        <v>27.073778014212856</v>
      </c>
    </row>
    <row r="1614" spans="1:9" x14ac:dyDescent="0.3">
      <c r="A1614" t="s">
        <v>33</v>
      </c>
      <c r="B1614">
        <v>2018</v>
      </c>
      <c r="C1614">
        <v>4</v>
      </c>
      <c r="D1614" t="s">
        <v>12</v>
      </c>
      <c r="E1614">
        <v>325121</v>
      </c>
      <c r="F1614" s="6">
        <v>77345546.530124322</v>
      </c>
      <c r="G1614" s="5">
        <v>147197622</v>
      </c>
      <c r="H1614">
        <v>0</v>
      </c>
      <c r="I1614" s="1">
        <v>0.5254537775761372</v>
      </c>
    </row>
    <row r="1615" spans="1:9" x14ac:dyDescent="0.3">
      <c r="A1615" t="s">
        <v>33</v>
      </c>
      <c r="B1615">
        <v>2018</v>
      </c>
      <c r="C1615">
        <v>4</v>
      </c>
      <c r="D1615" t="s">
        <v>13</v>
      </c>
      <c r="E1615">
        <v>821705</v>
      </c>
      <c r="F1615" s="6">
        <v>621519669.48186409</v>
      </c>
      <c r="G1615" s="5">
        <v>147197622</v>
      </c>
      <c r="H1615">
        <v>0</v>
      </c>
      <c r="I1615" s="1">
        <v>4.2223485749101579</v>
      </c>
    </row>
    <row r="1616" spans="1:9" x14ac:dyDescent="0.3">
      <c r="A1616" t="s">
        <v>33</v>
      </c>
      <c r="B1616">
        <v>2019</v>
      </c>
      <c r="C1616">
        <v>1</v>
      </c>
      <c r="D1616" t="s">
        <v>10</v>
      </c>
      <c r="E1616">
        <v>37360716</v>
      </c>
      <c r="F1616" s="6">
        <v>97373087988.088715</v>
      </c>
      <c r="G1616" s="5">
        <v>179128961</v>
      </c>
      <c r="H1616">
        <v>0</v>
      </c>
      <c r="I1616" s="1">
        <v>543.59209948238754</v>
      </c>
    </row>
    <row r="1617" spans="1:9" x14ac:dyDescent="0.3">
      <c r="A1617" t="s">
        <v>33</v>
      </c>
      <c r="B1617">
        <v>2019</v>
      </c>
      <c r="C1617">
        <v>1</v>
      </c>
      <c r="D1617" t="s">
        <v>9</v>
      </c>
      <c r="E1617">
        <v>24540041</v>
      </c>
      <c r="F1617" s="6">
        <v>8256500586.6512823</v>
      </c>
      <c r="G1617" s="5">
        <v>179128961</v>
      </c>
      <c r="H1617">
        <v>0</v>
      </c>
      <c r="I1617" s="1">
        <v>46.092494148119812</v>
      </c>
    </row>
    <row r="1618" spans="1:9" x14ac:dyDescent="0.3">
      <c r="A1618" t="s">
        <v>33</v>
      </c>
      <c r="B1618">
        <v>2019</v>
      </c>
      <c r="C1618">
        <v>1</v>
      </c>
      <c r="D1618" t="s">
        <v>11</v>
      </c>
      <c r="E1618">
        <v>12069119</v>
      </c>
      <c r="F1618" s="6">
        <v>5172594695.5318003</v>
      </c>
      <c r="G1618" s="5">
        <v>179128961</v>
      </c>
      <c r="H1618">
        <v>0</v>
      </c>
      <c r="I1618" s="1">
        <v>28.876373014477544</v>
      </c>
    </row>
    <row r="1619" spans="1:9" x14ac:dyDescent="0.3">
      <c r="A1619" t="s">
        <v>33</v>
      </c>
      <c r="B1619">
        <v>2019</v>
      </c>
      <c r="C1619">
        <v>1</v>
      </c>
      <c r="D1619" t="s">
        <v>12</v>
      </c>
      <c r="E1619">
        <v>287569</v>
      </c>
      <c r="F1619" s="6">
        <v>49487746.208730564</v>
      </c>
      <c r="G1619" s="5">
        <v>179128961</v>
      </c>
      <c r="H1619">
        <v>0</v>
      </c>
      <c r="I1619" s="1">
        <v>0.27626881735070502</v>
      </c>
    </row>
    <row r="1620" spans="1:9" x14ac:dyDescent="0.3">
      <c r="A1620" t="s">
        <v>33</v>
      </c>
      <c r="B1620">
        <v>2019</v>
      </c>
      <c r="C1620">
        <v>1</v>
      </c>
      <c r="D1620" t="s">
        <v>13</v>
      </c>
      <c r="E1620">
        <v>821624</v>
      </c>
      <c r="F1620" s="6">
        <v>569019903.86049557</v>
      </c>
      <c r="G1620" s="5">
        <v>179128961</v>
      </c>
      <c r="H1620">
        <v>0</v>
      </c>
      <c r="I1620" s="1">
        <v>3.1765935596561383</v>
      </c>
    </row>
    <row r="1621" spans="1:9" x14ac:dyDescent="0.3">
      <c r="A1621" t="s">
        <v>33</v>
      </c>
      <c r="B1621">
        <v>2019</v>
      </c>
      <c r="C1621">
        <v>2</v>
      </c>
      <c r="D1621" t="s">
        <v>10</v>
      </c>
      <c r="E1621">
        <v>42546317</v>
      </c>
      <c r="F1621" s="6">
        <v>130558153687.95419</v>
      </c>
      <c r="G1621" s="5">
        <v>206546725</v>
      </c>
      <c r="H1621">
        <v>1209644755</v>
      </c>
      <c r="I1621" s="1">
        <v>632.09984901941289</v>
      </c>
    </row>
    <row r="1622" spans="1:9" x14ac:dyDescent="0.3">
      <c r="A1622" t="s">
        <v>33</v>
      </c>
      <c r="B1622">
        <v>2019</v>
      </c>
      <c r="C1622">
        <v>2</v>
      </c>
      <c r="D1622" t="s">
        <v>9</v>
      </c>
      <c r="E1622">
        <v>29395661</v>
      </c>
      <c r="F1622" s="6">
        <v>12197234771.434273</v>
      </c>
      <c r="G1622" s="5">
        <v>206546725</v>
      </c>
      <c r="H1622">
        <v>1209644755</v>
      </c>
      <c r="I1622" s="1">
        <v>59.053150183980271</v>
      </c>
    </row>
    <row r="1623" spans="1:9" x14ac:dyDescent="0.3">
      <c r="A1623" t="s">
        <v>33</v>
      </c>
      <c r="B1623">
        <v>2019</v>
      </c>
      <c r="C1623">
        <v>2</v>
      </c>
      <c r="D1623" t="s">
        <v>11</v>
      </c>
      <c r="E1623">
        <v>27854042</v>
      </c>
      <c r="F1623" s="6">
        <v>9728561726.7671432</v>
      </c>
      <c r="G1623" s="5">
        <v>206546725</v>
      </c>
      <c r="H1623">
        <v>1209644755</v>
      </c>
      <c r="I1623" s="1">
        <v>47.101021460239288</v>
      </c>
    </row>
    <row r="1624" spans="1:9" x14ac:dyDescent="0.3">
      <c r="A1624" t="s">
        <v>33</v>
      </c>
      <c r="B1624">
        <v>2019</v>
      </c>
      <c r="C1624">
        <v>2</v>
      </c>
      <c r="D1624" t="s">
        <v>12</v>
      </c>
      <c r="E1624">
        <v>182840</v>
      </c>
      <c r="F1624" s="6">
        <v>45291636.105074808</v>
      </c>
      <c r="G1624" s="5">
        <v>206546725</v>
      </c>
      <c r="H1624">
        <v>1209644755</v>
      </c>
      <c r="I1624" s="1">
        <v>0.2192803401025836</v>
      </c>
    </row>
    <row r="1625" spans="1:9" x14ac:dyDescent="0.3">
      <c r="A1625" t="s">
        <v>33</v>
      </c>
      <c r="B1625">
        <v>2019</v>
      </c>
      <c r="C1625">
        <v>2</v>
      </c>
      <c r="D1625" t="s">
        <v>13</v>
      </c>
      <c r="E1625">
        <v>1170993</v>
      </c>
      <c r="F1625" s="6">
        <v>765228265.79764724</v>
      </c>
      <c r="G1625" s="5">
        <v>206546725</v>
      </c>
      <c r="H1625">
        <v>1209644755</v>
      </c>
      <c r="I1625" s="1">
        <v>3.7048675828563598</v>
      </c>
    </row>
    <row r="1626" spans="1:9" x14ac:dyDescent="0.3">
      <c r="A1626" t="s">
        <v>33</v>
      </c>
      <c r="B1626">
        <v>2019</v>
      </c>
      <c r="C1626">
        <v>3</v>
      </c>
      <c r="D1626" t="s">
        <v>10</v>
      </c>
      <c r="E1626">
        <v>57991699</v>
      </c>
      <c r="F1626" s="6">
        <v>165731686168.5575</v>
      </c>
      <c r="G1626" s="5">
        <v>234443891</v>
      </c>
      <c r="H1626">
        <v>4839982543</v>
      </c>
      <c r="I1626" s="1">
        <v>706.91407424455986</v>
      </c>
    </row>
    <row r="1627" spans="1:9" x14ac:dyDescent="0.3">
      <c r="A1627" t="s">
        <v>33</v>
      </c>
      <c r="B1627">
        <v>2019</v>
      </c>
      <c r="C1627">
        <v>3</v>
      </c>
      <c r="D1627" t="s">
        <v>11</v>
      </c>
      <c r="E1627">
        <v>54683738</v>
      </c>
      <c r="F1627" s="6">
        <v>17545729507.395977</v>
      </c>
      <c r="G1627" s="5">
        <v>234443891</v>
      </c>
      <c r="H1627">
        <v>4839982543</v>
      </c>
      <c r="I1627" s="1">
        <v>74.839781205456859</v>
      </c>
    </row>
    <row r="1628" spans="1:9" x14ac:dyDescent="0.3">
      <c r="A1628" t="s">
        <v>33</v>
      </c>
      <c r="B1628">
        <v>2019</v>
      </c>
      <c r="C1628">
        <v>3</v>
      </c>
      <c r="D1628" t="s">
        <v>9</v>
      </c>
      <c r="E1628">
        <v>34309301</v>
      </c>
      <c r="F1628" s="6">
        <v>15471698543.739597</v>
      </c>
      <c r="G1628" s="5">
        <v>234443891</v>
      </c>
      <c r="H1628">
        <v>4839982543</v>
      </c>
      <c r="I1628" s="1">
        <v>65.993182751516429</v>
      </c>
    </row>
    <row r="1629" spans="1:9" x14ac:dyDescent="0.3">
      <c r="A1629" t="s">
        <v>33</v>
      </c>
      <c r="B1629">
        <v>2019</v>
      </c>
      <c r="C1629">
        <v>3</v>
      </c>
      <c r="D1629" t="s">
        <v>12</v>
      </c>
      <c r="E1629">
        <v>231467</v>
      </c>
      <c r="F1629" s="6">
        <v>54108447.394074507</v>
      </c>
      <c r="G1629" s="5">
        <v>234443891</v>
      </c>
      <c r="H1629">
        <v>4839982543</v>
      </c>
      <c r="I1629" s="1">
        <v>0.23079487020659673</v>
      </c>
    </row>
    <row r="1630" spans="1:9" x14ac:dyDescent="0.3">
      <c r="A1630" t="s">
        <v>33</v>
      </c>
      <c r="B1630">
        <v>2019</v>
      </c>
      <c r="C1630">
        <v>3</v>
      </c>
      <c r="D1630" t="s">
        <v>13</v>
      </c>
      <c r="E1630">
        <v>1519376</v>
      </c>
      <c r="F1630" s="6">
        <v>814284077.86375177</v>
      </c>
      <c r="G1630" s="5">
        <v>234443891</v>
      </c>
      <c r="H1630">
        <v>4839982543</v>
      </c>
      <c r="I1630" s="1">
        <v>3.4732578204127815</v>
      </c>
    </row>
    <row r="1631" spans="1:9" x14ac:dyDescent="0.3">
      <c r="A1631" t="s">
        <v>33</v>
      </c>
      <c r="B1631">
        <v>2019</v>
      </c>
      <c r="C1631">
        <v>4</v>
      </c>
      <c r="D1631" t="s">
        <v>11</v>
      </c>
      <c r="E1631">
        <v>80127804</v>
      </c>
      <c r="F1631" s="6">
        <v>27209874138.487556</v>
      </c>
      <c r="G1631" s="5">
        <v>261198267</v>
      </c>
      <c r="H1631">
        <v>5980195232</v>
      </c>
      <c r="I1631" s="1">
        <v>104.17325677925557</v>
      </c>
    </row>
    <row r="1632" spans="1:9" x14ac:dyDescent="0.3">
      <c r="A1632" t="s">
        <v>33</v>
      </c>
      <c r="B1632">
        <v>2019</v>
      </c>
      <c r="C1632">
        <v>4</v>
      </c>
      <c r="D1632" t="s">
        <v>10</v>
      </c>
      <c r="E1632">
        <v>78795871</v>
      </c>
      <c r="F1632" s="6">
        <v>227268054757.21698</v>
      </c>
      <c r="G1632" s="5">
        <v>261198267</v>
      </c>
      <c r="H1632">
        <v>5980195232</v>
      </c>
      <c r="I1632" s="1">
        <v>870.09786614402378</v>
      </c>
    </row>
    <row r="1633" spans="1:9" x14ac:dyDescent="0.3">
      <c r="A1633" t="s">
        <v>33</v>
      </c>
      <c r="B1633">
        <v>2019</v>
      </c>
      <c r="C1633">
        <v>4</v>
      </c>
      <c r="D1633" t="s">
        <v>9</v>
      </c>
      <c r="E1633">
        <v>40705998</v>
      </c>
      <c r="F1633" s="6">
        <v>17794666215.044445</v>
      </c>
      <c r="G1633" s="5">
        <v>261198267</v>
      </c>
      <c r="H1633">
        <v>5980195232</v>
      </c>
      <c r="I1633" s="1">
        <v>68.127045479380783</v>
      </c>
    </row>
    <row r="1634" spans="1:9" x14ac:dyDescent="0.3">
      <c r="A1634" t="s">
        <v>33</v>
      </c>
      <c r="B1634">
        <v>2019</v>
      </c>
      <c r="C1634">
        <v>4</v>
      </c>
      <c r="D1634" t="s">
        <v>12</v>
      </c>
      <c r="E1634">
        <v>129755</v>
      </c>
      <c r="F1634" s="6">
        <v>49622863.824426055</v>
      </c>
      <c r="G1634" s="5">
        <v>261198267</v>
      </c>
      <c r="H1634">
        <v>5980195232</v>
      </c>
      <c r="I1634" s="1">
        <v>0.18998159671720202</v>
      </c>
    </row>
    <row r="1635" spans="1:9" x14ac:dyDescent="0.3">
      <c r="A1635" t="s">
        <v>33</v>
      </c>
      <c r="B1635">
        <v>2019</v>
      </c>
      <c r="C1635">
        <v>4</v>
      </c>
      <c r="D1635" t="s">
        <v>13</v>
      </c>
      <c r="E1635">
        <v>1501192</v>
      </c>
      <c r="F1635" s="6">
        <v>672210824.9770112</v>
      </c>
      <c r="G1635" s="5">
        <v>261198267</v>
      </c>
      <c r="H1635">
        <v>5980195232</v>
      </c>
      <c r="I1635" s="1">
        <v>2.5735654095170974</v>
      </c>
    </row>
    <row r="1636" spans="1:9" x14ac:dyDescent="0.3">
      <c r="A1636" t="s">
        <v>33</v>
      </c>
      <c r="B1636">
        <v>2020</v>
      </c>
      <c r="C1636">
        <v>1</v>
      </c>
      <c r="D1636" t="s">
        <v>11</v>
      </c>
      <c r="E1636">
        <v>100337738</v>
      </c>
      <c r="F1636" s="6">
        <v>35200130304.827759</v>
      </c>
      <c r="G1636" s="5">
        <v>287852290</v>
      </c>
      <c r="H1636">
        <v>6766612248</v>
      </c>
      <c r="I1636" s="1">
        <v>122.28539263949493</v>
      </c>
    </row>
    <row r="1637" spans="1:9" x14ac:dyDescent="0.3">
      <c r="A1637" t="s">
        <v>33</v>
      </c>
      <c r="B1637">
        <v>2020</v>
      </c>
      <c r="C1637">
        <v>1</v>
      </c>
      <c r="D1637" t="s">
        <v>10</v>
      </c>
      <c r="E1637">
        <v>87067410</v>
      </c>
      <c r="F1637" s="6">
        <v>262541205695.83841</v>
      </c>
      <c r="G1637" s="5">
        <v>287852290</v>
      </c>
      <c r="H1637">
        <v>6766612248</v>
      </c>
      <c r="I1637" s="1">
        <v>912.06919248701615</v>
      </c>
    </row>
    <row r="1638" spans="1:9" x14ac:dyDescent="0.3">
      <c r="A1638" t="s">
        <v>33</v>
      </c>
      <c r="B1638">
        <v>2020</v>
      </c>
      <c r="C1638">
        <v>1</v>
      </c>
      <c r="D1638" t="s">
        <v>9</v>
      </c>
      <c r="E1638">
        <v>50199498</v>
      </c>
      <c r="F1638" s="6">
        <v>21603565070.425602</v>
      </c>
      <c r="G1638" s="5">
        <v>287852290</v>
      </c>
      <c r="H1638">
        <v>6766612248</v>
      </c>
      <c r="I1638" s="1">
        <v>75.050870953382386</v>
      </c>
    </row>
    <row r="1639" spans="1:9" x14ac:dyDescent="0.3">
      <c r="A1639" t="s">
        <v>33</v>
      </c>
      <c r="B1639">
        <v>2020</v>
      </c>
      <c r="C1639">
        <v>1</v>
      </c>
      <c r="D1639" t="s">
        <v>12</v>
      </c>
      <c r="E1639">
        <v>123476</v>
      </c>
      <c r="F1639" s="6">
        <v>91363684.1276232</v>
      </c>
      <c r="G1639" s="5">
        <v>287852290</v>
      </c>
      <c r="H1639">
        <v>6766612248</v>
      </c>
      <c r="I1639" s="1">
        <v>0.3173978019338432</v>
      </c>
    </row>
    <row r="1640" spans="1:9" x14ac:dyDescent="0.3">
      <c r="A1640" t="s">
        <v>33</v>
      </c>
      <c r="B1640">
        <v>2020</v>
      </c>
      <c r="C1640">
        <v>1</v>
      </c>
      <c r="D1640" t="s">
        <v>13</v>
      </c>
      <c r="E1640">
        <v>1215959</v>
      </c>
      <c r="F1640" s="6">
        <v>558931962.87612498</v>
      </c>
      <c r="G1640" s="5">
        <v>287852290</v>
      </c>
      <c r="H1640">
        <v>6766612248</v>
      </c>
      <c r="I1640" s="1">
        <v>1.9417318614214429</v>
      </c>
    </row>
    <row r="1641" spans="1:9" x14ac:dyDescent="0.3">
      <c r="A1641" t="s">
        <v>33</v>
      </c>
      <c r="B1641">
        <v>2020</v>
      </c>
      <c r="C1641">
        <v>2</v>
      </c>
      <c r="D1641" t="s">
        <v>10</v>
      </c>
      <c r="E1641">
        <v>74295930</v>
      </c>
      <c r="F1641" s="6">
        <v>239933338682.69339</v>
      </c>
      <c r="G1641" s="5">
        <v>316415946</v>
      </c>
      <c r="H1641">
        <v>5569902932</v>
      </c>
      <c r="I1641" s="1">
        <v>758.28459885107497</v>
      </c>
    </row>
    <row r="1642" spans="1:9" x14ac:dyDescent="0.3">
      <c r="A1642" t="s">
        <v>33</v>
      </c>
      <c r="B1642">
        <v>2020</v>
      </c>
      <c r="C1642">
        <v>2</v>
      </c>
      <c r="D1642" t="s">
        <v>9</v>
      </c>
      <c r="E1642">
        <v>60856480</v>
      </c>
      <c r="F1642" s="6">
        <v>23112343247.416145</v>
      </c>
      <c r="G1642" s="5">
        <v>316415946</v>
      </c>
      <c r="H1642">
        <v>5569902932</v>
      </c>
      <c r="I1642" s="1">
        <v>73.04417978800646</v>
      </c>
    </row>
    <row r="1643" spans="1:9" x14ac:dyDescent="0.3">
      <c r="A1643" t="s">
        <v>33</v>
      </c>
      <c r="B1643">
        <v>2020</v>
      </c>
      <c r="C1643">
        <v>2</v>
      </c>
      <c r="D1643" t="s">
        <v>11</v>
      </c>
      <c r="E1643">
        <v>48965388</v>
      </c>
      <c r="F1643" s="6">
        <v>32859184582.219048</v>
      </c>
      <c r="G1643" s="5">
        <v>316415946</v>
      </c>
      <c r="H1643">
        <v>5569902932</v>
      </c>
      <c r="I1643" s="1">
        <v>103.84806770205901</v>
      </c>
    </row>
    <row r="1644" spans="1:9" x14ac:dyDescent="0.3">
      <c r="A1644" t="s">
        <v>33</v>
      </c>
      <c r="B1644">
        <v>2020</v>
      </c>
      <c r="C1644">
        <v>2</v>
      </c>
      <c r="D1644" t="s">
        <v>12</v>
      </c>
      <c r="E1644">
        <v>206461</v>
      </c>
      <c r="F1644" s="6">
        <v>211733275.7829895</v>
      </c>
      <c r="G1644" s="5">
        <v>316415946</v>
      </c>
      <c r="H1644">
        <v>5569902932</v>
      </c>
      <c r="I1644" s="1">
        <v>0.66916120524150036</v>
      </c>
    </row>
    <row r="1645" spans="1:9" x14ac:dyDescent="0.3">
      <c r="A1645" t="s">
        <v>33</v>
      </c>
      <c r="B1645">
        <v>2020</v>
      </c>
      <c r="C1645">
        <v>2</v>
      </c>
      <c r="D1645" t="s">
        <v>13</v>
      </c>
      <c r="E1645">
        <v>466502</v>
      </c>
      <c r="F1645" s="6">
        <v>242917371.3033281</v>
      </c>
      <c r="G1645" s="5">
        <v>316415946</v>
      </c>
      <c r="H1645">
        <v>5569902932</v>
      </c>
      <c r="I1645" s="1">
        <v>0.76771532653202024</v>
      </c>
    </row>
    <row r="1646" spans="1:9" x14ac:dyDescent="0.3">
      <c r="A1646" t="s">
        <v>33</v>
      </c>
      <c r="B1646">
        <v>2020</v>
      </c>
      <c r="C1646">
        <v>3</v>
      </c>
      <c r="D1646" t="s">
        <v>10</v>
      </c>
      <c r="E1646">
        <v>108436214</v>
      </c>
      <c r="F1646" s="6">
        <v>351555554813.21222</v>
      </c>
      <c r="G1646" s="5">
        <v>345504643</v>
      </c>
      <c r="H1646">
        <v>7350168111</v>
      </c>
      <c r="I1646" s="1">
        <v>1017.5132575952451</v>
      </c>
    </row>
    <row r="1647" spans="1:9" x14ac:dyDescent="0.3">
      <c r="A1647" t="s">
        <v>33</v>
      </c>
      <c r="B1647">
        <v>2020</v>
      </c>
      <c r="C1647">
        <v>3</v>
      </c>
      <c r="D1647" t="s">
        <v>11</v>
      </c>
      <c r="E1647">
        <v>100808237</v>
      </c>
      <c r="F1647" s="6">
        <v>60171102123.948883</v>
      </c>
      <c r="G1647" s="5">
        <v>345504643</v>
      </c>
      <c r="H1647">
        <v>7350168111</v>
      </c>
      <c r="I1647" s="1">
        <v>174.154250436365</v>
      </c>
    </row>
    <row r="1648" spans="1:9" x14ac:dyDescent="0.3">
      <c r="A1648" t="s">
        <v>33</v>
      </c>
      <c r="B1648">
        <v>2020</v>
      </c>
      <c r="C1648">
        <v>3</v>
      </c>
      <c r="D1648" t="s">
        <v>9</v>
      </c>
      <c r="E1648">
        <v>58082283</v>
      </c>
      <c r="F1648" s="6">
        <v>27915727882.59293</v>
      </c>
      <c r="G1648" s="5">
        <v>345504643</v>
      </c>
      <c r="H1648">
        <v>7350168111</v>
      </c>
      <c r="I1648" s="1">
        <v>80.796968863289422</v>
      </c>
    </row>
    <row r="1649" spans="1:9" x14ac:dyDescent="0.3">
      <c r="A1649" t="s">
        <v>33</v>
      </c>
      <c r="B1649">
        <v>2020</v>
      </c>
      <c r="C1649">
        <v>3</v>
      </c>
      <c r="D1649" t="s">
        <v>12</v>
      </c>
      <c r="E1649">
        <v>325453</v>
      </c>
      <c r="F1649" s="6">
        <v>333669599.61883616</v>
      </c>
      <c r="G1649" s="5">
        <v>345504643</v>
      </c>
      <c r="H1649">
        <v>7350168111</v>
      </c>
      <c r="I1649" s="1">
        <v>0.96574563143811687</v>
      </c>
    </row>
    <row r="1650" spans="1:9" x14ac:dyDescent="0.3">
      <c r="A1650" t="s">
        <v>33</v>
      </c>
      <c r="B1650">
        <v>2020</v>
      </c>
      <c r="C1650">
        <v>3</v>
      </c>
      <c r="D1650" t="s">
        <v>13</v>
      </c>
      <c r="E1650">
        <v>658737</v>
      </c>
      <c r="F1650" s="6">
        <v>331024593.07215291</v>
      </c>
      <c r="G1650" s="5">
        <v>345504643</v>
      </c>
      <c r="H1650">
        <v>7350168111</v>
      </c>
      <c r="I1650" s="1">
        <v>0.95809014373260659</v>
      </c>
    </row>
    <row r="1651" spans="1:9" x14ac:dyDescent="0.3">
      <c r="A1651" t="s">
        <v>33</v>
      </c>
      <c r="B1651">
        <v>2020</v>
      </c>
      <c r="C1651">
        <v>4</v>
      </c>
      <c r="D1651" t="s">
        <v>11</v>
      </c>
      <c r="E1651">
        <v>189845640</v>
      </c>
      <c r="F1651" s="6">
        <v>103804638603.74611</v>
      </c>
      <c r="G1651" s="5">
        <v>378758941</v>
      </c>
      <c r="H1651">
        <v>10472074470</v>
      </c>
      <c r="I1651" s="1">
        <v>274.06518333185988</v>
      </c>
    </row>
    <row r="1652" spans="1:9" x14ac:dyDescent="0.3">
      <c r="A1652" t="s">
        <v>33</v>
      </c>
      <c r="B1652">
        <v>2020</v>
      </c>
      <c r="C1652">
        <v>4</v>
      </c>
      <c r="D1652" t="s">
        <v>10</v>
      </c>
      <c r="E1652">
        <v>151741840</v>
      </c>
      <c r="F1652" s="6">
        <v>485747881733.823</v>
      </c>
      <c r="G1652" s="5">
        <v>378758941</v>
      </c>
      <c r="H1652">
        <v>10472074470</v>
      </c>
      <c r="I1652" s="1">
        <v>1282.4723832296886</v>
      </c>
    </row>
    <row r="1653" spans="1:9" x14ac:dyDescent="0.3">
      <c r="A1653" t="s">
        <v>33</v>
      </c>
      <c r="B1653">
        <v>2020</v>
      </c>
      <c r="C1653">
        <v>4</v>
      </c>
      <c r="D1653" t="s">
        <v>9</v>
      </c>
      <c r="E1653">
        <v>64556682</v>
      </c>
      <c r="F1653" s="6">
        <v>31556917821.777672</v>
      </c>
      <c r="G1653" s="5">
        <v>378758941</v>
      </c>
      <c r="H1653">
        <v>10472074470</v>
      </c>
      <c r="I1653" s="1">
        <v>83.316628086616362</v>
      </c>
    </row>
    <row r="1654" spans="1:9" x14ac:dyDescent="0.3">
      <c r="A1654" t="s">
        <v>33</v>
      </c>
      <c r="B1654">
        <v>2020</v>
      </c>
      <c r="C1654">
        <v>4</v>
      </c>
      <c r="D1654" t="s">
        <v>12</v>
      </c>
      <c r="E1654">
        <v>398409</v>
      </c>
      <c r="F1654" s="6">
        <v>418399992.53957713</v>
      </c>
      <c r="G1654" s="5">
        <v>378758941</v>
      </c>
      <c r="H1654">
        <v>10472074470</v>
      </c>
      <c r="I1654" s="1">
        <v>1.1046603716731194</v>
      </c>
    </row>
    <row r="1655" spans="1:9" x14ac:dyDescent="0.3">
      <c r="A1655" t="s">
        <v>33</v>
      </c>
      <c r="B1655">
        <v>2020</v>
      </c>
      <c r="C1655">
        <v>4</v>
      </c>
      <c r="D1655" t="s">
        <v>13</v>
      </c>
      <c r="E1655">
        <v>1078433</v>
      </c>
      <c r="F1655" s="6">
        <v>627692680.4078207</v>
      </c>
      <c r="G1655" s="5">
        <v>378758941</v>
      </c>
      <c r="H1655">
        <v>10472074470</v>
      </c>
      <c r="I1655" s="1">
        <v>1.6572352820255158</v>
      </c>
    </row>
    <row r="1656" spans="1:9" x14ac:dyDescent="0.3">
      <c r="A1656" t="s">
        <v>33</v>
      </c>
      <c r="B1656">
        <v>2021</v>
      </c>
      <c r="C1656">
        <v>1</v>
      </c>
      <c r="D1656" t="s">
        <v>11</v>
      </c>
      <c r="E1656">
        <v>253043309</v>
      </c>
      <c r="F1656" s="6">
        <v>129493046208.15726</v>
      </c>
      <c r="G1656" s="5">
        <v>407852907</v>
      </c>
      <c r="H1656">
        <v>12121741324</v>
      </c>
      <c r="I1656" s="1">
        <v>317.49938270798509</v>
      </c>
    </row>
    <row r="1657" spans="1:9" x14ac:dyDescent="0.3">
      <c r="A1657" t="s">
        <v>33</v>
      </c>
      <c r="B1657">
        <v>2021</v>
      </c>
      <c r="C1657">
        <v>1</v>
      </c>
      <c r="D1657" t="s">
        <v>10</v>
      </c>
      <c r="E1657">
        <v>187021609</v>
      </c>
      <c r="F1657" s="6">
        <v>599213284361.79932</v>
      </c>
      <c r="G1657" s="5">
        <v>407852907</v>
      </c>
      <c r="H1657">
        <v>12121741324</v>
      </c>
      <c r="I1657" s="1">
        <v>1469.1896859810768</v>
      </c>
    </row>
    <row r="1658" spans="1:9" x14ac:dyDescent="0.3">
      <c r="A1658" t="s">
        <v>33</v>
      </c>
      <c r="B1658">
        <v>2021</v>
      </c>
      <c r="C1658">
        <v>1</v>
      </c>
      <c r="D1658" t="s">
        <v>9</v>
      </c>
      <c r="E1658">
        <v>76389103</v>
      </c>
      <c r="F1658" s="6">
        <v>40057211827.159622</v>
      </c>
      <c r="G1658" s="5">
        <v>407852907</v>
      </c>
      <c r="H1658">
        <v>12121741324</v>
      </c>
      <c r="I1658" s="1">
        <v>98.214849372545046</v>
      </c>
    </row>
    <row r="1659" spans="1:9" x14ac:dyDescent="0.3">
      <c r="A1659" t="s">
        <v>33</v>
      </c>
      <c r="B1659">
        <v>2021</v>
      </c>
      <c r="C1659">
        <v>1</v>
      </c>
      <c r="D1659" t="s">
        <v>12</v>
      </c>
      <c r="E1659">
        <v>439551</v>
      </c>
      <c r="F1659" s="6">
        <v>492900202.68315214</v>
      </c>
      <c r="G1659" s="5">
        <v>407852907</v>
      </c>
      <c r="H1659">
        <v>12121741324</v>
      </c>
      <c r="I1659" s="1">
        <v>1.2085244317828343</v>
      </c>
    </row>
    <row r="1660" spans="1:9" x14ac:dyDescent="0.3">
      <c r="A1660" t="s">
        <v>33</v>
      </c>
      <c r="B1660">
        <v>2021</v>
      </c>
      <c r="C1660">
        <v>1</v>
      </c>
      <c r="D1660" t="s">
        <v>13</v>
      </c>
      <c r="E1660">
        <v>966668</v>
      </c>
      <c r="F1660" s="6">
        <v>630909553.45082641</v>
      </c>
      <c r="G1660" s="5">
        <v>407852907</v>
      </c>
      <c r="H1660">
        <v>12121741324</v>
      </c>
      <c r="I1660" s="1">
        <v>1.5469046379773048</v>
      </c>
    </row>
    <row r="1661" spans="1:9" x14ac:dyDescent="0.3">
      <c r="A1661" t="s">
        <v>33</v>
      </c>
      <c r="B1661">
        <v>2021</v>
      </c>
      <c r="C1661">
        <v>2</v>
      </c>
      <c r="D1661" t="s">
        <v>11</v>
      </c>
      <c r="E1661">
        <v>247194293</v>
      </c>
      <c r="F1661" s="6">
        <v>150864465217.02304</v>
      </c>
      <c r="G1661" s="5">
        <v>436311667</v>
      </c>
      <c r="H1661">
        <v>13288919512</v>
      </c>
      <c r="I1661" s="1">
        <v>345.77224637227738</v>
      </c>
    </row>
    <row r="1662" spans="1:9" x14ac:dyDescent="0.3">
      <c r="A1662" t="s">
        <v>33</v>
      </c>
      <c r="B1662">
        <v>2021</v>
      </c>
      <c r="C1662">
        <v>2</v>
      </c>
      <c r="D1662" t="s">
        <v>10</v>
      </c>
      <c r="E1662">
        <v>228551961</v>
      </c>
      <c r="F1662" s="6">
        <v>719859665693.5271</v>
      </c>
      <c r="G1662" s="5">
        <v>436311667</v>
      </c>
      <c r="H1662">
        <v>13288919512</v>
      </c>
      <c r="I1662" s="1">
        <v>1649.8748948043306</v>
      </c>
    </row>
    <row r="1663" spans="1:9" x14ac:dyDescent="0.3">
      <c r="A1663" t="s">
        <v>33</v>
      </c>
      <c r="B1663">
        <v>2021</v>
      </c>
      <c r="C1663">
        <v>2</v>
      </c>
      <c r="D1663" t="s">
        <v>9</v>
      </c>
      <c r="E1663">
        <v>96271138</v>
      </c>
      <c r="F1663" s="6">
        <v>43154405548.445969</v>
      </c>
      <c r="G1663" s="5">
        <v>436311667</v>
      </c>
      <c r="H1663">
        <v>13288919512</v>
      </c>
      <c r="I1663" s="1">
        <v>98.907292223395828</v>
      </c>
    </row>
    <row r="1664" spans="1:9" x14ac:dyDescent="0.3">
      <c r="A1664" t="s">
        <v>33</v>
      </c>
      <c r="B1664">
        <v>2021</v>
      </c>
      <c r="C1664">
        <v>2</v>
      </c>
      <c r="D1664" t="s">
        <v>12</v>
      </c>
      <c r="E1664">
        <v>504252</v>
      </c>
      <c r="F1664" s="6">
        <v>536780917.03591567</v>
      </c>
      <c r="G1664" s="5">
        <v>436311667</v>
      </c>
      <c r="H1664">
        <v>13288919512</v>
      </c>
      <c r="I1664" s="1">
        <v>1.2302694556089322</v>
      </c>
    </row>
    <row r="1665" spans="1:9" x14ac:dyDescent="0.3">
      <c r="A1665" t="s">
        <v>33</v>
      </c>
      <c r="B1665">
        <v>2021</v>
      </c>
      <c r="C1665">
        <v>2</v>
      </c>
      <c r="D1665" t="s">
        <v>13</v>
      </c>
      <c r="E1665">
        <v>1094842</v>
      </c>
      <c r="F1665" s="6">
        <v>699738247.66956365</v>
      </c>
      <c r="G1665" s="5">
        <v>436311667</v>
      </c>
      <c r="H1665">
        <v>13288919512</v>
      </c>
      <c r="I1665" s="1">
        <v>1.6037578194524045</v>
      </c>
    </row>
    <row r="1666" spans="1:9" x14ac:dyDescent="0.3">
      <c r="A1666" t="s">
        <v>33</v>
      </c>
      <c r="B1666">
        <v>2021</v>
      </c>
      <c r="C1666">
        <v>3</v>
      </c>
      <c r="D1666" t="s">
        <v>11</v>
      </c>
      <c r="E1666">
        <v>390051884</v>
      </c>
      <c r="F1666" s="6">
        <v>216701984638.98932</v>
      </c>
      <c r="G1666" s="5">
        <v>468393387</v>
      </c>
      <c r="H1666">
        <v>17219079372</v>
      </c>
      <c r="I1666" s="1">
        <v>462.64953915540514</v>
      </c>
    </row>
    <row r="1667" spans="1:9" x14ac:dyDescent="0.3">
      <c r="A1667" t="s">
        <v>33</v>
      </c>
      <c r="B1667">
        <v>2021</v>
      </c>
      <c r="C1667">
        <v>3</v>
      </c>
      <c r="D1667" t="s">
        <v>10</v>
      </c>
      <c r="E1667">
        <v>296951706</v>
      </c>
      <c r="F1667" s="6">
        <v>890860873379.55762</v>
      </c>
      <c r="G1667" s="5">
        <v>468393387</v>
      </c>
      <c r="H1667">
        <v>17219079372</v>
      </c>
      <c r="I1667" s="1">
        <v>1901.9501515284153</v>
      </c>
    </row>
    <row r="1668" spans="1:9" x14ac:dyDescent="0.3">
      <c r="A1668" t="s">
        <v>33</v>
      </c>
      <c r="B1668">
        <v>2021</v>
      </c>
      <c r="C1668">
        <v>3</v>
      </c>
      <c r="D1668" t="s">
        <v>9</v>
      </c>
      <c r="E1668">
        <v>103943973</v>
      </c>
      <c r="F1668" s="6">
        <v>50242023586.056046</v>
      </c>
      <c r="G1668" s="5">
        <v>468393387</v>
      </c>
      <c r="H1668">
        <v>17219079372</v>
      </c>
      <c r="I1668" s="1">
        <v>107.26458780267973</v>
      </c>
    </row>
    <row r="1669" spans="1:9" x14ac:dyDescent="0.3">
      <c r="A1669" t="s">
        <v>33</v>
      </c>
      <c r="B1669">
        <v>2021</v>
      </c>
      <c r="C1669">
        <v>3</v>
      </c>
      <c r="D1669" t="s">
        <v>12</v>
      </c>
      <c r="E1669">
        <v>448646</v>
      </c>
      <c r="F1669" s="6">
        <v>579098938.65831804</v>
      </c>
      <c r="G1669" s="5">
        <v>468393387</v>
      </c>
      <c r="H1669">
        <v>17219079372</v>
      </c>
      <c r="I1669" s="1">
        <v>1.2363516538253732</v>
      </c>
    </row>
    <row r="1670" spans="1:9" x14ac:dyDescent="0.3">
      <c r="A1670" t="s">
        <v>33</v>
      </c>
      <c r="B1670">
        <v>2021</v>
      </c>
      <c r="C1670">
        <v>3</v>
      </c>
      <c r="D1670" t="s">
        <v>13</v>
      </c>
      <c r="E1670">
        <v>1477851</v>
      </c>
      <c r="F1670" s="6">
        <v>873324624.18261766</v>
      </c>
      <c r="G1670" s="5">
        <v>468393387</v>
      </c>
      <c r="H1670">
        <v>17219079372</v>
      </c>
      <c r="I1670" s="1">
        <v>1.8645110038298163</v>
      </c>
    </row>
    <row r="1671" spans="1:9" x14ac:dyDescent="0.3">
      <c r="A1671" t="s">
        <v>33</v>
      </c>
      <c r="B1671">
        <v>2021</v>
      </c>
      <c r="C1671">
        <v>4</v>
      </c>
      <c r="D1671" t="s">
        <v>11</v>
      </c>
      <c r="E1671">
        <v>540351277</v>
      </c>
      <c r="F1671" s="6">
        <v>305512280091.41571</v>
      </c>
      <c r="G1671" s="5">
        <v>500307566</v>
      </c>
      <c r="H1671">
        <v>22349131728</v>
      </c>
      <c r="I1671" s="1">
        <v>610.64893048492434</v>
      </c>
    </row>
    <row r="1672" spans="1:9" x14ac:dyDescent="0.3">
      <c r="A1672" t="s">
        <v>33</v>
      </c>
      <c r="B1672">
        <v>2021</v>
      </c>
      <c r="C1672">
        <v>4</v>
      </c>
      <c r="D1672" t="s">
        <v>10</v>
      </c>
      <c r="E1672">
        <v>361865450</v>
      </c>
      <c r="F1672" s="6">
        <v>1109862480618.2227</v>
      </c>
      <c r="G1672" s="5">
        <v>500307566</v>
      </c>
      <c r="H1672">
        <v>22349131728</v>
      </c>
      <c r="I1672" s="1">
        <v>2218.3603767811551</v>
      </c>
    </row>
    <row r="1673" spans="1:9" x14ac:dyDescent="0.3">
      <c r="A1673" t="s">
        <v>33</v>
      </c>
      <c r="B1673">
        <v>2021</v>
      </c>
      <c r="C1673">
        <v>4</v>
      </c>
      <c r="D1673" t="s">
        <v>9</v>
      </c>
      <c r="E1673">
        <v>105990417</v>
      </c>
      <c r="F1673" s="6">
        <v>58087950922.438873</v>
      </c>
      <c r="G1673" s="5">
        <v>500307566</v>
      </c>
      <c r="H1673">
        <v>22349131728</v>
      </c>
      <c r="I1673" s="1">
        <v>116.10448226249466</v>
      </c>
    </row>
    <row r="1674" spans="1:9" x14ac:dyDescent="0.3">
      <c r="A1674" t="s">
        <v>33</v>
      </c>
      <c r="B1674">
        <v>2021</v>
      </c>
      <c r="C1674">
        <v>4</v>
      </c>
      <c r="D1674" t="s">
        <v>12</v>
      </c>
      <c r="E1674">
        <v>606265</v>
      </c>
      <c r="F1674" s="6">
        <v>707102765.30589283</v>
      </c>
      <c r="G1674" s="5">
        <v>500307566</v>
      </c>
      <c r="H1674">
        <v>22349131728</v>
      </c>
      <c r="I1674" s="1">
        <v>1.4133361423238857</v>
      </c>
    </row>
    <row r="1675" spans="1:9" x14ac:dyDescent="0.3">
      <c r="A1675" t="s">
        <v>33</v>
      </c>
      <c r="B1675">
        <v>2021</v>
      </c>
      <c r="C1675">
        <v>4</v>
      </c>
      <c r="D1675" t="s">
        <v>13</v>
      </c>
      <c r="E1675">
        <v>1918093</v>
      </c>
      <c r="F1675" s="6">
        <v>1188658731.1175365</v>
      </c>
      <c r="G1675" s="5">
        <v>500307566</v>
      </c>
      <c r="H1675">
        <v>22349131728</v>
      </c>
      <c r="I1675" s="1">
        <v>2.3758559971838134</v>
      </c>
    </row>
    <row r="1676" spans="1:9" x14ac:dyDescent="0.3">
      <c r="A1676" t="s">
        <v>34</v>
      </c>
      <c r="B1676">
        <v>2018</v>
      </c>
      <c r="C1676">
        <v>1</v>
      </c>
      <c r="D1676" t="s">
        <v>9</v>
      </c>
      <c r="E1676">
        <v>50212</v>
      </c>
      <c r="F1676" s="6">
        <v>6463184.5547116911</v>
      </c>
      <c r="G1676" s="5">
        <v>329175</v>
      </c>
      <c r="H1676">
        <v>0</v>
      </c>
      <c r="I1676" s="1">
        <v>19.634493976491807</v>
      </c>
    </row>
    <row r="1677" spans="1:9" x14ac:dyDescent="0.3">
      <c r="A1677" t="s">
        <v>34</v>
      </c>
      <c r="B1677">
        <v>2018</v>
      </c>
      <c r="C1677">
        <v>1</v>
      </c>
      <c r="D1677" t="s">
        <v>10</v>
      </c>
      <c r="E1677">
        <v>26382</v>
      </c>
      <c r="F1677" s="6">
        <v>115495173.55796441</v>
      </c>
      <c r="G1677" s="5">
        <v>329175</v>
      </c>
      <c r="H1677">
        <v>0</v>
      </c>
      <c r="I1677" s="1">
        <v>350.86253074493635</v>
      </c>
    </row>
    <row r="1678" spans="1:9" x14ac:dyDescent="0.3">
      <c r="A1678" t="s">
        <v>34</v>
      </c>
      <c r="B1678">
        <v>2018</v>
      </c>
      <c r="C1678">
        <v>1</v>
      </c>
      <c r="D1678" t="s">
        <v>12</v>
      </c>
      <c r="E1678">
        <v>2660</v>
      </c>
      <c r="F1678" s="6">
        <v>412579.53985461866</v>
      </c>
      <c r="G1678" s="5">
        <v>329175</v>
      </c>
      <c r="H1678">
        <v>0</v>
      </c>
      <c r="I1678" s="1">
        <v>1.2533744660275496</v>
      </c>
    </row>
    <row r="1679" spans="1:9" x14ac:dyDescent="0.3">
      <c r="A1679" t="s">
        <v>34</v>
      </c>
      <c r="B1679">
        <v>2018</v>
      </c>
      <c r="C1679">
        <v>1</v>
      </c>
      <c r="D1679" t="s">
        <v>11</v>
      </c>
      <c r="E1679">
        <v>1614</v>
      </c>
      <c r="F1679" s="6">
        <v>3616475.6407912206</v>
      </c>
      <c r="G1679" s="5">
        <v>329175</v>
      </c>
      <c r="H1679">
        <v>0</v>
      </c>
      <c r="I1679" s="1">
        <v>10.98648330156063</v>
      </c>
    </row>
    <row r="1680" spans="1:9" x14ac:dyDescent="0.3">
      <c r="A1680" t="s">
        <v>34</v>
      </c>
      <c r="B1680">
        <v>2018</v>
      </c>
      <c r="C1680">
        <v>1</v>
      </c>
      <c r="D1680" t="s">
        <v>13</v>
      </c>
      <c r="E1680">
        <v>3201</v>
      </c>
      <c r="F1680" s="6">
        <v>2058760.6368871084</v>
      </c>
      <c r="G1680" s="5">
        <v>329175</v>
      </c>
      <c r="H1680">
        <v>0</v>
      </c>
      <c r="I1680" s="1">
        <v>6.2543043575214048</v>
      </c>
    </row>
    <row r="1681" spans="1:9" x14ac:dyDescent="0.3">
      <c r="A1681" t="s">
        <v>34</v>
      </c>
      <c r="B1681">
        <v>2018</v>
      </c>
      <c r="C1681">
        <v>2</v>
      </c>
      <c r="D1681" t="s">
        <v>9</v>
      </c>
      <c r="E1681">
        <v>77991</v>
      </c>
      <c r="F1681" s="6">
        <v>11541247.784420915</v>
      </c>
      <c r="G1681" s="5">
        <v>506605</v>
      </c>
      <c r="H1681">
        <v>0</v>
      </c>
      <c r="I1681" s="1">
        <v>22.781551276479536</v>
      </c>
    </row>
    <row r="1682" spans="1:9" x14ac:dyDescent="0.3">
      <c r="A1682" t="s">
        <v>34</v>
      </c>
      <c r="B1682">
        <v>2018</v>
      </c>
      <c r="C1682">
        <v>2</v>
      </c>
      <c r="D1682" t="s">
        <v>10</v>
      </c>
      <c r="E1682">
        <v>60365</v>
      </c>
      <c r="F1682" s="6">
        <v>232157389.7914803</v>
      </c>
      <c r="G1682" s="5">
        <v>506605</v>
      </c>
      <c r="H1682">
        <v>0</v>
      </c>
      <c r="I1682" s="1">
        <v>458.26114979417952</v>
      </c>
    </row>
    <row r="1683" spans="1:9" x14ac:dyDescent="0.3">
      <c r="A1683" t="s">
        <v>34</v>
      </c>
      <c r="B1683">
        <v>2018</v>
      </c>
      <c r="C1683">
        <v>2</v>
      </c>
      <c r="D1683" t="s">
        <v>12</v>
      </c>
      <c r="E1683">
        <v>5992</v>
      </c>
      <c r="F1683" s="6">
        <v>1241901.2660397931</v>
      </c>
      <c r="G1683" s="5">
        <v>506605</v>
      </c>
      <c r="H1683">
        <v>0</v>
      </c>
      <c r="I1683" s="1">
        <v>2.4514192833465782</v>
      </c>
    </row>
    <row r="1684" spans="1:9" x14ac:dyDescent="0.3">
      <c r="A1684" t="s">
        <v>34</v>
      </c>
      <c r="B1684">
        <v>2018</v>
      </c>
      <c r="C1684">
        <v>2</v>
      </c>
      <c r="D1684" t="s">
        <v>11</v>
      </c>
      <c r="E1684">
        <v>4041</v>
      </c>
      <c r="F1684" s="6">
        <v>5366759.8277298352</v>
      </c>
      <c r="G1684" s="5">
        <v>506605</v>
      </c>
      <c r="H1684">
        <v>0</v>
      </c>
      <c r="I1684" s="1">
        <v>10.593578483690123</v>
      </c>
    </row>
    <row r="1685" spans="1:9" x14ac:dyDescent="0.3">
      <c r="A1685" t="s">
        <v>34</v>
      </c>
      <c r="B1685">
        <v>2018</v>
      </c>
      <c r="C1685">
        <v>2</v>
      </c>
      <c r="D1685" t="s">
        <v>13</v>
      </c>
      <c r="E1685">
        <v>3332</v>
      </c>
      <c r="F1685" s="6">
        <v>2902422.6498233806</v>
      </c>
      <c r="G1685" s="5">
        <v>506605</v>
      </c>
      <c r="H1685">
        <v>0</v>
      </c>
      <c r="I1685" s="1">
        <v>5.7291630556812123</v>
      </c>
    </row>
    <row r="1686" spans="1:9" x14ac:dyDescent="0.3">
      <c r="A1686" t="s">
        <v>34</v>
      </c>
      <c r="B1686">
        <v>2018</v>
      </c>
      <c r="C1686">
        <v>3</v>
      </c>
      <c r="D1686" t="s">
        <v>10</v>
      </c>
      <c r="E1686">
        <v>95204</v>
      </c>
      <c r="F1686" s="6">
        <v>357768750.18458962</v>
      </c>
      <c r="G1686" s="5">
        <v>681285</v>
      </c>
      <c r="H1686">
        <v>0</v>
      </c>
      <c r="I1686" s="1">
        <v>525.13815831053023</v>
      </c>
    </row>
    <row r="1687" spans="1:9" x14ac:dyDescent="0.3">
      <c r="A1687" t="s">
        <v>34</v>
      </c>
      <c r="B1687">
        <v>2018</v>
      </c>
      <c r="C1687">
        <v>3</v>
      </c>
      <c r="D1687" t="s">
        <v>9</v>
      </c>
      <c r="E1687">
        <v>81323</v>
      </c>
      <c r="F1687" s="6">
        <v>13912990.484925149</v>
      </c>
      <c r="G1687" s="5">
        <v>681285</v>
      </c>
      <c r="H1687">
        <v>0</v>
      </c>
      <c r="I1687" s="1">
        <v>20.421689138796758</v>
      </c>
    </row>
    <row r="1688" spans="1:9" x14ac:dyDescent="0.3">
      <c r="A1688" t="s">
        <v>34</v>
      </c>
      <c r="B1688">
        <v>2018</v>
      </c>
      <c r="C1688">
        <v>3</v>
      </c>
      <c r="D1688" t="s">
        <v>11</v>
      </c>
      <c r="E1688">
        <v>7396</v>
      </c>
      <c r="F1688" s="6">
        <v>9180953.9773583338</v>
      </c>
      <c r="G1688" s="5">
        <v>681285</v>
      </c>
      <c r="H1688">
        <v>0</v>
      </c>
      <c r="I1688" s="1">
        <v>13.475937349799766</v>
      </c>
    </row>
    <row r="1689" spans="1:9" x14ac:dyDescent="0.3">
      <c r="A1689" t="s">
        <v>34</v>
      </c>
      <c r="B1689">
        <v>2018</v>
      </c>
      <c r="C1689">
        <v>3</v>
      </c>
      <c r="D1689" t="s">
        <v>12</v>
      </c>
      <c r="E1689">
        <v>2577</v>
      </c>
      <c r="F1689" s="6">
        <v>333081.63683149999</v>
      </c>
      <c r="G1689" s="5">
        <v>681285</v>
      </c>
      <c r="H1689">
        <v>0</v>
      </c>
      <c r="I1689" s="1">
        <v>0.48890205542687715</v>
      </c>
    </row>
    <row r="1690" spans="1:9" x14ac:dyDescent="0.3">
      <c r="A1690" t="s">
        <v>34</v>
      </c>
      <c r="B1690">
        <v>2018</v>
      </c>
      <c r="C1690">
        <v>3</v>
      </c>
      <c r="D1690" t="s">
        <v>13</v>
      </c>
      <c r="E1690">
        <v>2758</v>
      </c>
      <c r="F1690" s="6">
        <v>2135468.5104177971</v>
      </c>
      <c r="G1690" s="5">
        <v>681285</v>
      </c>
      <c r="H1690">
        <v>0</v>
      </c>
      <c r="I1690" s="1">
        <v>3.1344716387676188</v>
      </c>
    </row>
    <row r="1691" spans="1:9" x14ac:dyDescent="0.3">
      <c r="A1691" t="s">
        <v>34</v>
      </c>
      <c r="B1691">
        <v>2018</v>
      </c>
      <c r="C1691">
        <v>4</v>
      </c>
      <c r="D1691" t="s">
        <v>9</v>
      </c>
      <c r="E1691">
        <v>113507</v>
      </c>
      <c r="F1691" s="6">
        <v>18898063.282383174</v>
      </c>
      <c r="G1691" s="5">
        <v>908479</v>
      </c>
      <c r="H1691">
        <v>0</v>
      </c>
      <c r="I1691" s="1">
        <v>20.80187135022733</v>
      </c>
    </row>
    <row r="1692" spans="1:9" x14ac:dyDescent="0.3">
      <c r="A1692" t="s">
        <v>34</v>
      </c>
      <c r="B1692">
        <v>2018</v>
      </c>
      <c r="C1692">
        <v>4</v>
      </c>
      <c r="D1692" t="s">
        <v>10</v>
      </c>
      <c r="E1692">
        <v>104872</v>
      </c>
      <c r="F1692" s="6">
        <v>562009595.96018887</v>
      </c>
      <c r="G1692" s="5">
        <v>908479</v>
      </c>
      <c r="H1692">
        <v>0</v>
      </c>
      <c r="I1692" s="1">
        <v>618.62695335851333</v>
      </c>
    </row>
    <row r="1693" spans="1:9" x14ac:dyDescent="0.3">
      <c r="A1693" t="s">
        <v>34</v>
      </c>
      <c r="B1693">
        <v>2018</v>
      </c>
      <c r="C1693">
        <v>4</v>
      </c>
      <c r="D1693" t="s">
        <v>11</v>
      </c>
      <c r="E1693">
        <v>13333</v>
      </c>
      <c r="F1693" s="6">
        <v>20685433.284307171</v>
      </c>
      <c r="G1693" s="5">
        <v>908479</v>
      </c>
      <c r="H1693">
        <v>0</v>
      </c>
      <c r="I1693" s="1">
        <v>22.76930263033837</v>
      </c>
    </row>
    <row r="1694" spans="1:9" x14ac:dyDescent="0.3">
      <c r="A1694" t="s">
        <v>34</v>
      </c>
      <c r="B1694">
        <v>2018</v>
      </c>
      <c r="C1694">
        <v>4</v>
      </c>
      <c r="D1694" t="s">
        <v>12</v>
      </c>
      <c r="E1694">
        <v>1452</v>
      </c>
      <c r="F1694" s="6">
        <v>307325.24377239507</v>
      </c>
      <c r="G1694" s="5">
        <v>908479</v>
      </c>
      <c r="H1694">
        <v>0</v>
      </c>
      <c r="I1694" s="1">
        <v>0.33828546809821147</v>
      </c>
    </row>
    <row r="1695" spans="1:9" x14ac:dyDescent="0.3">
      <c r="A1695" t="s">
        <v>34</v>
      </c>
      <c r="B1695">
        <v>2018</v>
      </c>
      <c r="C1695">
        <v>4</v>
      </c>
      <c r="D1695" t="s">
        <v>13</v>
      </c>
      <c r="E1695">
        <v>2946</v>
      </c>
      <c r="F1695" s="6">
        <v>3783141.5353601985</v>
      </c>
      <c r="G1695" s="5">
        <v>908479</v>
      </c>
      <c r="H1695">
        <v>0</v>
      </c>
      <c r="I1695" s="1">
        <v>4.1642586513944719</v>
      </c>
    </row>
    <row r="1696" spans="1:9" x14ac:dyDescent="0.3">
      <c r="A1696" t="s">
        <v>34</v>
      </c>
      <c r="B1696">
        <v>2019</v>
      </c>
      <c r="C1696">
        <v>1</v>
      </c>
      <c r="D1696" t="s">
        <v>10</v>
      </c>
      <c r="E1696">
        <v>127067</v>
      </c>
      <c r="F1696" s="6">
        <v>619919870.74553514</v>
      </c>
      <c r="G1696" s="5">
        <v>1094797</v>
      </c>
      <c r="H1696">
        <v>0</v>
      </c>
      <c r="I1696" s="1">
        <v>566.24184277590746</v>
      </c>
    </row>
    <row r="1697" spans="1:9" x14ac:dyDescent="0.3">
      <c r="A1697" t="s">
        <v>34</v>
      </c>
      <c r="B1697">
        <v>2019</v>
      </c>
      <c r="C1697">
        <v>1</v>
      </c>
      <c r="D1697" t="s">
        <v>9</v>
      </c>
      <c r="E1697">
        <v>120000</v>
      </c>
      <c r="F1697" s="6">
        <v>22106830.369149238</v>
      </c>
      <c r="G1697" s="5">
        <v>1094797</v>
      </c>
      <c r="H1697">
        <v>0</v>
      </c>
      <c r="I1697" s="1">
        <v>20.192629655679763</v>
      </c>
    </row>
    <row r="1698" spans="1:9" x14ac:dyDescent="0.3">
      <c r="A1698" t="s">
        <v>34</v>
      </c>
      <c r="B1698">
        <v>2019</v>
      </c>
      <c r="C1698">
        <v>1</v>
      </c>
      <c r="D1698" t="s">
        <v>11</v>
      </c>
      <c r="E1698">
        <v>15190</v>
      </c>
      <c r="F1698" s="6">
        <v>14580183.380707521</v>
      </c>
      <c r="G1698" s="5">
        <v>1094797</v>
      </c>
      <c r="H1698">
        <v>0</v>
      </c>
      <c r="I1698" s="1">
        <v>13.317704908496754</v>
      </c>
    </row>
    <row r="1699" spans="1:9" x14ac:dyDescent="0.3">
      <c r="A1699" t="s">
        <v>34</v>
      </c>
      <c r="B1699">
        <v>2019</v>
      </c>
      <c r="C1699">
        <v>1</v>
      </c>
      <c r="D1699" t="s">
        <v>12</v>
      </c>
      <c r="E1699">
        <v>800</v>
      </c>
      <c r="F1699" s="6">
        <v>174777.17283837448</v>
      </c>
      <c r="G1699" s="5">
        <v>1094797</v>
      </c>
      <c r="H1699">
        <v>0</v>
      </c>
      <c r="I1699" s="1">
        <v>0.15964345247417966</v>
      </c>
    </row>
    <row r="1700" spans="1:9" x14ac:dyDescent="0.3">
      <c r="A1700" t="s">
        <v>34</v>
      </c>
      <c r="B1700">
        <v>2019</v>
      </c>
      <c r="C1700">
        <v>1</v>
      </c>
      <c r="D1700" t="s">
        <v>13</v>
      </c>
      <c r="E1700">
        <v>2352</v>
      </c>
      <c r="F1700" s="6">
        <v>3116398.7558489172</v>
      </c>
      <c r="G1700" s="5">
        <v>1094797</v>
      </c>
      <c r="H1700">
        <v>0</v>
      </c>
      <c r="I1700" s="1">
        <v>2.846553978362123</v>
      </c>
    </row>
    <row r="1701" spans="1:9" x14ac:dyDescent="0.3">
      <c r="A1701" t="s">
        <v>34</v>
      </c>
      <c r="B1701">
        <v>2019</v>
      </c>
      <c r="C1701">
        <v>2</v>
      </c>
      <c r="D1701" t="s">
        <v>10</v>
      </c>
      <c r="E1701">
        <v>120153</v>
      </c>
      <c r="F1701" s="6">
        <v>679785849.13986826</v>
      </c>
      <c r="G1701" s="5">
        <v>1295217</v>
      </c>
      <c r="H1701">
        <v>5113119</v>
      </c>
      <c r="I1701" s="1">
        <v>524.84321093675294</v>
      </c>
    </row>
    <row r="1702" spans="1:9" x14ac:dyDescent="0.3">
      <c r="A1702" t="s">
        <v>34</v>
      </c>
      <c r="B1702">
        <v>2019</v>
      </c>
      <c r="C1702">
        <v>2</v>
      </c>
      <c r="D1702" t="s">
        <v>9</v>
      </c>
      <c r="E1702">
        <v>116500</v>
      </c>
      <c r="F1702" s="6">
        <v>23573234.273060285</v>
      </c>
      <c r="G1702" s="5">
        <v>1295217</v>
      </c>
      <c r="H1702">
        <v>5113119</v>
      </c>
      <c r="I1702" s="1">
        <v>18.200219942341928</v>
      </c>
    </row>
    <row r="1703" spans="1:9" x14ac:dyDescent="0.3">
      <c r="A1703" t="s">
        <v>34</v>
      </c>
      <c r="B1703">
        <v>2019</v>
      </c>
      <c r="C1703">
        <v>2</v>
      </c>
      <c r="D1703" t="s">
        <v>11</v>
      </c>
      <c r="E1703">
        <v>18044</v>
      </c>
      <c r="F1703" s="6">
        <v>15996651.145700552</v>
      </c>
      <c r="G1703" s="5">
        <v>1295217</v>
      </c>
      <c r="H1703">
        <v>5113119</v>
      </c>
      <c r="I1703" s="1">
        <v>12.35055681457281</v>
      </c>
    </row>
    <row r="1704" spans="1:9" x14ac:dyDescent="0.3">
      <c r="A1704" t="s">
        <v>34</v>
      </c>
      <c r="B1704">
        <v>2019</v>
      </c>
      <c r="C1704">
        <v>2</v>
      </c>
      <c r="D1704" t="s">
        <v>12</v>
      </c>
      <c r="E1704">
        <v>387</v>
      </c>
      <c r="F1704" s="6">
        <v>91955.015382598343</v>
      </c>
      <c r="G1704" s="5">
        <v>1295217</v>
      </c>
      <c r="H1704">
        <v>5113119</v>
      </c>
      <c r="I1704" s="1">
        <v>7.0995837286414815E-2</v>
      </c>
    </row>
    <row r="1705" spans="1:9" x14ac:dyDescent="0.3">
      <c r="A1705" t="s">
        <v>34</v>
      </c>
      <c r="B1705">
        <v>2019</v>
      </c>
      <c r="C1705">
        <v>2</v>
      </c>
      <c r="D1705" t="s">
        <v>13</v>
      </c>
      <c r="E1705">
        <v>2341</v>
      </c>
      <c r="F1705" s="6">
        <v>3342252.5754885403</v>
      </c>
      <c r="G1705" s="5">
        <v>1295217</v>
      </c>
      <c r="H1705">
        <v>5113119</v>
      </c>
      <c r="I1705" s="1">
        <v>2.5804576186758976</v>
      </c>
    </row>
    <row r="1706" spans="1:9" x14ac:dyDescent="0.3">
      <c r="A1706" t="s">
        <v>34</v>
      </c>
      <c r="B1706">
        <v>2019</v>
      </c>
      <c r="C1706">
        <v>3</v>
      </c>
      <c r="D1706" t="s">
        <v>9</v>
      </c>
      <c r="E1706">
        <v>180057</v>
      </c>
      <c r="F1706" s="6">
        <v>36634657.049143404</v>
      </c>
      <c r="G1706" s="5">
        <v>1499476</v>
      </c>
      <c r="H1706">
        <v>17536255</v>
      </c>
      <c r="I1706" s="1">
        <v>24.4316394854892</v>
      </c>
    </row>
    <row r="1707" spans="1:9" x14ac:dyDescent="0.3">
      <c r="A1707" t="s">
        <v>34</v>
      </c>
      <c r="B1707">
        <v>2019</v>
      </c>
      <c r="C1707">
        <v>3</v>
      </c>
      <c r="D1707" t="s">
        <v>10</v>
      </c>
      <c r="E1707">
        <v>144965</v>
      </c>
      <c r="F1707" s="6">
        <v>803335616.63251925</v>
      </c>
      <c r="G1707" s="5">
        <v>1499476</v>
      </c>
      <c r="H1707">
        <v>17536255</v>
      </c>
      <c r="I1707" s="1">
        <v>535.74423107306768</v>
      </c>
    </row>
    <row r="1708" spans="1:9" x14ac:dyDescent="0.3">
      <c r="A1708" t="s">
        <v>34</v>
      </c>
      <c r="B1708">
        <v>2019</v>
      </c>
      <c r="C1708">
        <v>3</v>
      </c>
      <c r="D1708" t="s">
        <v>11</v>
      </c>
      <c r="E1708">
        <v>17683</v>
      </c>
      <c r="F1708" s="6">
        <v>20490224.443041254</v>
      </c>
      <c r="G1708" s="5">
        <v>1499476</v>
      </c>
      <c r="H1708">
        <v>17536255</v>
      </c>
      <c r="I1708" s="1">
        <v>13.664923241879999</v>
      </c>
    </row>
    <row r="1709" spans="1:9" x14ac:dyDescent="0.3">
      <c r="A1709" t="s">
        <v>34</v>
      </c>
      <c r="B1709">
        <v>2019</v>
      </c>
      <c r="C1709">
        <v>3</v>
      </c>
      <c r="D1709" t="s">
        <v>12</v>
      </c>
      <c r="E1709">
        <v>358</v>
      </c>
      <c r="F1709" s="6">
        <v>367865.78846626211</v>
      </c>
      <c r="G1709" s="5">
        <v>1499476</v>
      </c>
      <c r="H1709">
        <v>17536255</v>
      </c>
      <c r="I1709" s="1">
        <v>0.24532956077073731</v>
      </c>
    </row>
    <row r="1710" spans="1:9" x14ac:dyDescent="0.3">
      <c r="A1710" t="s">
        <v>34</v>
      </c>
      <c r="B1710">
        <v>2019</v>
      </c>
      <c r="C1710">
        <v>3</v>
      </c>
      <c r="D1710" t="s">
        <v>13</v>
      </c>
      <c r="E1710">
        <v>1945</v>
      </c>
      <c r="F1710" s="6">
        <v>2723638.6497642621</v>
      </c>
      <c r="G1710" s="5">
        <v>1499476</v>
      </c>
      <c r="H1710">
        <v>17536255</v>
      </c>
      <c r="I1710" s="1">
        <v>1.816393626683096</v>
      </c>
    </row>
    <row r="1711" spans="1:9" x14ac:dyDescent="0.3">
      <c r="A1711" t="s">
        <v>34</v>
      </c>
      <c r="B1711">
        <v>2019</v>
      </c>
      <c r="C1711">
        <v>4</v>
      </c>
      <c r="D1711" t="s">
        <v>9</v>
      </c>
      <c r="E1711">
        <v>212136</v>
      </c>
      <c r="F1711" s="6">
        <v>44202546.573960811</v>
      </c>
      <c r="G1711" s="5">
        <v>1708938</v>
      </c>
      <c r="H1711">
        <v>20410368</v>
      </c>
      <c r="I1711" s="1">
        <v>25.865506281656099</v>
      </c>
    </row>
    <row r="1712" spans="1:9" x14ac:dyDescent="0.3">
      <c r="A1712" t="s">
        <v>34</v>
      </c>
      <c r="B1712">
        <v>2019</v>
      </c>
      <c r="C1712">
        <v>4</v>
      </c>
      <c r="D1712" t="s">
        <v>10</v>
      </c>
      <c r="E1712">
        <v>211927</v>
      </c>
      <c r="F1712" s="6">
        <v>1123258478.4450691</v>
      </c>
      <c r="G1712" s="5">
        <v>1708938</v>
      </c>
      <c r="H1712">
        <v>20410368</v>
      </c>
      <c r="I1712" s="1">
        <v>657.28451145978909</v>
      </c>
    </row>
    <row r="1713" spans="1:9" x14ac:dyDescent="0.3">
      <c r="A1713" t="s">
        <v>34</v>
      </c>
      <c r="B1713">
        <v>2019</v>
      </c>
      <c r="C1713">
        <v>4</v>
      </c>
      <c r="D1713" t="s">
        <v>11</v>
      </c>
      <c r="E1713">
        <v>23094</v>
      </c>
      <c r="F1713" s="6">
        <v>30486780.446382143</v>
      </c>
      <c r="G1713" s="5">
        <v>1708938</v>
      </c>
      <c r="H1713">
        <v>20410368</v>
      </c>
      <c r="I1713" s="1">
        <v>17.839605911029039</v>
      </c>
    </row>
    <row r="1714" spans="1:9" x14ac:dyDescent="0.3">
      <c r="A1714" t="s">
        <v>34</v>
      </c>
      <c r="B1714">
        <v>2019</v>
      </c>
      <c r="C1714">
        <v>4</v>
      </c>
      <c r="D1714" t="s">
        <v>12</v>
      </c>
      <c r="E1714">
        <v>548</v>
      </c>
      <c r="F1714" s="6">
        <v>240641.76576834809</v>
      </c>
      <c r="G1714" s="5">
        <v>1708938</v>
      </c>
      <c r="H1714">
        <v>20410368</v>
      </c>
      <c r="I1714" s="1">
        <v>0.14081363148829745</v>
      </c>
    </row>
    <row r="1715" spans="1:9" x14ac:dyDescent="0.3">
      <c r="A1715" t="s">
        <v>34</v>
      </c>
      <c r="B1715">
        <v>2019</v>
      </c>
      <c r="C1715">
        <v>4</v>
      </c>
      <c r="D1715" t="s">
        <v>13</v>
      </c>
      <c r="E1715">
        <v>1639</v>
      </c>
      <c r="F1715" s="6">
        <v>2709234.8574561328</v>
      </c>
      <c r="G1715" s="5">
        <v>1708938</v>
      </c>
      <c r="H1715">
        <v>20410368</v>
      </c>
      <c r="I1715" s="1">
        <v>1.5853324447441235</v>
      </c>
    </row>
    <row r="1716" spans="1:9" x14ac:dyDescent="0.3">
      <c r="A1716" t="s">
        <v>34</v>
      </c>
      <c r="B1716">
        <v>2020</v>
      </c>
      <c r="C1716">
        <v>1</v>
      </c>
      <c r="D1716" t="s">
        <v>10</v>
      </c>
      <c r="E1716">
        <v>451733</v>
      </c>
      <c r="F1716" s="6">
        <v>2458093401.7404671</v>
      </c>
      <c r="G1716" s="5">
        <v>1951114</v>
      </c>
      <c r="H1716">
        <v>23932062</v>
      </c>
      <c r="I1716" s="1">
        <v>1259.8409942937558</v>
      </c>
    </row>
    <row r="1717" spans="1:9" x14ac:dyDescent="0.3">
      <c r="A1717" t="s">
        <v>34</v>
      </c>
      <c r="B1717">
        <v>2020</v>
      </c>
      <c r="C1717">
        <v>1</v>
      </c>
      <c r="D1717" t="s">
        <v>9</v>
      </c>
      <c r="E1717">
        <v>285234</v>
      </c>
      <c r="F1717" s="6">
        <v>62688260.379548095</v>
      </c>
      <c r="G1717" s="5">
        <v>1951114</v>
      </c>
      <c r="H1717">
        <v>23932062</v>
      </c>
      <c r="I1717" s="1">
        <v>32.129470845654375</v>
      </c>
    </row>
    <row r="1718" spans="1:9" x14ac:dyDescent="0.3">
      <c r="A1718" t="s">
        <v>34</v>
      </c>
      <c r="B1718">
        <v>2020</v>
      </c>
      <c r="C1718">
        <v>1</v>
      </c>
      <c r="D1718" t="s">
        <v>11</v>
      </c>
      <c r="E1718">
        <v>78067</v>
      </c>
      <c r="F1718" s="6">
        <v>74202067.066482604</v>
      </c>
      <c r="G1718" s="5">
        <v>1951114</v>
      </c>
      <c r="H1718">
        <v>23932062</v>
      </c>
      <c r="I1718" s="1">
        <v>38.030615877125889</v>
      </c>
    </row>
    <row r="1719" spans="1:9" x14ac:dyDescent="0.3">
      <c r="A1719" t="s">
        <v>34</v>
      </c>
      <c r="B1719">
        <v>2020</v>
      </c>
      <c r="C1719">
        <v>1</v>
      </c>
      <c r="D1719" t="s">
        <v>12</v>
      </c>
      <c r="E1719">
        <v>622</v>
      </c>
      <c r="F1719" s="6">
        <v>354184.4660589617</v>
      </c>
      <c r="G1719" s="5">
        <v>1951114</v>
      </c>
      <c r="H1719">
        <v>23932062</v>
      </c>
      <c r="I1719" s="1">
        <v>0.18152935505509246</v>
      </c>
    </row>
    <row r="1720" spans="1:9" x14ac:dyDescent="0.3">
      <c r="A1720" t="s">
        <v>34</v>
      </c>
      <c r="B1720">
        <v>2020</v>
      </c>
      <c r="C1720">
        <v>1</v>
      </c>
      <c r="D1720" t="s">
        <v>13</v>
      </c>
      <c r="E1720">
        <v>3145</v>
      </c>
      <c r="F1720" s="6">
        <v>3252467.2243867153</v>
      </c>
      <c r="G1720" s="5">
        <v>1951114</v>
      </c>
      <c r="H1720">
        <v>23932062</v>
      </c>
      <c r="I1720" s="1">
        <v>1.6669795944197598</v>
      </c>
    </row>
    <row r="1721" spans="1:9" x14ac:dyDescent="0.3">
      <c r="A1721" t="s">
        <v>34</v>
      </c>
      <c r="B1721">
        <v>2020</v>
      </c>
      <c r="C1721">
        <v>2</v>
      </c>
      <c r="D1721" t="s">
        <v>10</v>
      </c>
      <c r="E1721">
        <v>533206</v>
      </c>
      <c r="F1721" s="6">
        <v>2980242535.0754428</v>
      </c>
      <c r="G1721" s="5">
        <v>2370456</v>
      </c>
      <c r="H1721">
        <v>33126401</v>
      </c>
      <c r="I1721" s="1">
        <v>1257.244401530947</v>
      </c>
    </row>
    <row r="1722" spans="1:9" x14ac:dyDescent="0.3">
      <c r="A1722" t="s">
        <v>34</v>
      </c>
      <c r="B1722">
        <v>2020</v>
      </c>
      <c r="C1722">
        <v>2</v>
      </c>
      <c r="D1722" t="s">
        <v>9</v>
      </c>
      <c r="E1722">
        <v>450830</v>
      </c>
      <c r="F1722" s="6">
        <v>107589094.29890464</v>
      </c>
      <c r="G1722" s="5">
        <v>2370456</v>
      </c>
      <c r="H1722">
        <v>33126401</v>
      </c>
      <c r="I1722" s="1">
        <v>45.387509533568497</v>
      </c>
    </row>
    <row r="1723" spans="1:9" x14ac:dyDescent="0.3">
      <c r="A1723" t="s">
        <v>34</v>
      </c>
      <c r="B1723">
        <v>2020</v>
      </c>
      <c r="C1723">
        <v>2</v>
      </c>
      <c r="D1723" t="s">
        <v>11</v>
      </c>
      <c r="E1723">
        <v>92110</v>
      </c>
      <c r="F1723" s="6">
        <v>106540409.29886684</v>
      </c>
      <c r="G1723" s="5">
        <v>2370456</v>
      </c>
      <c r="H1723">
        <v>33126401</v>
      </c>
      <c r="I1723" s="1">
        <v>44.945111530805399</v>
      </c>
    </row>
    <row r="1724" spans="1:9" x14ac:dyDescent="0.3">
      <c r="A1724" t="s">
        <v>34</v>
      </c>
      <c r="B1724">
        <v>2020</v>
      </c>
      <c r="C1724">
        <v>2</v>
      </c>
      <c r="D1724" t="s">
        <v>12</v>
      </c>
      <c r="E1724">
        <v>1676</v>
      </c>
      <c r="F1724" s="6">
        <v>1457570.8004862315</v>
      </c>
      <c r="G1724" s="5">
        <v>2370456</v>
      </c>
      <c r="H1724">
        <v>33126401</v>
      </c>
      <c r="I1724" s="1">
        <v>0.61489046853695295</v>
      </c>
    </row>
    <row r="1725" spans="1:9" x14ac:dyDescent="0.3">
      <c r="A1725" t="s">
        <v>34</v>
      </c>
      <c r="B1725">
        <v>2020</v>
      </c>
      <c r="C1725">
        <v>2</v>
      </c>
      <c r="D1725" t="s">
        <v>13</v>
      </c>
      <c r="E1725">
        <v>5246</v>
      </c>
      <c r="F1725" s="6">
        <v>3106603.3318103859</v>
      </c>
      <c r="G1725" s="5">
        <v>2370456</v>
      </c>
      <c r="H1725">
        <v>33126401</v>
      </c>
      <c r="I1725" s="1">
        <v>1.3105509369549091</v>
      </c>
    </row>
    <row r="1726" spans="1:9" x14ac:dyDescent="0.3">
      <c r="A1726" t="s">
        <v>34</v>
      </c>
      <c r="B1726">
        <v>2020</v>
      </c>
      <c r="C1726">
        <v>3</v>
      </c>
      <c r="D1726" t="s">
        <v>10</v>
      </c>
      <c r="E1726">
        <v>774786</v>
      </c>
      <c r="F1726" s="6">
        <v>4301284799.3312922</v>
      </c>
      <c r="G1726" s="5">
        <v>2844193</v>
      </c>
      <c r="H1726">
        <v>39076125</v>
      </c>
      <c r="I1726" s="1">
        <v>1512.3041225863687</v>
      </c>
    </row>
    <row r="1727" spans="1:9" x14ac:dyDescent="0.3">
      <c r="A1727" t="s">
        <v>34</v>
      </c>
      <c r="B1727">
        <v>2020</v>
      </c>
      <c r="C1727">
        <v>3</v>
      </c>
      <c r="D1727" t="s">
        <v>9</v>
      </c>
      <c r="E1727">
        <v>464659</v>
      </c>
      <c r="F1727" s="6">
        <v>113190539.14969069</v>
      </c>
      <c r="G1727" s="5">
        <v>2844193</v>
      </c>
      <c r="H1727">
        <v>39076125</v>
      </c>
      <c r="I1727" s="1">
        <v>39.797066918345799</v>
      </c>
    </row>
    <row r="1728" spans="1:9" x14ac:dyDescent="0.3">
      <c r="A1728" t="s">
        <v>34</v>
      </c>
      <c r="B1728">
        <v>2020</v>
      </c>
      <c r="C1728">
        <v>3</v>
      </c>
      <c r="D1728" t="s">
        <v>11</v>
      </c>
      <c r="E1728">
        <v>170653</v>
      </c>
      <c r="F1728" s="6">
        <v>195132026.6311202</v>
      </c>
      <c r="G1728" s="5">
        <v>2844193</v>
      </c>
      <c r="H1728">
        <v>39076125</v>
      </c>
      <c r="I1728" s="1">
        <v>68.607167878944992</v>
      </c>
    </row>
    <row r="1729" spans="1:9" x14ac:dyDescent="0.3">
      <c r="A1729" t="s">
        <v>34</v>
      </c>
      <c r="B1729">
        <v>2020</v>
      </c>
      <c r="C1729">
        <v>3</v>
      </c>
      <c r="D1729" t="s">
        <v>12</v>
      </c>
      <c r="E1729">
        <v>1878</v>
      </c>
      <c r="F1729" s="6">
        <v>1593035.9440662281</v>
      </c>
      <c r="G1729" s="5">
        <v>2844193</v>
      </c>
      <c r="H1729">
        <v>39076125</v>
      </c>
      <c r="I1729" s="1">
        <v>0.56010121115769151</v>
      </c>
    </row>
    <row r="1730" spans="1:9" x14ac:dyDescent="0.3">
      <c r="A1730" t="s">
        <v>34</v>
      </c>
      <c r="B1730">
        <v>2020</v>
      </c>
      <c r="C1730">
        <v>3</v>
      </c>
      <c r="D1730" t="s">
        <v>13</v>
      </c>
      <c r="E1730">
        <v>8192</v>
      </c>
      <c r="F1730" s="6">
        <v>4775719.8143366445</v>
      </c>
      <c r="G1730" s="5">
        <v>2844193</v>
      </c>
      <c r="H1730">
        <v>39076125</v>
      </c>
      <c r="I1730" s="1">
        <v>1.6791124281427612</v>
      </c>
    </row>
    <row r="1731" spans="1:9" x14ac:dyDescent="0.3">
      <c r="A1731" t="s">
        <v>34</v>
      </c>
      <c r="B1731">
        <v>2020</v>
      </c>
      <c r="C1731">
        <v>4</v>
      </c>
      <c r="D1731" t="s">
        <v>10</v>
      </c>
      <c r="E1731">
        <v>892853</v>
      </c>
      <c r="F1731" s="6">
        <v>5172499337.5304375</v>
      </c>
      <c r="G1731" s="5">
        <v>3176492</v>
      </c>
      <c r="H1731">
        <v>41617752</v>
      </c>
      <c r="I1731" s="1">
        <v>1628.3684446648811</v>
      </c>
    </row>
    <row r="1732" spans="1:9" x14ac:dyDescent="0.3">
      <c r="A1732" t="s">
        <v>34</v>
      </c>
      <c r="B1732">
        <v>2020</v>
      </c>
      <c r="C1732">
        <v>4</v>
      </c>
      <c r="D1732" t="s">
        <v>9</v>
      </c>
      <c r="E1732">
        <v>436450</v>
      </c>
      <c r="F1732" s="6">
        <v>114202616.34869762</v>
      </c>
      <c r="G1732" s="5">
        <v>3176492</v>
      </c>
      <c r="H1732">
        <v>41617752</v>
      </c>
      <c r="I1732" s="1">
        <v>35.952433171151576</v>
      </c>
    </row>
    <row r="1733" spans="1:9" x14ac:dyDescent="0.3">
      <c r="A1733" t="s">
        <v>34</v>
      </c>
      <c r="B1733">
        <v>2020</v>
      </c>
      <c r="C1733">
        <v>4</v>
      </c>
      <c r="D1733" t="s">
        <v>11</v>
      </c>
      <c r="E1733">
        <v>289050</v>
      </c>
      <c r="F1733" s="6">
        <v>307902115.38207734</v>
      </c>
      <c r="G1733" s="5">
        <v>3176492</v>
      </c>
      <c r="H1733">
        <v>41617752</v>
      </c>
      <c r="I1733" s="1">
        <v>96.931494045027449</v>
      </c>
    </row>
    <row r="1734" spans="1:9" x14ac:dyDescent="0.3">
      <c r="A1734" t="s">
        <v>34</v>
      </c>
      <c r="B1734">
        <v>2020</v>
      </c>
      <c r="C1734">
        <v>4</v>
      </c>
      <c r="D1734" t="s">
        <v>12</v>
      </c>
      <c r="E1734">
        <v>1806</v>
      </c>
      <c r="F1734" s="6">
        <v>2448402.9142817147</v>
      </c>
      <c r="G1734" s="5">
        <v>3176492</v>
      </c>
      <c r="H1734">
        <v>41617752</v>
      </c>
      <c r="I1734" s="1">
        <v>0.77078831436745776</v>
      </c>
    </row>
    <row r="1735" spans="1:9" x14ac:dyDescent="0.3">
      <c r="A1735" t="s">
        <v>34</v>
      </c>
      <c r="B1735">
        <v>2020</v>
      </c>
      <c r="C1735">
        <v>4</v>
      </c>
      <c r="D1735" t="s">
        <v>13</v>
      </c>
      <c r="E1735">
        <v>7693</v>
      </c>
      <c r="F1735" s="6">
        <v>5172086.2832605438</v>
      </c>
      <c r="G1735" s="5">
        <v>3176492</v>
      </c>
      <c r="H1735">
        <v>41617752</v>
      </c>
      <c r="I1735" s="1">
        <v>1.6282384099379263</v>
      </c>
    </row>
    <row r="1736" spans="1:9" x14ac:dyDescent="0.3">
      <c r="A1736" t="s">
        <v>34</v>
      </c>
      <c r="B1736">
        <v>2021</v>
      </c>
      <c r="C1736">
        <v>1</v>
      </c>
      <c r="D1736" t="s">
        <v>10</v>
      </c>
      <c r="E1736">
        <v>1117829</v>
      </c>
      <c r="F1736" s="6">
        <v>6402367883.6674232</v>
      </c>
      <c r="G1736" s="5">
        <v>3439348</v>
      </c>
      <c r="H1736">
        <v>40801497</v>
      </c>
      <c r="I1736" s="1">
        <v>1861.5062749298481</v>
      </c>
    </row>
    <row r="1737" spans="1:9" x14ac:dyDescent="0.3">
      <c r="A1737" t="s">
        <v>34</v>
      </c>
      <c r="B1737">
        <v>2021</v>
      </c>
      <c r="C1737">
        <v>1</v>
      </c>
      <c r="D1737" t="s">
        <v>9</v>
      </c>
      <c r="E1737">
        <v>796590</v>
      </c>
      <c r="F1737" s="6">
        <v>223955812.58644393</v>
      </c>
      <c r="G1737" s="5">
        <v>3439348</v>
      </c>
      <c r="H1737">
        <v>40801497</v>
      </c>
      <c r="I1737" s="1">
        <v>65.115775602365318</v>
      </c>
    </row>
    <row r="1738" spans="1:9" x14ac:dyDescent="0.3">
      <c r="A1738" t="s">
        <v>34</v>
      </c>
      <c r="B1738">
        <v>2021</v>
      </c>
      <c r="C1738">
        <v>1</v>
      </c>
      <c r="D1738" t="s">
        <v>11</v>
      </c>
      <c r="E1738">
        <v>377280</v>
      </c>
      <c r="F1738" s="6">
        <v>433297594.13521522</v>
      </c>
      <c r="G1738" s="5">
        <v>3439348</v>
      </c>
      <c r="H1738">
        <v>40801497</v>
      </c>
      <c r="I1738" s="1">
        <v>125.98248102117472</v>
      </c>
    </row>
    <row r="1739" spans="1:9" x14ac:dyDescent="0.3">
      <c r="A1739" t="s">
        <v>34</v>
      </c>
      <c r="B1739">
        <v>2021</v>
      </c>
      <c r="C1739">
        <v>1</v>
      </c>
      <c r="D1739" t="s">
        <v>12</v>
      </c>
      <c r="E1739">
        <v>3398</v>
      </c>
      <c r="F1739" s="6">
        <v>4385333.1754908115</v>
      </c>
      <c r="G1739" s="5">
        <v>3439348</v>
      </c>
      <c r="H1739">
        <v>40801497</v>
      </c>
      <c r="I1739" s="1">
        <v>1.2750478217065593</v>
      </c>
    </row>
    <row r="1740" spans="1:9" x14ac:dyDescent="0.3">
      <c r="A1740" t="s">
        <v>34</v>
      </c>
      <c r="B1740">
        <v>2021</v>
      </c>
      <c r="C1740">
        <v>1</v>
      </c>
      <c r="D1740" t="s">
        <v>13</v>
      </c>
      <c r="E1740">
        <v>8438</v>
      </c>
      <c r="F1740" s="6">
        <v>6280890.9146698257</v>
      </c>
      <c r="G1740" s="5">
        <v>3439348</v>
      </c>
      <c r="H1740">
        <v>40801497</v>
      </c>
      <c r="I1740" s="1">
        <v>1.826186508218949</v>
      </c>
    </row>
    <row r="1741" spans="1:9" x14ac:dyDescent="0.3">
      <c r="A1741" t="s">
        <v>34</v>
      </c>
      <c r="B1741">
        <v>2021</v>
      </c>
      <c r="C1741">
        <v>2</v>
      </c>
      <c r="D1741" t="s">
        <v>10</v>
      </c>
      <c r="E1741">
        <v>1372821</v>
      </c>
      <c r="F1741" s="6">
        <v>7041837917.7851868</v>
      </c>
      <c r="G1741" s="5">
        <v>3689499</v>
      </c>
      <c r="H1741">
        <v>79959022</v>
      </c>
      <c r="I1741" s="1">
        <v>1908.616296625961</v>
      </c>
    </row>
    <row r="1742" spans="1:9" x14ac:dyDescent="0.3">
      <c r="A1742" t="s">
        <v>34</v>
      </c>
      <c r="B1742">
        <v>2021</v>
      </c>
      <c r="C1742">
        <v>2</v>
      </c>
      <c r="D1742" t="s">
        <v>9</v>
      </c>
      <c r="E1742">
        <v>1187952</v>
      </c>
      <c r="F1742" s="6">
        <v>305103750.5728581</v>
      </c>
      <c r="G1742" s="5">
        <v>3689499</v>
      </c>
      <c r="H1742">
        <v>79959022</v>
      </c>
      <c r="I1742" s="1">
        <v>82.695170963010995</v>
      </c>
    </row>
    <row r="1743" spans="1:9" x14ac:dyDescent="0.3">
      <c r="A1743" t="s">
        <v>34</v>
      </c>
      <c r="B1743">
        <v>2021</v>
      </c>
      <c r="C1743">
        <v>2</v>
      </c>
      <c r="D1743" t="s">
        <v>11</v>
      </c>
      <c r="E1743">
        <v>510734</v>
      </c>
      <c r="F1743" s="6">
        <v>531484849.49141687</v>
      </c>
      <c r="G1743" s="5">
        <v>3689499</v>
      </c>
      <c r="H1743">
        <v>79959022</v>
      </c>
      <c r="I1743" s="1">
        <v>144.05339301932779</v>
      </c>
    </row>
    <row r="1744" spans="1:9" x14ac:dyDescent="0.3">
      <c r="A1744" t="s">
        <v>34</v>
      </c>
      <c r="B1744">
        <v>2021</v>
      </c>
      <c r="C1744">
        <v>2</v>
      </c>
      <c r="D1744" t="s">
        <v>12</v>
      </c>
      <c r="E1744">
        <v>4165</v>
      </c>
      <c r="F1744" s="6">
        <v>4256098.2322371826</v>
      </c>
      <c r="G1744" s="5">
        <v>3689499</v>
      </c>
      <c r="H1744">
        <v>79959022</v>
      </c>
      <c r="I1744" s="1">
        <v>1.1535707781021711</v>
      </c>
    </row>
    <row r="1745" spans="1:9" x14ac:dyDescent="0.3">
      <c r="A1745" t="s">
        <v>34</v>
      </c>
      <c r="B1745">
        <v>2021</v>
      </c>
      <c r="C1745">
        <v>2</v>
      </c>
      <c r="D1745" t="s">
        <v>13</v>
      </c>
      <c r="E1745">
        <v>10603</v>
      </c>
      <c r="F1745" s="6">
        <v>7145346.3149420116</v>
      </c>
      <c r="G1745" s="5">
        <v>3689499</v>
      </c>
      <c r="H1745">
        <v>79959022</v>
      </c>
      <c r="I1745" s="1">
        <v>1.9366711618412178</v>
      </c>
    </row>
    <row r="1746" spans="1:9" x14ac:dyDescent="0.3">
      <c r="A1746" t="s">
        <v>34</v>
      </c>
      <c r="B1746">
        <v>2021</v>
      </c>
      <c r="C1746">
        <v>3</v>
      </c>
      <c r="D1746" t="s">
        <v>10</v>
      </c>
      <c r="E1746">
        <v>1819423</v>
      </c>
      <c r="F1746" s="6">
        <v>9134806594.5281906</v>
      </c>
      <c r="G1746" s="5">
        <v>3979239</v>
      </c>
      <c r="H1746">
        <v>107181492</v>
      </c>
      <c r="I1746" s="1">
        <v>2295.6164720259803</v>
      </c>
    </row>
    <row r="1747" spans="1:9" x14ac:dyDescent="0.3">
      <c r="A1747" t="s">
        <v>34</v>
      </c>
      <c r="B1747">
        <v>2021</v>
      </c>
      <c r="C1747">
        <v>3</v>
      </c>
      <c r="D1747" t="s">
        <v>9</v>
      </c>
      <c r="E1747">
        <v>1368584</v>
      </c>
      <c r="F1747" s="6">
        <v>367664440.53237265</v>
      </c>
      <c r="G1747" s="5">
        <v>3979239</v>
      </c>
      <c r="H1747">
        <v>107181492</v>
      </c>
      <c r="I1747" s="1">
        <v>92.395666742402923</v>
      </c>
    </row>
    <row r="1748" spans="1:9" x14ac:dyDescent="0.3">
      <c r="A1748" t="s">
        <v>34</v>
      </c>
      <c r="B1748">
        <v>2021</v>
      </c>
      <c r="C1748">
        <v>3</v>
      </c>
      <c r="D1748" t="s">
        <v>11</v>
      </c>
      <c r="E1748">
        <v>735707</v>
      </c>
      <c r="F1748" s="6">
        <v>889317377.08652604</v>
      </c>
      <c r="G1748" s="5">
        <v>3979239</v>
      </c>
      <c r="H1748">
        <v>107181492</v>
      </c>
      <c r="I1748" s="1">
        <v>223.48930966110004</v>
      </c>
    </row>
    <row r="1749" spans="1:9" x14ac:dyDescent="0.3">
      <c r="A1749" t="s">
        <v>34</v>
      </c>
      <c r="B1749">
        <v>2021</v>
      </c>
      <c r="C1749">
        <v>3</v>
      </c>
      <c r="D1749" t="s">
        <v>12</v>
      </c>
      <c r="E1749">
        <v>3460</v>
      </c>
      <c r="F1749" s="6">
        <v>5625517.9754616488</v>
      </c>
      <c r="G1749" s="5">
        <v>3979239</v>
      </c>
      <c r="H1749">
        <v>107181492</v>
      </c>
      <c r="I1749" s="1">
        <v>1.4137170387256581</v>
      </c>
    </row>
    <row r="1750" spans="1:9" x14ac:dyDescent="0.3">
      <c r="A1750" t="s">
        <v>34</v>
      </c>
      <c r="B1750">
        <v>2021</v>
      </c>
      <c r="C1750">
        <v>3</v>
      </c>
      <c r="D1750" t="s">
        <v>13</v>
      </c>
      <c r="E1750">
        <v>14222</v>
      </c>
      <c r="F1750" s="6">
        <v>9447098.7823033892</v>
      </c>
      <c r="G1750" s="5">
        <v>3979239</v>
      </c>
      <c r="H1750">
        <v>107181492</v>
      </c>
      <c r="I1750" s="1">
        <v>2.3740968517606982</v>
      </c>
    </row>
    <row r="1751" spans="1:9" x14ac:dyDescent="0.3">
      <c r="A1751" t="s">
        <v>34</v>
      </c>
      <c r="B1751">
        <v>2021</v>
      </c>
      <c r="C1751">
        <v>4</v>
      </c>
      <c r="D1751" t="s">
        <v>10</v>
      </c>
      <c r="E1751">
        <v>2199970</v>
      </c>
      <c r="F1751" s="6">
        <v>10998828287.529043</v>
      </c>
      <c r="G1751" s="5">
        <v>4265206</v>
      </c>
      <c r="H1751">
        <v>83636234</v>
      </c>
      <c r="I1751" s="1">
        <v>2578.7331930811883</v>
      </c>
    </row>
    <row r="1752" spans="1:9" x14ac:dyDescent="0.3">
      <c r="A1752" t="s">
        <v>34</v>
      </c>
      <c r="B1752">
        <v>2021</v>
      </c>
      <c r="C1752">
        <v>4</v>
      </c>
      <c r="D1752" t="s">
        <v>9</v>
      </c>
      <c r="E1752">
        <v>1451488</v>
      </c>
      <c r="F1752" s="6">
        <v>412791673.80376643</v>
      </c>
      <c r="G1752" s="5">
        <v>4265206</v>
      </c>
      <c r="H1752">
        <v>83636234</v>
      </c>
      <c r="I1752" s="1">
        <v>96.781180980183947</v>
      </c>
    </row>
    <row r="1753" spans="1:9" x14ac:dyDescent="0.3">
      <c r="A1753" t="s">
        <v>34</v>
      </c>
      <c r="B1753">
        <v>2021</v>
      </c>
      <c r="C1753">
        <v>4</v>
      </c>
      <c r="D1753" t="s">
        <v>11</v>
      </c>
      <c r="E1753">
        <v>1013985</v>
      </c>
      <c r="F1753" s="6">
        <v>1229517397.4561875</v>
      </c>
      <c r="G1753" s="5">
        <v>4265206</v>
      </c>
      <c r="H1753">
        <v>83636234</v>
      </c>
      <c r="I1753" s="1">
        <v>288.26682637513579</v>
      </c>
    </row>
    <row r="1754" spans="1:9" x14ac:dyDescent="0.3">
      <c r="A1754" t="s">
        <v>34</v>
      </c>
      <c r="B1754">
        <v>2021</v>
      </c>
      <c r="C1754">
        <v>4</v>
      </c>
      <c r="D1754" t="s">
        <v>12</v>
      </c>
      <c r="E1754">
        <v>4671</v>
      </c>
      <c r="F1754" s="6">
        <v>5941100.580610943</v>
      </c>
      <c r="G1754" s="5">
        <v>4265206</v>
      </c>
      <c r="H1754">
        <v>83636234</v>
      </c>
      <c r="I1754" s="1">
        <v>1.3929223068266674</v>
      </c>
    </row>
    <row r="1755" spans="1:9" x14ac:dyDescent="0.3">
      <c r="A1755" t="s">
        <v>34</v>
      </c>
      <c r="B1755">
        <v>2021</v>
      </c>
      <c r="C1755">
        <v>4</v>
      </c>
      <c r="D1755" t="s">
        <v>13</v>
      </c>
      <c r="E1755">
        <v>17325</v>
      </c>
      <c r="F1755" s="6">
        <v>11393578.842227157</v>
      </c>
      <c r="G1755" s="5">
        <v>4265206</v>
      </c>
      <c r="H1755">
        <v>83636234</v>
      </c>
      <c r="I1755" s="1">
        <v>2.67128453871329</v>
      </c>
    </row>
    <row r="1756" spans="1:9" x14ac:dyDescent="0.3">
      <c r="A1756" t="s">
        <v>35</v>
      </c>
      <c r="B1756">
        <v>2018</v>
      </c>
      <c r="C1756">
        <v>1</v>
      </c>
      <c r="D1756" t="s">
        <v>9</v>
      </c>
      <c r="E1756">
        <v>31857</v>
      </c>
      <c r="F1756" s="6">
        <v>6028476.1490903562</v>
      </c>
      <c r="G1756" s="5">
        <v>203643</v>
      </c>
      <c r="H1756">
        <v>0</v>
      </c>
      <c r="I1756" s="1">
        <v>29.603159200612623</v>
      </c>
    </row>
    <row r="1757" spans="1:9" x14ac:dyDescent="0.3">
      <c r="A1757" t="s">
        <v>35</v>
      </c>
      <c r="B1757">
        <v>2018</v>
      </c>
      <c r="C1757">
        <v>1</v>
      </c>
      <c r="D1757" t="s">
        <v>10</v>
      </c>
      <c r="E1757">
        <v>13274</v>
      </c>
      <c r="F1757" s="6">
        <v>55943496.515886314</v>
      </c>
      <c r="G1757" s="5">
        <v>203643</v>
      </c>
      <c r="H1757">
        <v>0</v>
      </c>
      <c r="I1757" s="1">
        <v>274.71357481419108</v>
      </c>
    </row>
    <row r="1758" spans="1:9" x14ac:dyDescent="0.3">
      <c r="A1758" t="s">
        <v>35</v>
      </c>
      <c r="B1758">
        <v>2018</v>
      </c>
      <c r="C1758">
        <v>1</v>
      </c>
      <c r="D1758" t="s">
        <v>11</v>
      </c>
      <c r="E1758">
        <v>1605</v>
      </c>
      <c r="F1758" s="6">
        <v>2395888.4397623385</v>
      </c>
      <c r="G1758" s="5">
        <v>203643</v>
      </c>
      <c r="H1758">
        <v>0</v>
      </c>
      <c r="I1758" s="1">
        <v>11.765140170604138</v>
      </c>
    </row>
    <row r="1759" spans="1:9" x14ac:dyDescent="0.3">
      <c r="A1759" t="s">
        <v>35</v>
      </c>
      <c r="B1759">
        <v>2018</v>
      </c>
      <c r="C1759">
        <v>1</v>
      </c>
      <c r="D1759" t="s">
        <v>12</v>
      </c>
      <c r="E1759">
        <v>532</v>
      </c>
      <c r="F1759" s="6">
        <v>144318.25455711511</v>
      </c>
      <c r="G1759" s="5">
        <v>203643</v>
      </c>
      <c r="H1759">
        <v>0</v>
      </c>
      <c r="I1759" s="1">
        <v>0.70868261888262851</v>
      </c>
    </row>
    <row r="1760" spans="1:9" x14ac:dyDescent="0.3">
      <c r="A1760" t="s">
        <v>35</v>
      </c>
      <c r="B1760">
        <v>2018</v>
      </c>
      <c r="C1760">
        <v>1</v>
      </c>
      <c r="D1760" t="s">
        <v>13</v>
      </c>
      <c r="E1760">
        <v>2303</v>
      </c>
      <c r="F1760" s="6">
        <v>1738080.4306043901</v>
      </c>
      <c r="G1760" s="5">
        <v>203643</v>
      </c>
      <c r="H1760">
        <v>0</v>
      </c>
      <c r="I1760" s="1">
        <v>8.5349382527481428</v>
      </c>
    </row>
    <row r="1761" spans="1:9" x14ac:dyDescent="0.3">
      <c r="A1761" t="s">
        <v>35</v>
      </c>
      <c r="B1761">
        <v>2018</v>
      </c>
      <c r="C1761">
        <v>2</v>
      </c>
      <c r="D1761" t="s">
        <v>9</v>
      </c>
      <c r="E1761">
        <v>42625</v>
      </c>
      <c r="F1761" s="6">
        <v>9657896.164724296</v>
      </c>
      <c r="G1761" s="5">
        <v>292798</v>
      </c>
      <c r="H1761">
        <v>0</v>
      </c>
      <c r="I1761" s="1">
        <v>32.984843355228847</v>
      </c>
    </row>
    <row r="1762" spans="1:9" x14ac:dyDescent="0.3">
      <c r="A1762" t="s">
        <v>35</v>
      </c>
      <c r="B1762">
        <v>2018</v>
      </c>
      <c r="C1762">
        <v>2</v>
      </c>
      <c r="D1762" t="s">
        <v>10</v>
      </c>
      <c r="E1762">
        <v>19894</v>
      </c>
      <c r="F1762" s="6">
        <v>101140464.66239843</v>
      </c>
      <c r="G1762" s="5">
        <v>292798</v>
      </c>
      <c r="H1762">
        <v>0</v>
      </c>
      <c r="I1762" s="1">
        <v>345.42744370657732</v>
      </c>
    </row>
    <row r="1763" spans="1:9" x14ac:dyDescent="0.3">
      <c r="A1763" t="s">
        <v>35</v>
      </c>
      <c r="B1763">
        <v>2018</v>
      </c>
      <c r="C1763">
        <v>2</v>
      </c>
      <c r="D1763" t="s">
        <v>11</v>
      </c>
      <c r="E1763">
        <v>2929</v>
      </c>
      <c r="F1763" s="6">
        <v>3663446.4362201309</v>
      </c>
      <c r="G1763" s="5">
        <v>292798</v>
      </c>
      <c r="H1763">
        <v>0</v>
      </c>
      <c r="I1763" s="1">
        <v>12.511856079003719</v>
      </c>
    </row>
    <row r="1764" spans="1:9" x14ac:dyDescent="0.3">
      <c r="A1764" t="s">
        <v>35</v>
      </c>
      <c r="B1764">
        <v>2018</v>
      </c>
      <c r="C1764">
        <v>2</v>
      </c>
      <c r="D1764" t="s">
        <v>12</v>
      </c>
      <c r="E1764">
        <v>592</v>
      </c>
      <c r="F1764" s="6">
        <v>580648.34341321059</v>
      </c>
      <c r="G1764" s="5">
        <v>292798</v>
      </c>
      <c r="H1764">
        <v>0</v>
      </c>
      <c r="I1764" s="1">
        <v>1.9831021503330302</v>
      </c>
    </row>
    <row r="1765" spans="1:9" x14ac:dyDescent="0.3">
      <c r="A1765" t="s">
        <v>35</v>
      </c>
      <c r="B1765">
        <v>2018</v>
      </c>
      <c r="C1765">
        <v>2</v>
      </c>
      <c r="D1765" t="s">
        <v>13</v>
      </c>
      <c r="E1765">
        <v>1817</v>
      </c>
      <c r="F1765" s="6">
        <v>1962212.2350756058</v>
      </c>
      <c r="G1765" s="5">
        <v>292798</v>
      </c>
      <c r="H1765">
        <v>0</v>
      </c>
      <c r="I1765" s="1">
        <v>6.7015902945908294</v>
      </c>
    </row>
    <row r="1766" spans="1:9" x14ac:dyDescent="0.3">
      <c r="A1766" t="s">
        <v>35</v>
      </c>
      <c r="B1766">
        <v>2018</v>
      </c>
      <c r="C1766">
        <v>3</v>
      </c>
      <c r="D1766" t="s">
        <v>9</v>
      </c>
      <c r="E1766">
        <v>60625</v>
      </c>
      <c r="F1766" s="6">
        <v>14231601.453371253</v>
      </c>
      <c r="G1766" s="5">
        <v>410091</v>
      </c>
      <c r="H1766">
        <v>0</v>
      </c>
      <c r="I1766" s="1">
        <v>34.703520568291559</v>
      </c>
    </row>
    <row r="1767" spans="1:9" x14ac:dyDescent="0.3">
      <c r="A1767" t="s">
        <v>35</v>
      </c>
      <c r="B1767">
        <v>2018</v>
      </c>
      <c r="C1767">
        <v>3</v>
      </c>
      <c r="D1767" t="s">
        <v>10</v>
      </c>
      <c r="E1767">
        <v>40832</v>
      </c>
      <c r="F1767" s="6">
        <v>187460582.05754715</v>
      </c>
      <c r="G1767" s="5">
        <v>410091</v>
      </c>
      <c r="H1767">
        <v>0</v>
      </c>
      <c r="I1767" s="1">
        <v>457.11947362304255</v>
      </c>
    </row>
    <row r="1768" spans="1:9" x14ac:dyDescent="0.3">
      <c r="A1768" t="s">
        <v>35</v>
      </c>
      <c r="B1768">
        <v>2018</v>
      </c>
      <c r="C1768">
        <v>3</v>
      </c>
      <c r="D1768" t="s">
        <v>11</v>
      </c>
      <c r="E1768">
        <v>5802</v>
      </c>
      <c r="F1768" s="6">
        <v>5458930.6893795719</v>
      </c>
      <c r="G1768" s="5">
        <v>410091</v>
      </c>
      <c r="H1768">
        <v>0</v>
      </c>
      <c r="I1768" s="1">
        <v>13.311510590038727</v>
      </c>
    </row>
    <row r="1769" spans="1:9" x14ac:dyDescent="0.3">
      <c r="A1769" t="s">
        <v>35</v>
      </c>
      <c r="B1769">
        <v>2018</v>
      </c>
      <c r="C1769">
        <v>3</v>
      </c>
      <c r="D1769" t="s">
        <v>12</v>
      </c>
      <c r="E1769">
        <v>748</v>
      </c>
      <c r="F1769" s="6">
        <v>552674.57833598764</v>
      </c>
      <c r="G1769" s="5">
        <v>410091</v>
      </c>
      <c r="H1769">
        <v>0</v>
      </c>
      <c r="I1769" s="1">
        <v>1.3476876555105761</v>
      </c>
    </row>
    <row r="1770" spans="1:9" x14ac:dyDescent="0.3">
      <c r="A1770" t="s">
        <v>35</v>
      </c>
      <c r="B1770">
        <v>2018</v>
      </c>
      <c r="C1770">
        <v>3</v>
      </c>
      <c r="D1770" t="s">
        <v>13</v>
      </c>
      <c r="E1770">
        <v>2283</v>
      </c>
      <c r="F1770" s="6">
        <v>2149872.7557602348</v>
      </c>
      <c r="G1770" s="5">
        <v>410091</v>
      </c>
      <c r="H1770">
        <v>0</v>
      </c>
      <c r="I1770" s="1">
        <v>5.2424285238160184</v>
      </c>
    </row>
    <row r="1771" spans="1:9" x14ac:dyDescent="0.3">
      <c r="A1771" t="s">
        <v>35</v>
      </c>
      <c r="B1771">
        <v>2018</v>
      </c>
      <c r="C1771">
        <v>4</v>
      </c>
      <c r="D1771" t="s">
        <v>9</v>
      </c>
      <c r="E1771">
        <v>82962</v>
      </c>
      <c r="F1771" s="6">
        <v>18100891.637344178</v>
      </c>
      <c r="G1771" s="5">
        <v>545974</v>
      </c>
      <c r="H1771">
        <v>0</v>
      </c>
      <c r="I1771" s="1">
        <v>33.153394918703412</v>
      </c>
    </row>
    <row r="1772" spans="1:9" x14ac:dyDescent="0.3">
      <c r="A1772" t="s">
        <v>35</v>
      </c>
      <c r="B1772">
        <v>2018</v>
      </c>
      <c r="C1772">
        <v>4</v>
      </c>
      <c r="D1772" t="s">
        <v>10</v>
      </c>
      <c r="E1772">
        <v>58952</v>
      </c>
      <c r="F1772" s="6">
        <v>301941442.7059927</v>
      </c>
      <c r="G1772" s="5">
        <v>545974</v>
      </c>
      <c r="H1772">
        <v>0</v>
      </c>
      <c r="I1772" s="1">
        <v>553.03264020996005</v>
      </c>
    </row>
    <row r="1773" spans="1:9" x14ac:dyDescent="0.3">
      <c r="A1773" t="s">
        <v>35</v>
      </c>
      <c r="B1773">
        <v>2018</v>
      </c>
      <c r="C1773">
        <v>4</v>
      </c>
      <c r="D1773" t="s">
        <v>11</v>
      </c>
      <c r="E1773">
        <v>15768</v>
      </c>
      <c r="F1773" s="6">
        <v>14434314.193342488</v>
      </c>
      <c r="G1773" s="5">
        <v>545974</v>
      </c>
      <c r="H1773">
        <v>0</v>
      </c>
      <c r="I1773" s="1">
        <v>26.43773182119018</v>
      </c>
    </row>
    <row r="1774" spans="1:9" x14ac:dyDescent="0.3">
      <c r="A1774" t="s">
        <v>35</v>
      </c>
      <c r="B1774">
        <v>2018</v>
      </c>
      <c r="C1774">
        <v>4</v>
      </c>
      <c r="D1774" t="s">
        <v>12</v>
      </c>
      <c r="E1774">
        <v>763</v>
      </c>
      <c r="F1774" s="6">
        <v>190875.18848979956</v>
      </c>
      <c r="G1774" s="5">
        <v>545974</v>
      </c>
      <c r="H1774">
        <v>0</v>
      </c>
      <c r="I1774" s="1">
        <v>0.34960490515995185</v>
      </c>
    </row>
    <row r="1775" spans="1:9" x14ac:dyDescent="0.3">
      <c r="A1775" t="s">
        <v>35</v>
      </c>
      <c r="B1775">
        <v>2018</v>
      </c>
      <c r="C1775">
        <v>4</v>
      </c>
      <c r="D1775" t="s">
        <v>13</v>
      </c>
      <c r="E1775">
        <v>2687</v>
      </c>
      <c r="F1775" s="6">
        <v>2918155.2795046642</v>
      </c>
      <c r="G1775" s="5">
        <v>545974</v>
      </c>
      <c r="H1775">
        <v>0</v>
      </c>
      <c r="I1775" s="1">
        <v>5.3448612562222086</v>
      </c>
    </row>
    <row r="1776" spans="1:9" x14ac:dyDescent="0.3">
      <c r="A1776" t="s">
        <v>35</v>
      </c>
      <c r="B1776">
        <v>2019</v>
      </c>
      <c r="C1776">
        <v>1</v>
      </c>
      <c r="D1776" t="s">
        <v>9</v>
      </c>
      <c r="E1776">
        <v>98817</v>
      </c>
      <c r="F1776" s="6">
        <v>23006751.795504905</v>
      </c>
      <c r="G1776" s="5">
        <v>676357</v>
      </c>
      <c r="H1776">
        <v>0</v>
      </c>
      <c r="I1776" s="1">
        <v>34.015692593563614</v>
      </c>
    </row>
    <row r="1777" spans="1:9" x14ac:dyDescent="0.3">
      <c r="A1777" t="s">
        <v>35</v>
      </c>
      <c r="B1777">
        <v>2019</v>
      </c>
      <c r="C1777">
        <v>1</v>
      </c>
      <c r="D1777" t="s">
        <v>10</v>
      </c>
      <c r="E1777">
        <v>90694</v>
      </c>
      <c r="F1777" s="6">
        <v>358932132.10468978</v>
      </c>
      <c r="G1777" s="5">
        <v>676357</v>
      </c>
      <c r="H1777">
        <v>0</v>
      </c>
      <c r="I1777" s="1">
        <v>530.68443455850945</v>
      </c>
    </row>
    <row r="1778" spans="1:9" x14ac:dyDescent="0.3">
      <c r="A1778" t="s">
        <v>35</v>
      </c>
      <c r="B1778">
        <v>2019</v>
      </c>
      <c r="C1778">
        <v>1</v>
      </c>
      <c r="D1778" t="s">
        <v>11</v>
      </c>
      <c r="E1778">
        <v>16073</v>
      </c>
      <c r="F1778" s="6">
        <v>14297275.230527855</v>
      </c>
      <c r="G1778" s="5">
        <v>676357</v>
      </c>
      <c r="H1778">
        <v>0</v>
      </c>
      <c r="I1778" s="1">
        <v>21.138651970080677</v>
      </c>
    </row>
    <row r="1779" spans="1:9" x14ac:dyDescent="0.3">
      <c r="A1779" t="s">
        <v>35</v>
      </c>
      <c r="B1779">
        <v>2019</v>
      </c>
      <c r="C1779">
        <v>1</v>
      </c>
      <c r="D1779" t="s">
        <v>12</v>
      </c>
      <c r="E1779">
        <v>659</v>
      </c>
      <c r="F1779" s="6">
        <v>62335.064750311045</v>
      </c>
      <c r="G1779" s="5">
        <v>676357</v>
      </c>
      <c r="H1779">
        <v>0</v>
      </c>
      <c r="I1779" s="1">
        <v>9.2162962385709091E-2</v>
      </c>
    </row>
    <row r="1780" spans="1:9" x14ac:dyDescent="0.3">
      <c r="A1780" t="s">
        <v>35</v>
      </c>
      <c r="B1780">
        <v>2019</v>
      </c>
      <c r="C1780">
        <v>1</v>
      </c>
      <c r="D1780" t="s">
        <v>13</v>
      </c>
      <c r="E1780">
        <v>2498</v>
      </c>
      <c r="F1780" s="6">
        <v>2738667.9579621488</v>
      </c>
      <c r="G1780" s="5">
        <v>676357</v>
      </c>
      <c r="H1780">
        <v>0</v>
      </c>
      <c r="I1780" s="1">
        <v>4.0491455813455746</v>
      </c>
    </row>
    <row r="1781" spans="1:9" x14ac:dyDescent="0.3">
      <c r="A1781" t="s">
        <v>35</v>
      </c>
      <c r="B1781">
        <v>2019</v>
      </c>
      <c r="C1781">
        <v>2</v>
      </c>
      <c r="D1781" t="s">
        <v>9</v>
      </c>
      <c r="E1781">
        <v>108812</v>
      </c>
      <c r="F1781" s="6">
        <v>27248605.429233357</v>
      </c>
      <c r="G1781" s="5">
        <v>822206</v>
      </c>
      <c r="H1781">
        <v>4353404</v>
      </c>
      <c r="I1781" s="1">
        <v>33.140849652317492</v>
      </c>
    </row>
    <row r="1782" spans="1:9" x14ac:dyDescent="0.3">
      <c r="A1782" t="s">
        <v>35</v>
      </c>
      <c r="B1782">
        <v>2019</v>
      </c>
      <c r="C1782">
        <v>2</v>
      </c>
      <c r="D1782" t="s">
        <v>10</v>
      </c>
      <c r="E1782">
        <v>97407</v>
      </c>
      <c r="F1782" s="6">
        <v>446537199.17356837</v>
      </c>
      <c r="G1782" s="5">
        <v>822206</v>
      </c>
      <c r="H1782">
        <v>4353404</v>
      </c>
      <c r="I1782" s="1">
        <v>543.09649792578546</v>
      </c>
    </row>
    <row r="1783" spans="1:9" x14ac:dyDescent="0.3">
      <c r="A1783" t="s">
        <v>35</v>
      </c>
      <c r="B1783">
        <v>2019</v>
      </c>
      <c r="C1783">
        <v>2</v>
      </c>
      <c r="D1783" t="s">
        <v>11</v>
      </c>
      <c r="E1783">
        <v>22588</v>
      </c>
      <c r="F1783" s="6">
        <v>15600927.006629137</v>
      </c>
      <c r="G1783" s="5">
        <v>822206</v>
      </c>
      <c r="H1783">
        <v>4353404</v>
      </c>
      <c r="I1783" s="1">
        <v>18.974474774726939</v>
      </c>
    </row>
    <row r="1784" spans="1:9" x14ac:dyDescent="0.3">
      <c r="A1784" t="s">
        <v>35</v>
      </c>
      <c r="B1784">
        <v>2019</v>
      </c>
      <c r="C1784">
        <v>2</v>
      </c>
      <c r="D1784" t="s">
        <v>12</v>
      </c>
      <c r="E1784">
        <v>460</v>
      </c>
      <c r="F1784" s="6">
        <v>106800.75308155928</v>
      </c>
      <c r="G1784" s="5">
        <v>822206</v>
      </c>
      <c r="H1784">
        <v>4353404</v>
      </c>
      <c r="I1784" s="1">
        <v>0.12989537060245154</v>
      </c>
    </row>
    <row r="1785" spans="1:9" x14ac:dyDescent="0.3">
      <c r="A1785" t="s">
        <v>35</v>
      </c>
      <c r="B1785">
        <v>2019</v>
      </c>
      <c r="C1785">
        <v>2</v>
      </c>
      <c r="D1785" t="s">
        <v>13</v>
      </c>
      <c r="E1785">
        <v>3019</v>
      </c>
      <c r="F1785" s="6">
        <v>3437756.744766518</v>
      </c>
      <c r="G1785" s="5">
        <v>822206</v>
      </c>
      <c r="H1785">
        <v>4353404</v>
      </c>
      <c r="I1785" s="1">
        <v>4.1811379931142776</v>
      </c>
    </row>
    <row r="1786" spans="1:9" x14ac:dyDescent="0.3">
      <c r="A1786" t="s">
        <v>35</v>
      </c>
      <c r="B1786">
        <v>2019</v>
      </c>
      <c r="C1786">
        <v>3</v>
      </c>
      <c r="D1786" t="s">
        <v>9</v>
      </c>
      <c r="E1786">
        <v>155949</v>
      </c>
      <c r="F1786" s="6">
        <v>38916251.421657138</v>
      </c>
      <c r="G1786" s="5">
        <v>961345</v>
      </c>
      <c r="H1786">
        <v>15265954</v>
      </c>
      <c r="I1786" s="1">
        <v>40.481046265031949</v>
      </c>
    </row>
    <row r="1787" spans="1:9" x14ac:dyDescent="0.3">
      <c r="A1787" t="s">
        <v>35</v>
      </c>
      <c r="B1787">
        <v>2019</v>
      </c>
      <c r="C1787">
        <v>3</v>
      </c>
      <c r="D1787" t="s">
        <v>10</v>
      </c>
      <c r="E1787">
        <v>116168</v>
      </c>
      <c r="F1787" s="6">
        <v>546221812.68893147</v>
      </c>
      <c r="G1787" s="5">
        <v>961345</v>
      </c>
      <c r="H1787">
        <v>15265954</v>
      </c>
      <c r="I1787" s="1">
        <v>568.18500401929737</v>
      </c>
    </row>
    <row r="1788" spans="1:9" x14ac:dyDescent="0.3">
      <c r="A1788" t="s">
        <v>35</v>
      </c>
      <c r="B1788">
        <v>2019</v>
      </c>
      <c r="C1788">
        <v>3</v>
      </c>
      <c r="D1788" t="s">
        <v>11</v>
      </c>
      <c r="E1788">
        <v>31201</v>
      </c>
      <c r="F1788" s="6">
        <v>23461321.889810227</v>
      </c>
      <c r="G1788" s="5">
        <v>961345</v>
      </c>
      <c r="H1788">
        <v>15265954</v>
      </c>
      <c r="I1788" s="1">
        <v>24.404684988022225</v>
      </c>
    </row>
    <row r="1789" spans="1:9" x14ac:dyDescent="0.3">
      <c r="A1789" t="s">
        <v>35</v>
      </c>
      <c r="B1789">
        <v>2019</v>
      </c>
      <c r="C1789">
        <v>3</v>
      </c>
      <c r="D1789" t="s">
        <v>12</v>
      </c>
      <c r="E1789">
        <v>421</v>
      </c>
      <c r="F1789" s="6">
        <v>584192.94881087739</v>
      </c>
      <c r="G1789" s="5">
        <v>961345</v>
      </c>
      <c r="H1789">
        <v>15265954</v>
      </c>
      <c r="I1789" s="1">
        <v>0.60768293256934547</v>
      </c>
    </row>
    <row r="1790" spans="1:9" x14ac:dyDescent="0.3">
      <c r="A1790" t="s">
        <v>35</v>
      </c>
      <c r="B1790">
        <v>2019</v>
      </c>
      <c r="C1790">
        <v>3</v>
      </c>
      <c r="D1790" t="s">
        <v>13</v>
      </c>
      <c r="E1790">
        <v>2811</v>
      </c>
      <c r="F1790" s="6">
        <v>3035023.2043234711</v>
      </c>
      <c r="G1790" s="5">
        <v>961345</v>
      </c>
      <c r="H1790">
        <v>15265954</v>
      </c>
      <c r="I1790" s="1">
        <v>3.1570593328341761</v>
      </c>
    </row>
    <row r="1791" spans="1:9" x14ac:dyDescent="0.3">
      <c r="A1791" t="s">
        <v>35</v>
      </c>
      <c r="B1791">
        <v>2019</v>
      </c>
      <c r="C1791">
        <v>4</v>
      </c>
      <c r="D1791" t="s">
        <v>9</v>
      </c>
      <c r="E1791">
        <v>175084</v>
      </c>
      <c r="F1791" s="6">
        <v>43611775.02621875</v>
      </c>
      <c r="G1791" s="5">
        <v>1100330</v>
      </c>
      <c r="H1791">
        <v>16395962</v>
      </c>
      <c r="I1791" s="1">
        <v>39.635177652357704</v>
      </c>
    </row>
    <row r="1792" spans="1:9" x14ac:dyDescent="0.3">
      <c r="A1792" t="s">
        <v>35</v>
      </c>
      <c r="B1792">
        <v>2019</v>
      </c>
      <c r="C1792">
        <v>4</v>
      </c>
      <c r="D1792" t="s">
        <v>10</v>
      </c>
      <c r="E1792">
        <v>163734</v>
      </c>
      <c r="F1792" s="6">
        <v>670870023.42976964</v>
      </c>
      <c r="G1792" s="5">
        <v>1100330</v>
      </c>
      <c r="H1792">
        <v>16395962</v>
      </c>
      <c r="I1792" s="1">
        <v>609.69892980266798</v>
      </c>
    </row>
    <row r="1793" spans="1:9" x14ac:dyDescent="0.3">
      <c r="A1793" t="s">
        <v>35</v>
      </c>
      <c r="B1793">
        <v>2019</v>
      </c>
      <c r="C1793">
        <v>4</v>
      </c>
      <c r="D1793" t="s">
        <v>11</v>
      </c>
      <c r="E1793">
        <v>24430</v>
      </c>
      <c r="F1793" s="6">
        <v>25344714.505578939</v>
      </c>
      <c r="G1793" s="5">
        <v>1100330</v>
      </c>
      <c r="H1793">
        <v>16395962</v>
      </c>
      <c r="I1793" s="1">
        <v>23.0337394286977</v>
      </c>
    </row>
    <row r="1794" spans="1:9" x14ac:dyDescent="0.3">
      <c r="A1794" t="s">
        <v>35</v>
      </c>
      <c r="B1794">
        <v>2019</v>
      </c>
      <c r="C1794">
        <v>4</v>
      </c>
      <c r="D1794" t="s">
        <v>12</v>
      </c>
      <c r="E1794">
        <v>382</v>
      </c>
      <c r="F1794" s="6">
        <v>124511.63613216748</v>
      </c>
      <c r="G1794" s="5">
        <v>1100330</v>
      </c>
      <c r="H1794">
        <v>16395962</v>
      </c>
      <c r="I1794" s="1">
        <v>0.11315844894910389</v>
      </c>
    </row>
    <row r="1795" spans="1:9" x14ac:dyDescent="0.3">
      <c r="A1795" t="s">
        <v>35</v>
      </c>
      <c r="B1795">
        <v>2019</v>
      </c>
      <c r="C1795">
        <v>4</v>
      </c>
      <c r="D1795" t="s">
        <v>13</v>
      </c>
      <c r="E1795">
        <v>2351</v>
      </c>
      <c r="F1795" s="6">
        <v>2485447.1925193951</v>
      </c>
      <c r="G1795" s="5">
        <v>1100330</v>
      </c>
      <c r="H1795">
        <v>16395962</v>
      </c>
      <c r="I1795" s="1">
        <v>2.2588198018043633</v>
      </c>
    </row>
    <row r="1796" spans="1:9" x14ac:dyDescent="0.3">
      <c r="A1796" t="s">
        <v>35</v>
      </c>
      <c r="B1796">
        <v>2020</v>
      </c>
      <c r="C1796">
        <v>1</v>
      </c>
      <c r="D1796" t="s">
        <v>9</v>
      </c>
      <c r="E1796">
        <v>226214</v>
      </c>
      <c r="F1796" s="6">
        <v>59666071.215307929</v>
      </c>
      <c r="G1796" s="5">
        <v>1251954</v>
      </c>
      <c r="H1796">
        <v>18878321</v>
      </c>
      <c r="I1796" s="1">
        <v>47.658357427915028</v>
      </c>
    </row>
    <row r="1797" spans="1:9" x14ac:dyDescent="0.3">
      <c r="A1797" t="s">
        <v>35</v>
      </c>
      <c r="B1797">
        <v>2020</v>
      </c>
      <c r="C1797">
        <v>1</v>
      </c>
      <c r="D1797" t="s">
        <v>10</v>
      </c>
      <c r="E1797">
        <v>216022</v>
      </c>
      <c r="F1797" s="6">
        <v>1013733312.3935763</v>
      </c>
      <c r="G1797" s="5">
        <v>1251954</v>
      </c>
      <c r="H1797">
        <v>18878321</v>
      </c>
      <c r="I1797" s="1">
        <v>809.72089421302724</v>
      </c>
    </row>
    <row r="1798" spans="1:9" x14ac:dyDescent="0.3">
      <c r="A1798" t="s">
        <v>35</v>
      </c>
      <c r="B1798">
        <v>2020</v>
      </c>
      <c r="C1798">
        <v>1</v>
      </c>
      <c r="D1798" t="s">
        <v>11</v>
      </c>
      <c r="E1798">
        <v>57245</v>
      </c>
      <c r="F1798" s="6">
        <v>44125206.347559452</v>
      </c>
      <c r="G1798" s="5">
        <v>1251954</v>
      </c>
      <c r="H1798">
        <v>18878321</v>
      </c>
      <c r="I1798" s="1">
        <v>35.245069984647557</v>
      </c>
    </row>
    <row r="1799" spans="1:9" x14ac:dyDescent="0.3">
      <c r="A1799" t="s">
        <v>35</v>
      </c>
      <c r="B1799">
        <v>2020</v>
      </c>
      <c r="C1799">
        <v>1</v>
      </c>
      <c r="D1799" t="s">
        <v>12</v>
      </c>
      <c r="E1799">
        <v>473</v>
      </c>
      <c r="F1799" s="6">
        <v>402779.89033132966</v>
      </c>
      <c r="G1799" s="5">
        <v>1251954</v>
      </c>
      <c r="H1799">
        <v>18878321</v>
      </c>
      <c r="I1799" s="1">
        <v>0.32172099800098858</v>
      </c>
    </row>
    <row r="1800" spans="1:9" x14ac:dyDescent="0.3">
      <c r="A1800" t="s">
        <v>35</v>
      </c>
      <c r="B1800">
        <v>2020</v>
      </c>
      <c r="C1800">
        <v>1</v>
      </c>
      <c r="D1800" t="s">
        <v>13</v>
      </c>
      <c r="E1800">
        <v>2329</v>
      </c>
      <c r="F1800" s="6">
        <v>2207471.0610390808</v>
      </c>
      <c r="G1800" s="5">
        <v>1251954</v>
      </c>
      <c r="H1800">
        <v>18878321</v>
      </c>
      <c r="I1800" s="1">
        <v>1.7632205824168308</v>
      </c>
    </row>
    <row r="1801" spans="1:9" x14ac:dyDescent="0.3">
      <c r="A1801" t="s">
        <v>35</v>
      </c>
      <c r="B1801">
        <v>2020</v>
      </c>
      <c r="C1801">
        <v>2</v>
      </c>
      <c r="D1801" t="s">
        <v>9</v>
      </c>
      <c r="E1801">
        <v>382662</v>
      </c>
      <c r="F1801" s="6">
        <v>100570200.25271696</v>
      </c>
      <c r="G1801" s="5">
        <v>1498321</v>
      </c>
      <c r="H1801">
        <v>24257783</v>
      </c>
      <c r="I1801" s="1">
        <v>67.121931984345778</v>
      </c>
    </row>
    <row r="1802" spans="1:9" x14ac:dyDescent="0.3">
      <c r="A1802" t="s">
        <v>35</v>
      </c>
      <c r="B1802">
        <v>2020</v>
      </c>
      <c r="C1802">
        <v>2</v>
      </c>
      <c r="D1802" t="s">
        <v>10</v>
      </c>
      <c r="E1802">
        <v>202270</v>
      </c>
      <c r="F1802" s="6">
        <v>998750895.91115928</v>
      </c>
      <c r="G1802" s="5">
        <v>1498321</v>
      </c>
      <c r="H1802">
        <v>24257783</v>
      </c>
      <c r="I1802" s="1">
        <v>666.58005588332492</v>
      </c>
    </row>
    <row r="1803" spans="1:9" x14ac:dyDescent="0.3">
      <c r="A1803" t="s">
        <v>35</v>
      </c>
      <c r="B1803">
        <v>2020</v>
      </c>
      <c r="C1803">
        <v>2</v>
      </c>
      <c r="D1803" t="s">
        <v>11</v>
      </c>
      <c r="E1803">
        <v>46014</v>
      </c>
      <c r="F1803" s="6">
        <v>48980521.415951177</v>
      </c>
      <c r="G1803" s="5">
        <v>1498321</v>
      </c>
      <c r="H1803">
        <v>24257783</v>
      </c>
      <c r="I1803" s="1">
        <v>32.690272255378638</v>
      </c>
    </row>
    <row r="1804" spans="1:9" x14ac:dyDescent="0.3">
      <c r="A1804" t="s">
        <v>35</v>
      </c>
      <c r="B1804">
        <v>2020</v>
      </c>
      <c r="C1804">
        <v>2</v>
      </c>
      <c r="D1804" t="s">
        <v>12</v>
      </c>
      <c r="E1804">
        <v>1186</v>
      </c>
      <c r="F1804" s="6">
        <v>2944583.1147373449</v>
      </c>
      <c r="G1804" s="5">
        <v>1498321</v>
      </c>
      <c r="H1804">
        <v>24257783</v>
      </c>
      <c r="I1804" s="1">
        <v>1.9652551854624909</v>
      </c>
    </row>
    <row r="1805" spans="1:9" x14ac:dyDescent="0.3">
      <c r="A1805" t="s">
        <v>35</v>
      </c>
      <c r="B1805">
        <v>2020</v>
      </c>
      <c r="C1805">
        <v>2</v>
      </c>
      <c r="D1805" t="s">
        <v>13</v>
      </c>
      <c r="E1805">
        <v>3263</v>
      </c>
      <c r="F1805" s="6">
        <v>2488953.643832149</v>
      </c>
      <c r="G1805" s="5">
        <v>1498321</v>
      </c>
      <c r="H1805">
        <v>24257783</v>
      </c>
      <c r="I1805" s="1">
        <v>1.661161823022002</v>
      </c>
    </row>
    <row r="1806" spans="1:9" x14ac:dyDescent="0.3">
      <c r="A1806" t="s">
        <v>35</v>
      </c>
      <c r="B1806">
        <v>2020</v>
      </c>
      <c r="C1806">
        <v>3</v>
      </c>
      <c r="D1806" t="s">
        <v>9</v>
      </c>
      <c r="E1806">
        <v>342484</v>
      </c>
      <c r="F1806" s="6">
        <v>97662913.134086743</v>
      </c>
      <c r="G1806" s="5">
        <v>1735151</v>
      </c>
      <c r="H1806">
        <v>26229874</v>
      </c>
      <c r="I1806" s="1">
        <v>56.284964901663741</v>
      </c>
    </row>
    <row r="1807" spans="1:9" x14ac:dyDescent="0.3">
      <c r="A1807" t="s">
        <v>35</v>
      </c>
      <c r="B1807">
        <v>2020</v>
      </c>
      <c r="C1807">
        <v>3</v>
      </c>
      <c r="D1807" t="s">
        <v>10</v>
      </c>
      <c r="E1807">
        <v>194448</v>
      </c>
      <c r="F1807" s="6">
        <v>1065012681.7126106</v>
      </c>
      <c r="G1807" s="5">
        <v>1735151</v>
      </c>
      <c r="H1807">
        <v>26229874</v>
      </c>
      <c r="I1807" s="1">
        <v>613.78674346648256</v>
      </c>
    </row>
    <row r="1808" spans="1:9" x14ac:dyDescent="0.3">
      <c r="A1808" t="s">
        <v>35</v>
      </c>
      <c r="B1808">
        <v>2020</v>
      </c>
      <c r="C1808">
        <v>3</v>
      </c>
      <c r="D1808" t="s">
        <v>11</v>
      </c>
      <c r="E1808">
        <v>55595</v>
      </c>
      <c r="F1808" s="6">
        <v>67511647.134948701</v>
      </c>
      <c r="G1808" s="5">
        <v>1735151</v>
      </c>
      <c r="H1808">
        <v>26229874</v>
      </c>
      <c r="I1808" s="1">
        <v>38.908225932468532</v>
      </c>
    </row>
    <row r="1809" spans="1:9" x14ac:dyDescent="0.3">
      <c r="A1809" t="s">
        <v>35</v>
      </c>
      <c r="B1809">
        <v>2020</v>
      </c>
      <c r="C1809">
        <v>3</v>
      </c>
      <c r="D1809" t="s">
        <v>12</v>
      </c>
      <c r="E1809">
        <v>1587</v>
      </c>
      <c r="F1809" s="6">
        <v>4049966.8133478058</v>
      </c>
      <c r="G1809" s="5">
        <v>1735151</v>
      </c>
      <c r="H1809">
        <v>26229874</v>
      </c>
      <c r="I1809" s="1">
        <v>2.3340716821462832</v>
      </c>
    </row>
    <row r="1810" spans="1:9" x14ac:dyDescent="0.3">
      <c r="A1810" t="s">
        <v>35</v>
      </c>
      <c r="B1810">
        <v>2020</v>
      </c>
      <c r="C1810">
        <v>3</v>
      </c>
      <c r="D1810" t="s">
        <v>13</v>
      </c>
      <c r="E1810">
        <v>3465</v>
      </c>
      <c r="F1810" s="6">
        <v>2821792.5880408054</v>
      </c>
      <c r="G1810" s="5">
        <v>1735151</v>
      </c>
      <c r="H1810">
        <v>26229874</v>
      </c>
      <c r="I1810" s="1">
        <v>1.6262518870350795</v>
      </c>
    </row>
    <row r="1811" spans="1:9" x14ac:dyDescent="0.3">
      <c r="A1811" t="s">
        <v>35</v>
      </c>
      <c r="B1811">
        <v>2020</v>
      </c>
      <c r="C1811">
        <v>4</v>
      </c>
      <c r="D1811" t="s">
        <v>9</v>
      </c>
      <c r="E1811">
        <v>350006</v>
      </c>
      <c r="F1811" s="6">
        <v>102794647.7641504</v>
      </c>
      <c r="G1811" s="5">
        <v>1940917</v>
      </c>
      <c r="H1811">
        <v>30205087</v>
      </c>
      <c r="I1811" s="1">
        <v>52.961897785505712</v>
      </c>
    </row>
    <row r="1812" spans="1:9" x14ac:dyDescent="0.3">
      <c r="A1812" t="s">
        <v>35</v>
      </c>
      <c r="B1812">
        <v>2020</v>
      </c>
      <c r="C1812">
        <v>4</v>
      </c>
      <c r="D1812" t="s">
        <v>10</v>
      </c>
      <c r="E1812">
        <v>286252</v>
      </c>
      <c r="F1812" s="6">
        <v>1579858348.0670543</v>
      </c>
      <c r="G1812" s="5">
        <v>1940917</v>
      </c>
      <c r="H1812">
        <v>30205087</v>
      </c>
      <c r="I1812" s="1">
        <v>813.97522308633199</v>
      </c>
    </row>
    <row r="1813" spans="1:9" x14ac:dyDescent="0.3">
      <c r="A1813" t="s">
        <v>35</v>
      </c>
      <c r="B1813">
        <v>2020</v>
      </c>
      <c r="C1813">
        <v>4</v>
      </c>
      <c r="D1813" t="s">
        <v>11</v>
      </c>
      <c r="E1813">
        <v>111471</v>
      </c>
      <c r="F1813" s="6">
        <v>115136797.58942303</v>
      </c>
      <c r="G1813" s="5">
        <v>1940917</v>
      </c>
      <c r="H1813">
        <v>30205087</v>
      </c>
      <c r="I1813" s="1">
        <v>59.320824944818881</v>
      </c>
    </row>
    <row r="1814" spans="1:9" x14ac:dyDescent="0.3">
      <c r="A1814" t="s">
        <v>35</v>
      </c>
      <c r="B1814">
        <v>2020</v>
      </c>
      <c r="C1814">
        <v>4</v>
      </c>
      <c r="D1814" t="s">
        <v>12</v>
      </c>
      <c r="E1814">
        <v>1809</v>
      </c>
      <c r="F1814" s="6">
        <v>2774557.1120706168</v>
      </c>
      <c r="G1814" s="5">
        <v>1940917</v>
      </c>
      <c r="H1814">
        <v>30205087</v>
      </c>
      <c r="I1814" s="1">
        <v>1.42950837777742</v>
      </c>
    </row>
    <row r="1815" spans="1:9" x14ac:dyDescent="0.3">
      <c r="A1815" t="s">
        <v>35</v>
      </c>
      <c r="B1815">
        <v>2020</v>
      </c>
      <c r="C1815">
        <v>4</v>
      </c>
      <c r="D1815" t="s">
        <v>13</v>
      </c>
      <c r="E1815">
        <v>4470</v>
      </c>
      <c r="F1815" s="6">
        <v>3678221.6662721671</v>
      </c>
      <c r="G1815" s="5">
        <v>1940917</v>
      </c>
      <c r="H1815">
        <v>30205087</v>
      </c>
      <c r="I1815" s="1">
        <v>1.8950947754448888</v>
      </c>
    </row>
    <row r="1816" spans="1:9" x14ac:dyDescent="0.3">
      <c r="A1816" t="s">
        <v>35</v>
      </c>
      <c r="B1816">
        <v>2021</v>
      </c>
      <c r="C1816">
        <v>1</v>
      </c>
      <c r="D1816" t="s">
        <v>10</v>
      </c>
      <c r="E1816">
        <v>326993</v>
      </c>
      <c r="F1816" s="6">
        <v>1794745857.3188953</v>
      </c>
      <c r="G1816" s="5">
        <v>2099559</v>
      </c>
      <c r="H1816">
        <v>32329286</v>
      </c>
      <c r="I1816" s="1">
        <v>854.82039672088058</v>
      </c>
    </row>
    <row r="1817" spans="1:9" x14ac:dyDescent="0.3">
      <c r="A1817" t="s">
        <v>35</v>
      </c>
      <c r="B1817">
        <v>2021</v>
      </c>
      <c r="C1817">
        <v>1</v>
      </c>
      <c r="D1817" t="s">
        <v>9</v>
      </c>
      <c r="E1817">
        <v>306634</v>
      </c>
      <c r="F1817" s="6">
        <v>106098525.65614726</v>
      </c>
      <c r="G1817" s="5">
        <v>2099559</v>
      </c>
      <c r="H1817">
        <v>32329286</v>
      </c>
      <c r="I1817" s="1">
        <v>50.533719536410864</v>
      </c>
    </row>
    <row r="1818" spans="1:9" x14ac:dyDescent="0.3">
      <c r="A1818" t="s">
        <v>35</v>
      </c>
      <c r="B1818">
        <v>2021</v>
      </c>
      <c r="C1818">
        <v>1</v>
      </c>
      <c r="D1818" t="s">
        <v>11</v>
      </c>
      <c r="E1818">
        <v>108805</v>
      </c>
      <c r="F1818" s="6">
        <v>147747773.01896822</v>
      </c>
      <c r="G1818" s="5">
        <v>2099559</v>
      </c>
      <c r="H1818">
        <v>32329286</v>
      </c>
      <c r="I1818" s="1">
        <v>70.3708602706417</v>
      </c>
    </row>
    <row r="1819" spans="1:9" x14ac:dyDescent="0.3">
      <c r="A1819" t="s">
        <v>35</v>
      </c>
      <c r="B1819">
        <v>2021</v>
      </c>
      <c r="C1819">
        <v>1</v>
      </c>
      <c r="D1819" t="s">
        <v>12</v>
      </c>
      <c r="E1819">
        <v>1777</v>
      </c>
      <c r="F1819" s="6">
        <v>3981898.0457751974</v>
      </c>
      <c r="G1819" s="5">
        <v>2099559</v>
      </c>
      <c r="H1819">
        <v>32329286</v>
      </c>
      <c r="I1819" s="1">
        <v>1.8965402000016183</v>
      </c>
    </row>
    <row r="1820" spans="1:9" x14ac:dyDescent="0.3">
      <c r="A1820" t="s">
        <v>35</v>
      </c>
      <c r="B1820">
        <v>2021</v>
      </c>
      <c r="C1820">
        <v>1</v>
      </c>
      <c r="D1820" t="s">
        <v>13</v>
      </c>
      <c r="E1820">
        <v>3437</v>
      </c>
      <c r="F1820" s="6">
        <v>2941223.9500499051</v>
      </c>
      <c r="G1820" s="5">
        <v>2099559</v>
      </c>
      <c r="H1820">
        <v>32329286</v>
      </c>
      <c r="I1820" s="1">
        <v>1.4008770175307792</v>
      </c>
    </row>
    <row r="1821" spans="1:9" x14ac:dyDescent="0.3">
      <c r="A1821" t="s">
        <v>35</v>
      </c>
      <c r="B1821">
        <v>2021</v>
      </c>
      <c r="C1821">
        <v>2</v>
      </c>
      <c r="D1821" t="s">
        <v>9</v>
      </c>
      <c r="E1821">
        <v>389959</v>
      </c>
      <c r="F1821" s="6">
        <v>129031455.70772579</v>
      </c>
      <c r="G1821" s="5">
        <v>2262546</v>
      </c>
      <c r="H1821">
        <v>80198844</v>
      </c>
      <c r="I1821" s="1">
        <v>57.029318169763528</v>
      </c>
    </row>
    <row r="1822" spans="1:9" x14ac:dyDescent="0.3">
      <c r="A1822" t="s">
        <v>35</v>
      </c>
      <c r="B1822">
        <v>2021</v>
      </c>
      <c r="C1822">
        <v>2</v>
      </c>
      <c r="D1822" t="s">
        <v>10</v>
      </c>
      <c r="E1822">
        <v>366411</v>
      </c>
      <c r="F1822" s="6">
        <v>1885041503.7970467</v>
      </c>
      <c r="G1822" s="5">
        <v>2262546</v>
      </c>
      <c r="H1822">
        <v>80198844</v>
      </c>
      <c r="I1822" s="1">
        <v>833.15057629636999</v>
      </c>
    </row>
    <row r="1823" spans="1:9" x14ac:dyDescent="0.3">
      <c r="A1823" t="s">
        <v>35</v>
      </c>
      <c r="B1823">
        <v>2021</v>
      </c>
      <c r="C1823">
        <v>2</v>
      </c>
      <c r="D1823" t="s">
        <v>11</v>
      </c>
      <c r="E1823">
        <v>147406</v>
      </c>
      <c r="F1823" s="6">
        <v>173894963.00439677</v>
      </c>
      <c r="G1823" s="5">
        <v>2262546</v>
      </c>
      <c r="H1823">
        <v>80198844</v>
      </c>
      <c r="I1823" s="1">
        <v>76.858089517029384</v>
      </c>
    </row>
    <row r="1824" spans="1:9" x14ac:dyDescent="0.3">
      <c r="A1824" t="s">
        <v>35</v>
      </c>
      <c r="B1824">
        <v>2021</v>
      </c>
      <c r="C1824">
        <v>2</v>
      </c>
      <c r="D1824" t="s">
        <v>12</v>
      </c>
      <c r="E1824">
        <v>1766</v>
      </c>
      <c r="F1824" s="6">
        <v>2306496.8545958619</v>
      </c>
      <c r="G1824" s="5">
        <v>2262546</v>
      </c>
      <c r="H1824">
        <v>80198844</v>
      </c>
      <c r="I1824" s="1">
        <v>1.0194253971392677</v>
      </c>
    </row>
    <row r="1825" spans="1:9" x14ac:dyDescent="0.3">
      <c r="A1825" t="s">
        <v>35</v>
      </c>
      <c r="B1825">
        <v>2021</v>
      </c>
      <c r="C1825">
        <v>2</v>
      </c>
      <c r="D1825" t="s">
        <v>13</v>
      </c>
      <c r="E1825">
        <v>4052</v>
      </c>
      <c r="F1825" s="6">
        <v>3342835.5268340455</v>
      </c>
      <c r="G1825" s="5">
        <v>2262546</v>
      </c>
      <c r="H1825">
        <v>80198844</v>
      </c>
      <c r="I1825" s="1">
        <v>1.4774663263571417</v>
      </c>
    </row>
    <row r="1826" spans="1:9" x14ac:dyDescent="0.3">
      <c r="A1826" t="s">
        <v>35</v>
      </c>
      <c r="B1826">
        <v>2021</v>
      </c>
      <c r="C1826">
        <v>3</v>
      </c>
      <c r="D1826" t="s">
        <v>10</v>
      </c>
      <c r="E1826">
        <v>473274</v>
      </c>
      <c r="F1826" s="6">
        <v>2348008593.2164402</v>
      </c>
      <c r="G1826" s="5">
        <v>2453715</v>
      </c>
      <c r="H1826">
        <v>109482516</v>
      </c>
      <c r="I1826" s="1">
        <v>956.91985141568614</v>
      </c>
    </row>
    <row r="1827" spans="1:9" x14ac:dyDescent="0.3">
      <c r="A1827" t="s">
        <v>35</v>
      </c>
      <c r="B1827">
        <v>2021</v>
      </c>
      <c r="C1827">
        <v>3</v>
      </c>
      <c r="D1827" t="s">
        <v>9</v>
      </c>
      <c r="E1827">
        <v>418429</v>
      </c>
      <c r="F1827" s="6">
        <v>144363692.75220004</v>
      </c>
      <c r="G1827" s="5">
        <v>2453715</v>
      </c>
      <c r="H1827">
        <v>109482516</v>
      </c>
      <c r="I1827" s="1">
        <v>58.834743542832008</v>
      </c>
    </row>
    <row r="1828" spans="1:9" x14ac:dyDescent="0.3">
      <c r="A1828" t="s">
        <v>35</v>
      </c>
      <c r="B1828">
        <v>2021</v>
      </c>
      <c r="C1828">
        <v>3</v>
      </c>
      <c r="D1828" t="s">
        <v>11</v>
      </c>
      <c r="E1828">
        <v>199427</v>
      </c>
      <c r="F1828" s="6">
        <v>270311210.89072227</v>
      </c>
      <c r="G1828" s="5">
        <v>2453715</v>
      </c>
      <c r="H1828">
        <v>109482516</v>
      </c>
      <c r="I1828" s="1">
        <v>110.16406179638722</v>
      </c>
    </row>
    <row r="1829" spans="1:9" x14ac:dyDescent="0.3">
      <c r="A1829" t="s">
        <v>35</v>
      </c>
      <c r="B1829">
        <v>2021</v>
      </c>
      <c r="C1829">
        <v>3</v>
      </c>
      <c r="D1829" t="s">
        <v>12</v>
      </c>
      <c r="E1829">
        <v>1556</v>
      </c>
      <c r="F1829" s="6">
        <v>2379067.1150075165</v>
      </c>
      <c r="G1829" s="5">
        <v>2453715</v>
      </c>
      <c r="H1829">
        <v>109482516</v>
      </c>
      <c r="I1829" s="1">
        <v>0.96957760579672714</v>
      </c>
    </row>
    <row r="1830" spans="1:9" x14ac:dyDescent="0.3">
      <c r="A1830" t="s">
        <v>35</v>
      </c>
      <c r="B1830">
        <v>2021</v>
      </c>
      <c r="C1830">
        <v>3</v>
      </c>
      <c r="D1830" t="s">
        <v>13</v>
      </c>
      <c r="E1830">
        <v>5045</v>
      </c>
      <c r="F1830" s="6">
        <v>3937887.5536006838</v>
      </c>
      <c r="G1830" s="5">
        <v>2453715</v>
      </c>
      <c r="H1830">
        <v>109482516</v>
      </c>
      <c r="I1830" s="1">
        <v>1.6048675390584008</v>
      </c>
    </row>
    <row r="1831" spans="1:9" x14ac:dyDescent="0.3">
      <c r="A1831" t="s">
        <v>35</v>
      </c>
      <c r="B1831">
        <v>2021</v>
      </c>
      <c r="C1831">
        <v>4</v>
      </c>
      <c r="D1831" t="s">
        <v>10</v>
      </c>
      <c r="E1831">
        <v>669693</v>
      </c>
      <c r="F1831" s="6">
        <v>3233210261.7281971</v>
      </c>
      <c r="G1831" s="5">
        <v>2642948</v>
      </c>
      <c r="H1831">
        <v>66534534</v>
      </c>
      <c r="I1831" s="1">
        <v>1223.3347995224262</v>
      </c>
    </row>
    <row r="1832" spans="1:9" x14ac:dyDescent="0.3">
      <c r="A1832" t="s">
        <v>35</v>
      </c>
      <c r="B1832">
        <v>2021</v>
      </c>
      <c r="C1832">
        <v>4</v>
      </c>
      <c r="D1832" t="s">
        <v>9</v>
      </c>
      <c r="E1832">
        <v>447310</v>
      </c>
      <c r="F1832" s="6">
        <v>165277548.45940137</v>
      </c>
      <c r="G1832" s="5">
        <v>2642948</v>
      </c>
      <c r="H1832">
        <v>66534534</v>
      </c>
      <c r="I1832" s="1">
        <v>62.535300906185583</v>
      </c>
    </row>
    <row r="1833" spans="1:9" x14ac:dyDescent="0.3">
      <c r="A1833" t="s">
        <v>35</v>
      </c>
      <c r="B1833">
        <v>2021</v>
      </c>
      <c r="C1833">
        <v>4</v>
      </c>
      <c r="D1833" t="s">
        <v>11</v>
      </c>
      <c r="E1833">
        <v>314445</v>
      </c>
      <c r="F1833" s="6">
        <v>442464385.03779328</v>
      </c>
      <c r="G1833" s="5">
        <v>2642948</v>
      </c>
      <c r="H1833">
        <v>66534534</v>
      </c>
      <c r="I1833" s="1">
        <v>167.41320110641348</v>
      </c>
    </row>
    <row r="1834" spans="1:9" x14ac:dyDescent="0.3">
      <c r="A1834" t="s">
        <v>35</v>
      </c>
      <c r="B1834">
        <v>2021</v>
      </c>
      <c r="C1834">
        <v>4</v>
      </c>
      <c r="D1834" t="s">
        <v>12</v>
      </c>
      <c r="E1834">
        <v>1989</v>
      </c>
      <c r="F1834" s="6">
        <v>2464327.9242311358</v>
      </c>
      <c r="G1834" s="5">
        <v>2642948</v>
      </c>
      <c r="H1834">
        <v>66534534</v>
      </c>
      <c r="I1834" s="1">
        <v>0.93241634880108715</v>
      </c>
    </row>
    <row r="1835" spans="1:9" x14ac:dyDescent="0.3">
      <c r="A1835" t="s">
        <v>35</v>
      </c>
      <c r="B1835">
        <v>2021</v>
      </c>
      <c r="C1835">
        <v>4</v>
      </c>
      <c r="D1835" t="s">
        <v>13</v>
      </c>
      <c r="E1835">
        <v>6756</v>
      </c>
      <c r="F1835" s="6">
        <v>5348877.0365314661</v>
      </c>
      <c r="G1835" s="5">
        <v>2642948</v>
      </c>
      <c r="H1835">
        <v>66534534</v>
      </c>
      <c r="I1835" s="1">
        <v>2.0238298432399979</v>
      </c>
    </row>
    <row r="1836" spans="1:9" x14ac:dyDescent="0.3">
      <c r="A1836" t="s">
        <v>36</v>
      </c>
      <c r="B1836">
        <v>2018</v>
      </c>
      <c r="C1836">
        <v>1</v>
      </c>
      <c r="D1836" t="s">
        <v>9</v>
      </c>
      <c r="E1836">
        <v>10155</v>
      </c>
      <c r="F1836" s="6">
        <v>2199565.2589137438</v>
      </c>
      <c r="G1836" s="5">
        <v>83523</v>
      </c>
      <c r="H1836">
        <v>0</v>
      </c>
      <c r="I1836" s="1">
        <v>26.334844999745506</v>
      </c>
    </row>
    <row r="1837" spans="1:9" x14ac:dyDescent="0.3">
      <c r="A1837" t="s">
        <v>36</v>
      </c>
      <c r="B1837">
        <v>2018</v>
      </c>
      <c r="C1837">
        <v>1</v>
      </c>
      <c r="D1837" t="s">
        <v>10</v>
      </c>
      <c r="E1837">
        <v>6845</v>
      </c>
      <c r="F1837" s="6">
        <v>41186717.278001666</v>
      </c>
      <c r="G1837" s="5">
        <v>83523</v>
      </c>
      <c r="H1837">
        <v>0</v>
      </c>
      <c r="I1837" s="1">
        <v>493.1182701531514</v>
      </c>
    </row>
    <row r="1838" spans="1:9" x14ac:dyDescent="0.3">
      <c r="A1838" t="s">
        <v>36</v>
      </c>
      <c r="B1838">
        <v>2018</v>
      </c>
      <c r="C1838">
        <v>1</v>
      </c>
      <c r="D1838" t="s">
        <v>11</v>
      </c>
      <c r="E1838">
        <v>616</v>
      </c>
      <c r="F1838" s="6">
        <v>1066002.1670622267</v>
      </c>
      <c r="G1838" s="5">
        <v>83523</v>
      </c>
      <c r="H1838">
        <v>0</v>
      </c>
      <c r="I1838" s="1">
        <v>12.762977468029485</v>
      </c>
    </row>
    <row r="1839" spans="1:9" x14ac:dyDescent="0.3">
      <c r="A1839" t="s">
        <v>36</v>
      </c>
      <c r="B1839">
        <v>2018</v>
      </c>
      <c r="C1839">
        <v>1</v>
      </c>
      <c r="D1839" t="s">
        <v>12</v>
      </c>
      <c r="E1839">
        <v>260</v>
      </c>
      <c r="F1839" s="6">
        <v>65022.498968406893</v>
      </c>
      <c r="G1839" s="5">
        <v>83523</v>
      </c>
      <c r="H1839">
        <v>0</v>
      </c>
      <c r="I1839" s="1">
        <v>0.77849812588636536</v>
      </c>
    </row>
    <row r="1840" spans="1:9" x14ac:dyDescent="0.3">
      <c r="A1840" t="s">
        <v>36</v>
      </c>
      <c r="B1840">
        <v>2018</v>
      </c>
      <c r="C1840">
        <v>1</v>
      </c>
      <c r="D1840" t="s">
        <v>13</v>
      </c>
      <c r="E1840">
        <v>685</v>
      </c>
      <c r="F1840" s="6">
        <v>709912.77284479095</v>
      </c>
      <c r="G1840" s="5">
        <v>83523</v>
      </c>
      <c r="H1840">
        <v>0</v>
      </c>
      <c r="I1840" s="1">
        <v>8.4996081659517859</v>
      </c>
    </row>
    <row r="1841" spans="1:9" x14ac:dyDescent="0.3">
      <c r="A1841" t="s">
        <v>36</v>
      </c>
      <c r="B1841">
        <v>2018</v>
      </c>
      <c r="C1841">
        <v>2</v>
      </c>
      <c r="D1841" t="s">
        <v>9</v>
      </c>
      <c r="E1841">
        <v>13550</v>
      </c>
      <c r="F1841" s="6">
        <v>3107406.5016166861</v>
      </c>
      <c r="G1841" s="5">
        <v>114642</v>
      </c>
      <c r="H1841">
        <v>0</v>
      </c>
      <c r="I1841" s="1">
        <v>27.105306097387398</v>
      </c>
    </row>
    <row r="1842" spans="1:9" x14ac:dyDescent="0.3">
      <c r="A1842" t="s">
        <v>36</v>
      </c>
      <c r="B1842">
        <v>2018</v>
      </c>
      <c r="C1842">
        <v>2</v>
      </c>
      <c r="D1842" t="s">
        <v>10</v>
      </c>
      <c r="E1842">
        <v>11427</v>
      </c>
      <c r="F1842" s="6">
        <v>77040044.252915114</v>
      </c>
      <c r="G1842" s="5">
        <v>114642</v>
      </c>
      <c r="H1842">
        <v>0</v>
      </c>
      <c r="I1842" s="1">
        <v>672.0054103462528</v>
      </c>
    </row>
    <row r="1843" spans="1:9" x14ac:dyDescent="0.3">
      <c r="A1843" t="s">
        <v>36</v>
      </c>
      <c r="B1843">
        <v>2018</v>
      </c>
      <c r="C1843">
        <v>2</v>
      </c>
      <c r="D1843" t="s">
        <v>11</v>
      </c>
      <c r="E1843">
        <v>1310</v>
      </c>
      <c r="F1843" s="6">
        <v>2368711.9758926411</v>
      </c>
      <c r="G1843" s="5">
        <v>114642</v>
      </c>
      <c r="H1843">
        <v>0</v>
      </c>
      <c r="I1843" s="1">
        <v>20.661816575885286</v>
      </c>
    </row>
    <row r="1844" spans="1:9" x14ac:dyDescent="0.3">
      <c r="A1844" t="s">
        <v>36</v>
      </c>
      <c r="B1844">
        <v>2018</v>
      </c>
      <c r="C1844">
        <v>2</v>
      </c>
      <c r="D1844" t="s">
        <v>12</v>
      </c>
      <c r="E1844">
        <v>167</v>
      </c>
      <c r="F1844" s="6">
        <v>60939.773046271031</v>
      </c>
      <c r="G1844" s="5">
        <v>114642</v>
      </c>
      <c r="H1844">
        <v>0</v>
      </c>
      <c r="I1844" s="1">
        <v>0.5315658575938228</v>
      </c>
    </row>
    <row r="1845" spans="1:9" x14ac:dyDescent="0.3">
      <c r="A1845" t="s">
        <v>36</v>
      </c>
      <c r="B1845">
        <v>2018</v>
      </c>
      <c r="C1845">
        <v>2</v>
      </c>
      <c r="D1845" t="s">
        <v>13</v>
      </c>
      <c r="E1845">
        <v>597</v>
      </c>
      <c r="F1845" s="6">
        <v>931303.05426362343</v>
      </c>
      <c r="G1845" s="5">
        <v>114642</v>
      </c>
      <c r="H1845">
        <v>0</v>
      </c>
      <c r="I1845" s="1">
        <v>8.1235764751454393</v>
      </c>
    </row>
    <row r="1846" spans="1:9" x14ac:dyDescent="0.3">
      <c r="A1846" t="s">
        <v>36</v>
      </c>
      <c r="B1846">
        <v>2018</v>
      </c>
      <c r="C1846">
        <v>3</v>
      </c>
      <c r="D1846" t="s">
        <v>10</v>
      </c>
      <c r="E1846">
        <v>18564</v>
      </c>
      <c r="F1846" s="6">
        <v>108783543.9098094</v>
      </c>
      <c r="G1846" s="5">
        <v>159522</v>
      </c>
      <c r="H1846">
        <v>0</v>
      </c>
      <c r="I1846" s="1">
        <v>681.93442854157672</v>
      </c>
    </row>
    <row r="1847" spans="1:9" x14ac:dyDescent="0.3">
      <c r="A1847" t="s">
        <v>36</v>
      </c>
      <c r="B1847">
        <v>2018</v>
      </c>
      <c r="C1847">
        <v>3</v>
      </c>
      <c r="D1847" t="s">
        <v>9</v>
      </c>
      <c r="E1847">
        <v>17610</v>
      </c>
      <c r="F1847" s="6">
        <v>4050433.5962071815</v>
      </c>
      <c r="G1847" s="5">
        <v>159522</v>
      </c>
      <c r="H1847">
        <v>0</v>
      </c>
      <c r="I1847" s="1">
        <v>25.391065785328554</v>
      </c>
    </row>
    <row r="1848" spans="1:9" x14ac:dyDescent="0.3">
      <c r="A1848" t="s">
        <v>36</v>
      </c>
      <c r="B1848">
        <v>2018</v>
      </c>
      <c r="C1848">
        <v>3</v>
      </c>
      <c r="D1848" t="s">
        <v>11</v>
      </c>
      <c r="E1848">
        <v>2310</v>
      </c>
      <c r="F1848" s="6">
        <v>2952533.8004545765</v>
      </c>
      <c r="G1848" s="5">
        <v>159522</v>
      </c>
      <c r="H1848">
        <v>0</v>
      </c>
      <c r="I1848" s="1">
        <v>18.508630787318218</v>
      </c>
    </row>
    <row r="1849" spans="1:9" x14ac:dyDescent="0.3">
      <c r="A1849" t="s">
        <v>36</v>
      </c>
      <c r="B1849">
        <v>2018</v>
      </c>
      <c r="C1849">
        <v>3</v>
      </c>
      <c r="D1849" t="s">
        <v>12</v>
      </c>
      <c r="E1849">
        <v>240</v>
      </c>
      <c r="F1849" s="6">
        <v>43891.23943201654</v>
      </c>
      <c r="G1849" s="5">
        <v>159522</v>
      </c>
      <c r="H1849">
        <v>0</v>
      </c>
      <c r="I1849" s="1">
        <v>0.27514223387380138</v>
      </c>
    </row>
    <row r="1850" spans="1:9" x14ac:dyDescent="0.3">
      <c r="A1850" t="s">
        <v>36</v>
      </c>
      <c r="B1850">
        <v>2018</v>
      </c>
      <c r="C1850">
        <v>3</v>
      </c>
      <c r="D1850" t="s">
        <v>13</v>
      </c>
      <c r="E1850">
        <v>592</v>
      </c>
      <c r="F1850" s="6">
        <v>770335.57948722679</v>
      </c>
      <c r="G1850" s="5">
        <v>159522</v>
      </c>
      <c r="H1850">
        <v>0</v>
      </c>
      <c r="I1850" s="1">
        <v>4.8290240812378658</v>
      </c>
    </row>
    <row r="1851" spans="1:9" x14ac:dyDescent="0.3">
      <c r="A1851" t="s">
        <v>36</v>
      </c>
      <c r="B1851">
        <v>2018</v>
      </c>
      <c r="C1851">
        <v>4</v>
      </c>
      <c r="D1851" t="s">
        <v>10</v>
      </c>
      <c r="E1851">
        <v>26212</v>
      </c>
      <c r="F1851" s="6">
        <v>177049162.13058332</v>
      </c>
      <c r="G1851" s="5">
        <v>213015</v>
      </c>
      <c r="H1851">
        <v>0</v>
      </c>
      <c r="I1851" s="1">
        <v>831.15819135076549</v>
      </c>
    </row>
    <row r="1852" spans="1:9" x14ac:dyDescent="0.3">
      <c r="A1852" t="s">
        <v>36</v>
      </c>
      <c r="B1852">
        <v>2018</v>
      </c>
      <c r="C1852">
        <v>4</v>
      </c>
      <c r="D1852" t="s">
        <v>9</v>
      </c>
      <c r="E1852">
        <v>24533</v>
      </c>
      <c r="F1852" s="6">
        <v>5523702.9764348874</v>
      </c>
      <c r="G1852" s="5">
        <v>213015</v>
      </c>
      <c r="H1852">
        <v>0</v>
      </c>
      <c r="I1852" s="1">
        <v>25.931051693237038</v>
      </c>
    </row>
    <row r="1853" spans="1:9" x14ac:dyDescent="0.3">
      <c r="A1853" t="s">
        <v>36</v>
      </c>
      <c r="B1853">
        <v>2018</v>
      </c>
      <c r="C1853">
        <v>4</v>
      </c>
      <c r="D1853" t="s">
        <v>11</v>
      </c>
      <c r="E1853">
        <v>3699</v>
      </c>
      <c r="F1853" s="6">
        <v>6911586.608122997</v>
      </c>
      <c r="G1853" s="5">
        <v>213015</v>
      </c>
      <c r="H1853">
        <v>0</v>
      </c>
      <c r="I1853" s="1">
        <v>32.446478455146334</v>
      </c>
    </row>
    <row r="1854" spans="1:9" x14ac:dyDescent="0.3">
      <c r="A1854" t="s">
        <v>36</v>
      </c>
      <c r="B1854">
        <v>2018</v>
      </c>
      <c r="C1854">
        <v>4</v>
      </c>
      <c r="D1854" t="s">
        <v>12</v>
      </c>
      <c r="E1854">
        <v>145</v>
      </c>
      <c r="F1854" s="6">
        <v>35654.183378788934</v>
      </c>
      <c r="G1854" s="5">
        <v>213015</v>
      </c>
      <c r="H1854">
        <v>0</v>
      </c>
      <c r="I1854" s="1">
        <v>0.16737874505921618</v>
      </c>
    </row>
    <row r="1855" spans="1:9" x14ac:dyDescent="0.3">
      <c r="A1855" t="s">
        <v>36</v>
      </c>
      <c r="B1855">
        <v>2018</v>
      </c>
      <c r="C1855">
        <v>4</v>
      </c>
      <c r="D1855" t="s">
        <v>13</v>
      </c>
      <c r="E1855">
        <v>653</v>
      </c>
      <c r="F1855" s="6">
        <v>906746.63100957219</v>
      </c>
      <c r="G1855" s="5">
        <v>213015</v>
      </c>
      <c r="H1855">
        <v>0</v>
      </c>
      <c r="I1855" s="1">
        <v>4.256726667181054</v>
      </c>
    </row>
    <row r="1856" spans="1:9" x14ac:dyDescent="0.3">
      <c r="A1856" t="s">
        <v>36</v>
      </c>
      <c r="B1856">
        <v>2019</v>
      </c>
      <c r="C1856">
        <v>1</v>
      </c>
      <c r="D1856" t="s">
        <v>10</v>
      </c>
      <c r="E1856">
        <v>35126</v>
      </c>
      <c r="F1856" s="6">
        <v>204183867.41165379</v>
      </c>
      <c r="G1856" s="5">
        <v>260370</v>
      </c>
      <c r="H1856">
        <v>0</v>
      </c>
      <c r="I1856" s="1">
        <v>784.20658068000841</v>
      </c>
    </row>
    <row r="1857" spans="1:9" x14ac:dyDescent="0.3">
      <c r="A1857" t="s">
        <v>36</v>
      </c>
      <c r="B1857">
        <v>2019</v>
      </c>
      <c r="C1857">
        <v>1</v>
      </c>
      <c r="D1857" t="s">
        <v>9</v>
      </c>
      <c r="E1857">
        <v>30327</v>
      </c>
      <c r="F1857" s="6">
        <v>6760113.704148788</v>
      </c>
      <c r="G1857" s="5">
        <v>260370</v>
      </c>
      <c r="H1857">
        <v>0</v>
      </c>
      <c r="I1857" s="1">
        <v>25.963489281210538</v>
      </c>
    </row>
    <row r="1858" spans="1:9" x14ac:dyDescent="0.3">
      <c r="A1858" t="s">
        <v>36</v>
      </c>
      <c r="B1858">
        <v>2019</v>
      </c>
      <c r="C1858">
        <v>1</v>
      </c>
      <c r="D1858" t="s">
        <v>11</v>
      </c>
      <c r="E1858">
        <v>3984</v>
      </c>
      <c r="F1858" s="6">
        <v>6470456.0318978233</v>
      </c>
      <c r="G1858" s="5">
        <v>260370</v>
      </c>
      <c r="H1858">
        <v>0</v>
      </c>
      <c r="I1858" s="1">
        <v>24.851004462487321</v>
      </c>
    </row>
    <row r="1859" spans="1:9" x14ac:dyDescent="0.3">
      <c r="A1859" t="s">
        <v>36</v>
      </c>
      <c r="B1859">
        <v>2019</v>
      </c>
      <c r="C1859">
        <v>1</v>
      </c>
      <c r="D1859" t="s">
        <v>12</v>
      </c>
      <c r="E1859">
        <v>133</v>
      </c>
      <c r="F1859" s="6">
        <v>33512.396067361173</v>
      </c>
      <c r="G1859" s="5">
        <v>260370</v>
      </c>
      <c r="H1859">
        <v>0</v>
      </c>
      <c r="I1859" s="1">
        <v>0.12871066584998722</v>
      </c>
    </row>
    <row r="1860" spans="1:9" x14ac:dyDescent="0.3">
      <c r="A1860" t="s">
        <v>36</v>
      </c>
      <c r="B1860">
        <v>2019</v>
      </c>
      <c r="C1860">
        <v>1</v>
      </c>
      <c r="D1860" t="s">
        <v>13</v>
      </c>
      <c r="E1860">
        <v>736</v>
      </c>
      <c r="F1860" s="6">
        <v>712945.85363475559</v>
      </c>
      <c r="G1860" s="5">
        <v>260370</v>
      </c>
      <c r="H1860">
        <v>0</v>
      </c>
      <c r="I1860" s="1">
        <v>2.7382027638927511</v>
      </c>
    </row>
    <row r="1861" spans="1:9" x14ac:dyDescent="0.3">
      <c r="A1861" t="s">
        <v>36</v>
      </c>
      <c r="B1861">
        <v>2019</v>
      </c>
      <c r="C1861">
        <v>2</v>
      </c>
      <c r="D1861" t="s">
        <v>10</v>
      </c>
      <c r="E1861">
        <v>37364</v>
      </c>
      <c r="F1861" s="6">
        <v>233471780.00357005</v>
      </c>
      <c r="G1861" s="5">
        <v>315656</v>
      </c>
      <c r="H1861">
        <v>1463275</v>
      </c>
      <c r="I1861" s="1">
        <v>739.63992448605461</v>
      </c>
    </row>
    <row r="1862" spans="1:9" x14ac:dyDescent="0.3">
      <c r="A1862" t="s">
        <v>36</v>
      </c>
      <c r="B1862">
        <v>2019</v>
      </c>
      <c r="C1862">
        <v>2</v>
      </c>
      <c r="D1862" t="s">
        <v>9</v>
      </c>
      <c r="E1862">
        <v>31903</v>
      </c>
      <c r="F1862" s="6">
        <v>7823562.3977025058</v>
      </c>
      <c r="G1862" s="5">
        <v>315656</v>
      </c>
      <c r="H1862">
        <v>1463275</v>
      </c>
      <c r="I1862" s="1">
        <v>24.785090090802981</v>
      </c>
    </row>
    <row r="1863" spans="1:9" x14ac:dyDescent="0.3">
      <c r="A1863" t="s">
        <v>36</v>
      </c>
      <c r="B1863">
        <v>2019</v>
      </c>
      <c r="C1863">
        <v>2</v>
      </c>
      <c r="D1863" t="s">
        <v>11</v>
      </c>
      <c r="E1863">
        <v>5646</v>
      </c>
      <c r="F1863" s="6">
        <v>5889316.8612284632</v>
      </c>
      <c r="G1863" s="5">
        <v>315656</v>
      </c>
      <c r="H1863">
        <v>1463275</v>
      </c>
      <c r="I1863" s="1">
        <v>18.65738925041331</v>
      </c>
    </row>
    <row r="1864" spans="1:9" x14ac:dyDescent="0.3">
      <c r="A1864" t="s">
        <v>36</v>
      </c>
      <c r="B1864">
        <v>2019</v>
      </c>
      <c r="C1864">
        <v>2</v>
      </c>
      <c r="D1864" t="s">
        <v>12</v>
      </c>
      <c r="E1864">
        <v>80</v>
      </c>
      <c r="F1864" s="6">
        <v>14455.380988399309</v>
      </c>
      <c r="G1864" s="5">
        <v>315656</v>
      </c>
      <c r="H1864">
        <v>1463275</v>
      </c>
      <c r="I1864" s="1">
        <v>4.5794729035403443E-2</v>
      </c>
    </row>
    <row r="1865" spans="1:9" x14ac:dyDescent="0.3">
      <c r="A1865" t="s">
        <v>36</v>
      </c>
      <c r="B1865">
        <v>2019</v>
      </c>
      <c r="C1865">
        <v>2</v>
      </c>
      <c r="D1865" t="s">
        <v>13</v>
      </c>
      <c r="E1865">
        <v>678</v>
      </c>
      <c r="F1865" s="6">
        <v>817593.4915248882</v>
      </c>
      <c r="G1865" s="5">
        <v>315656</v>
      </c>
      <c r="H1865">
        <v>1463275</v>
      </c>
      <c r="I1865" s="1">
        <v>2.5901408226832001</v>
      </c>
    </row>
    <row r="1866" spans="1:9" x14ac:dyDescent="0.3">
      <c r="A1866" t="s">
        <v>36</v>
      </c>
      <c r="B1866">
        <v>2019</v>
      </c>
      <c r="C1866">
        <v>3</v>
      </c>
      <c r="D1866" t="s">
        <v>9</v>
      </c>
      <c r="E1866">
        <v>49073</v>
      </c>
      <c r="F1866" s="6">
        <v>12966806.696277115</v>
      </c>
      <c r="G1866" s="5">
        <v>375474</v>
      </c>
      <c r="H1866">
        <v>5036174</v>
      </c>
      <c r="I1866" s="1">
        <v>34.534499582599899</v>
      </c>
    </row>
    <row r="1867" spans="1:9" x14ac:dyDescent="0.3">
      <c r="A1867" t="s">
        <v>36</v>
      </c>
      <c r="B1867">
        <v>2019</v>
      </c>
      <c r="C1867">
        <v>3</v>
      </c>
      <c r="D1867" t="s">
        <v>10</v>
      </c>
      <c r="E1867">
        <v>42645</v>
      </c>
      <c r="F1867" s="6">
        <v>257538220.22775066</v>
      </c>
      <c r="G1867" s="5">
        <v>375474</v>
      </c>
      <c r="H1867">
        <v>5036174</v>
      </c>
      <c r="I1867" s="1">
        <v>685.90160764194229</v>
      </c>
    </row>
    <row r="1868" spans="1:9" x14ac:dyDescent="0.3">
      <c r="A1868" t="s">
        <v>36</v>
      </c>
      <c r="B1868">
        <v>2019</v>
      </c>
      <c r="C1868">
        <v>3</v>
      </c>
      <c r="D1868" t="s">
        <v>11</v>
      </c>
      <c r="E1868">
        <v>5560</v>
      </c>
      <c r="F1868" s="6">
        <v>7397529.0213269964</v>
      </c>
      <c r="G1868" s="5">
        <v>375474</v>
      </c>
      <c r="H1868">
        <v>5036174</v>
      </c>
      <c r="I1868" s="1">
        <v>19.701840929936552</v>
      </c>
    </row>
    <row r="1869" spans="1:9" x14ac:dyDescent="0.3">
      <c r="A1869" t="s">
        <v>36</v>
      </c>
      <c r="B1869">
        <v>2019</v>
      </c>
      <c r="C1869">
        <v>3</v>
      </c>
      <c r="D1869" t="s">
        <v>12</v>
      </c>
      <c r="E1869">
        <v>94</v>
      </c>
      <c r="F1869" s="6">
        <v>72985.311512948887</v>
      </c>
      <c r="G1869" s="5">
        <v>375474</v>
      </c>
      <c r="H1869">
        <v>5036174</v>
      </c>
      <c r="I1869" s="1">
        <v>0.1943817987742131</v>
      </c>
    </row>
    <row r="1870" spans="1:9" x14ac:dyDescent="0.3">
      <c r="A1870" t="s">
        <v>36</v>
      </c>
      <c r="B1870">
        <v>2019</v>
      </c>
      <c r="C1870">
        <v>3</v>
      </c>
      <c r="D1870" t="s">
        <v>13</v>
      </c>
      <c r="E1870">
        <v>722</v>
      </c>
      <c r="F1870" s="6">
        <v>818358.69447444624</v>
      </c>
      <c r="G1870" s="5">
        <v>375474</v>
      </c>
      <c r="H1870">
        <v>5036174</v>
      </c>
      <c r="I1870" s="1">
        <v>2.1795349197932379</v>
      </c>
    </row>
    <row r="1871" spans="1:9" x14ac:dyDescent="0.3">
      <c r="A1871" t="s">
        <v>36</v>
      </c>
      <c r="B1871">
        <v>2019</v>
      </c>
      <c r="C1871">
        <v>4</v>
      </c>
      <c r="D1871" t="s">
        <v>9</v>
      </c>
      <c r="E1871">
        <v>60511</v>
      </c>
      <c r="F1871" s="6">
        <v>16857122.3073061</v>
      </c>
      <c r="G1871" s="5">
        <v>437899</v>
      </c>
      <c r="H1871">
        <v>5820848</v>
      </c>
      <c r="I1871" s="1">
        <v>38.495457416678505</v>
      </c>
    </row>
    <row r="1872" spans="1:9" x14ac:dyDescent="0.3">
      <c r="A1872" t="s">
        <v>36</v>
      </c>
      <c r="B1872">
        <v>2019</v>
      </c>
      <c r="C1872">
        <v>4</v>
      </c>
      <c r="D1872" t="s">
        <v>10</v>
      </c>
      <c r="E1872">
        <v>57109</v>
      </c>
      <c r="F1872" s="6">
        <v>341664291.49368542</v>
      </c>
      <c r="G1872" s="5">
        <v>437899</v>
      </c>
      <c r="H1872">
        <v>5820848</v>
      </c>
      <c r="I1872" s="1">
        <v>780.2353773214495</v>
      </c>
    </row>
    <row r="1873" spans="1:9" x14ac:dyDescent="0.3">
      <c r="A1873" t="s">
        <v>36</v>
      </c>
      <c r="B1873">
        <v>2019</v>
      </c>
      <c r="C1873">
        <v>4</v>
      </c>
      <c r="D1873" t="s">
        <v>11</v>
      </c>
      <c r="E1873">
        <v>6939</v>
      </c>
      <c r="F1873" s="6">
        <v>9451111.1393528245</v>
      </c>
      <c r="G1873" s="5">
        <v>437899</v>
      </c>
      <c r="H1873">
        <v>5820848</v>
      </c>
      <c r="I1873" s="1">
        <v>21.582856182253956</v>
      </c>
    </row>
    <row r="1874" spans="1:9" x14ac:dyDescent="0.3">
      <c r="A1874" t="s">
        <v>36</v>
      </c>
      <c r="B1874">
        <v>2019</v>
      </c>
      <c r="C1874">
        <v>4</v>
      </c>
      <c r="D1874" t="s">
        <v>12</v>
      </c>
      <c r="E1874">
        <v>100</v>
      </c>
      <c r="F1874" s="6">
        <v>20966.3333050078</v>
      </c>
      <c r="G1874" s="5">
        <v>437899</v>
      </c>
      <c r="H1874">
        <v>5820848</v>
      </c>
      <c r="I1874" s="1">
        <v>4.7879381558322352E-2</v>
      </c>
    </row>
    <row r="1875" spans="1:9" x14ac:dyDescent="0.3">
      <c r="A1875" t="s">
        <v>36</v>
      </c>
      <c r="B1875">
        <v>2019</v>
      </c>
      <c r="C1875">
        <v>4</v>
      </c>
      <c r="D1875" t="s">
        <v>13</v>
      </c>
      <c r="E1875">
        <v>580</v>
      </c>
      <c r="F1875" s="6">
        <v>695859.36083911394</v>
      </c>
      <c r="G1875" s="5">
        <v>437899</v>
      </c>
      <c r="H1875">
        <v>5820848</v>
      </c>
      <c r="I1875" s="1">
        <v>1.5890864350891734</v>
      </c>
    </row>
    <row r="1876" spans="1:9" x14ac:dyDescent="0.3">
      <c r="A1876" t="s">
        <v>36</v>
      </c>
      <c r="B1876">
        <v>2020</v>
      </c>
      <c r="C1876">
        <v>1</v>
      </c>
      <c r="D1876" t="s">
        <v>9</v>
      </c>
      <c r="E1876">
        <v>85067</v>
      </c>
      <c r="F1876" s="6">
        <v>24356294.585232861</v>
      </c>
      <c r="G1876" s="5">
        <v>511489</v>
      </c>
      <c r="H1876">
        <v>7091513</v>
      </c>
      <c r="I1876" s="1">
        <v>47.61841327033985</v>
      </c>
    </row>
    <row r="1877" spans="1:9" x14ac:dyDescent="0.3">
      <c r="A1877" t="s">
        <v>36</v>
      </c>
      <c r="B1877">
        <v>2020</v>
      </c>
      <c r="C1877">
        <v>1</v>
      </c>
      <c r="D1877" t="s">
        <v>10</v>
      </c>
      <c r="E1877">
        <v>57916</v>
      </c>
      <c r="F1877" s="6">
        <v>356260523.23262954</v>
      </c>
      <c r="G1877" s="5">
        <v>511489</v>
      </c>
      <c r="H1877">
        <v>7091513</v>
      </c>
      <c r="I1877" s="1">
        <v>696.51649054550444</v>
      </c>
    </row>
    <row r="1878" spans="1:9" x14ac:dyDescent="0.3">
      <c r="A1878" t="s">
        <v>36</v>
      </c>
      <c r="B1878">
        <v>2020</v>
      </c>
      <c r="C1878">
        <v>1</v>
      </c>
      <c r="D1878" t="s">
        <v>11</v>
      </c>
      <c r="E1878">
        <v>9961</v>
      </c>
      <c r="F1878" s="6">
        <v>10404414.592504771</v>
      </c>
      <c r="G1878" s="5">
        <v>511489</v>
      </c>
      <c r="H1878">
        <v>7091513</v>
      </c>
      <c r="I1878" s="1">
        <v>20.341423945587827</v>
      </c>
    </row>
    <row r="1879" spans="1:9" x14ac:dyDescent="0.3">
      <c r="A1879" t="s">
        <v>36</v>
      </c>
      <c r="B1879">
        <v>2020</v>
      </c>
      <c r="C1879">
        <v>1</v>
      </c>
      <c r="D1879" t="s">
        <v>12</v>
      </c>
      <c r="E1879">
        <v>119</v>
      </c>
      <c r="F1879" s="6">
        <v>283854.31883811468</v>
      </c>
      <c r="G1879" s="5">
        <v>511489</v>
      </c>
      <c r="H1879">
        <v>7091513</v>
      </c>
      <c r="I1879" s="1">
        <v>0.55495683942003582</v>
      </c>
    </row>
    <row r="1880" spans="1:9" x14ac:dyDescent="0.3">
      <c r="A1880" t="s">
        <v>36</v>
      </c>
      <c r="B1880">
        <v>2020</v>
      </c>
      <c r="C1880">
        <v>1</v>
      </c>
      <c r="D1880" t="s">
        <v>13</v>
      </c>
      <c r="E1880">
        <v>546</v>
      </c>
      <c r="F1880" s="6">
        <v>772492.62043177639</v>
      </c>
      <c r="G1880" s="5">
        <v>511489</v>
      </c>
      <c r="H1880">
        <v>7091513</v>
      </c>
      <c r="I1880" s="1">
        <v>1.510281981492811</v>
      </c>
    </row>
    <row r="1881" spans="1:9" x14ac:dyDescent="0.3">
      <c r="A1881" t="s">
        <v>36</v>
      </c>
      <c r="B1881">
        <v>2020</v>
      </c>
      <c r="C1881">
        <v>2</v>
      </c>
      <c r="D1881" t="s">
        <v>9</v>
      </c>
      <c r="E1881">
        <v>127592</v>
      </c>
      <c r="F1881" s="6">
        <v>37504550.777320907</v>
      </c>
      <c r="G1881" s="5">
        <v>611314</v>
      </c>
      <c r="H1881">
        <v>8132388</v>
      </c>
      <c r="I1881" s="1">
        <v>61.35071465289672</v>
      </c>
    </row>
    <row r="1882" spans="1:9" x14ac:dyDescent="0.3">
      <c r="A1882" t="s">
        <v>36</v>
      </c>
      <c r="B1882">
        <v>2020</v>
      </c>
      <c r="C1882">
        <v>2</v>
      </c>
      <c r="D1882" t="s">
        <v>10</v>
      </c>
      <c r="E1882">
        <v>60021</v>
      </c>
      <c r="F1882" s="6">
        <v>404110075.08639592</v>
      </c>
      <c r="G1882" s="5">
        <v>611314</v>
      </c>
      <c r="H1882">
        <v>8132388</v>
      </c>
      <c r="I1882" s="1">
        <v>661.0515628406938</v>
      </c>
    </row>
    <row r="1883" spans="1:9" x14ac:dyDescent="0.3">
      <c r="A1883" t="s">
        <v>36</v>
      </c>
      <c r="B1883">
        <v>2020</v>
      </c>
      <c r="C1883">
        <v>2</v>
      </c>
      <c r="D1883" t="s">
        <v>11</v>
      </c>
      <c r="E1883">
        <v>10056</v>
      </c>
      <c r="F1883" s="6">
        <v>14627463.664270937</v>
      </c>
      <c r="G1883" s="5">
        <v>611314</v>
      </c>
      <c r="H1883">
        <v>8132388</v>
      </c>
      <c r="I1883" s="1">
        <v>23.927905567794845</v>
      </c>
    </row>
    <row r="1884" spans="1:9" x14ac:dyDescent="0.3">
      <c r="A1884" t="s">
        <v>36</v>
      </c>
      <c r="B1884">
        <v>2020</v>
      </c>
      <c r="C1884">
        <v>2</v>
      </c>
      <c r="D1884" t="s">
        <v>12</v>
      </c>
      <c r="E1884">
        <v>244</v>
      </c>
      <c r="F1884" s="6">
        <v>434960.2799078573</v>
      </c>
      <c r="G1884" s="5">
        <v>611314</v>
      </c>
      <c r="H1884">
        <v>8132388</v>
      </c>
      <c r="I1884" s="1">
        <v>0.71151696167249123</v>
      </c>
    </row>
    <row r="1885" spans="1:9" x14ac:dyDescent="0.3">
      <c r="A1885" t="s">
        <v>36</v>
      </c>
      <c r="B1885">
        <v>2020</v>
      </c>
      <c r="C1885">
        <v>2</v>
      </c>
      <c r="D1885" t="s">
        <v>13</v>
      </c>
      <c r="E1885">
        <v>549</v>
      </c>
      <c r="F1885" s="6">
        <v>516383.63442262856</v>
      </c>
      <c r="G1885" s="5">
        <v>611314</v>
      </c>
      <c r="H1885">
        <v>8132388</v>
      </c>
      <c r="I1885" s="1">
        <v>0.84471095774451188</v>
      </c>
    </row>
    <row r="1886" spans="1:9" x14ac:dyDescent="0.3">
      <c r="A1886" t="s">
        <v>36</v>
      </c>
      <c r="B1886">
        <v>2020</v>
      </c>
      <c r="C1886">
        <v>3</v>
      </c>
      <c r="D1886" t="s">
        <v>9</v>
      </c>
      <c r="E1886">
        <v>132664</v>
      </c>
      <c r="F1886" s="6">
        <v>40941077.032856956</v>
      </c>
      <c r="G1886" s="5">
        <v>751465</v>
      </c>
      <c r="H1886">
        <v>10173515</v>
      </c>
      <c r="I1886" s="1">
        <v>54.481681825310503</v>
      </c>
    </row>
    <row r="1887" spans="1:9" x14ac:dyDescent="0.3">
      <c r="A1887" t="s">
        <v>36</v>
      </c>
      <c r="B1887">
        <v>2020</v>
      </c>
      <c r="C1887">
        <v>3</v>
      </c>
      <c r="D1887" t="s">
        <v>10</v>
      </c>
      <c r="E1887">
        <v>99644</v>
      </c>
      <c r="F1887" s="6">
        <v>634560147.35069013</v>
      </c>
      <c r="G1887" s="5">
        <v>751465</v>
      </c>
      <c r="H1887">
        <v>10173515</v>
      </c>
      <c r="I1887" s="1">
        <v>844.43074175203117</v>
      </c>
    </row>
    <row r="1888" spans="1:9" x14ac:dyDescent="0.3">
      <c r="A1888" t="s">
        <v>36</v>
      </c>
      <c r="B1888">
        <v>2020</v>
      </c>
      <c r="C1888">
        <v>3</v>
      </c>
      <c r="D1888" t="s">
        <v>11</v>
      </c>
      <c r="E1888">
        <v>20934</v>
      </c>
      <c r="F1888" s="6">
        <v>30693648.236451425</v>
      </c>
      <c r="G1888" s="5">
        <v>751465</v>
      </c>
      <c r="H1888">
        <v>10173515</v>
      </c>
      <c r="I1888" s="1">
        <v>40.845080258496971</v>
      </c>
    </row>
    <row r="1889" spans="1:9" x14ac:dyDescent="0.3">
      <c r="A1889" t="s">
        <v>36</v>
      </c>
      <c r="B1889">
        <v>2020</v>
      </c>
      <c r="C1889">
        <v>3</v>
      </c>
      <c r="D1889" t="s">
        <v>12</v>
      </c>
      <c r="E1889">
        <v>535</v>
      </c>
      <c r="F1889" s="6">
        <v>824864.51312728703</v>
      </c>
      <c r="G1889" s="5">
        <v>751465</v>
      </c>
      <c r="H1889">
        <v>10173515</v>
      </c>
      <c r="I1889" s="1">
        <v>1.0976752252297672</v>
      </c>
    </row>
    <row r="1890" spans="1:9" x14ac:dyDescent="0.3">
      <c r="A1890" t="s">
        <v>36</v>
      </c>
      <c r="B1890">
        <v>2020</v>
      </c>
      <c r="C1890">
        <v>3</v>
      </c>
      <c r="D1890" t="s">
        <v>13</v>
      </c>
      <c r="E1890">
        <v>926</v>
      </c>
      <c r="F1890" s="6">
        <v>924438.37147471716</v>
      </c>
      <c r="G1890" s="5">
        <v>751465</v>
      </c>
      <c r="H1890">
        <v>10173515</v>
      </c>
      <c r="I1890" s="1">
        <v>1.2301815406901415</v>
      </c>
    </row>
    <row r="1891" spans="1:9" x14ac:dyDescent="0.3">
      <c r="A1891" t="s">
        <v>36</v>
      </c>
      <c r="B1891">
        <v>2020</v>
      </c>
      <c r="C1891">
        <v>4</v>
      </c>
      <c r="D1891" t="s">
        <v>10</v>
      </c>
      <c r="E1891">
        <v>141038</v>
      </c>
      <c r="F1891" s="6">
        <v>887252744.06766796</v>
      </c>
      <c r="G1891" s="5">
        <v>866041</v>
      </c>
      <c r="H1891">
        <v>12058002</v>
      </c>
      <c r="I1891" s="1">
        <v>1024.4927712055987</v>
      </c>
    </row>
    <row r="1892" spans="1:9" x14ac:dyDescent="0.3">
      <c r="A1892" t="s">
        <v>36</v>
      </c>
      <c r="B1892">
        <v>2020</v>
      </c>
      <c r="C1892">
        <v>4</v>
      </c>
      <c r="D1892" t="s">
        <v>9</v>
      </c>
      <c r="E1892">
        <v>140297</v>
      </c>
      <c r="F1892" s="6">
        <v>45386403.172815919</v>
      </c>
      <c r="G1892" s="5">
        <v>866041</v>
      </c>
      <c r="H1892">
        <v>12058002</v>
      </c>
      <c r="I1892" s="1">
        <v>52.40676038757509</v>
      </c>
    </row>
    <row r="1893" spans="1:9" x14ac:dyDescent="0.3">
      <c r="A1893" t="s">
        <v>36</v>
      </c>
      <c r="B1893">
        <v>2020</v>
      </c>
      <c r="C1893">
        <v>4</v>
      </c>
      <c r="D1893" t="s">
        <v>11</v>
      </c>
      <c r="E1893">
        <v>39676</v>
      </c>
      <c r="F1893" s="6">
        <v>52094800.565094605</v>
      </c>
      <c r="G1893" s="5">
        <v>866041</v>
      </c>
      <c r="H1893">
        <v>12058002</v>
      </c>
      <c r="I1893" s="1">
        <v>60.152810969797741</v>
      </c>
    </row>
    <row r="1894" spans="1:9" x14ac:dyDescent="0.3">
      <c r="A1894" t="s">
        <v>36</v>
      </c>
      <c r="B1894">
        <v>2020</v>
      </c>
      <c r="C1894">
        <v>4</v>
      </c>
      <c r="D1894" t="s">
        <v>12</v>
      </c>
      <c r="E1894">
        <v>607</v>
      </c>
      <c r="F1894" s="6">
        <v>855201.58811572369</v>
      </c>
      <c r="G1894" s="5">
        <v>866041</v>
      </c>
      <c r="H1894">
        <v>12058002</v>
      </c>
      <c r="I1894" s="1">
        <v>0.98748395066252481</v>
      </c>
    </row>
    <row r="1895" spans="1:9" x14ac:dyDescent="0.3">
      <c r="A1895" t="s">
        <v>36</v>
      </c>
      <c r="B1895">
        <v>2020</v>
      </c>
      <c r="C1895">
        <v>4</v>
      </c>
      <c r="D1895" t="s">
        <v>13</v>
      </c>
      <c r="E1895">
        <v>989</v>
      </c>
      <c r="F1895" s="6">
        <v>932966.30026349518</v>
      </c>
      <c r="G1895" s="5">
        <v>866041</v>
      </c>
      <c r="H1895">
        <v>12058002</v>
      </c>
      <c r="I1895" s="1">
        <v>1.0772772885619679</v>
      </c>
    </row>
    <row r="1896" spans="1:9" x14ac:dyDescent="0.3">
      <c r="A1896" t="s">
        <v>36</v>
      </c>
      <c r="B1896">
        <v>2021</v>
      </c>
      <c r="C1896">
        <v>1</v>
      </c>
      <c r="D1896" t="s">
        <v>10</v>
      </c>
      <c r="E1896">
        <v>156386</v>
      </c>
      <c r="F1896" s="6">
        <v>982955112.18927789</v>
      </c>
      <c r="G1896" s="5">
        <v>943250</v>
      </c>
      <c r="H1896">
        <v>13125354</v>
      </c>
      <c r="I1896" s="1">
        <v>1042.0939434818742</v>
      </c>
    </row>
    <row r="1897" spans="1:9" x14ac:dyDescent="0.3">
      <c r="A1897" t="s">
        <v>36</v>
      </c>
      <c r="B1897">
        <v>2021</v>
      </c>
      <c r="C1897">
        <v>1</v>
      </c>
      <c r="D1897" t="s">
        <v>9</v>
      </c>
      <c r="E1897">
        <v>128055</v>
      </c>
      <c r="F1897" s="6">
        <v>45558278.223239534</v>
      </c>
      <c r="G1897" s="5">
        <v>943250</v>
      </c>
      <c r="H1897">
        <v>13125354</v>
      </c>
      <c r="I1897" s="1">
        <v>48.29926130213574</v>
      </c>
    </row>
    <row r="1898" spans="1:9" x14ac:dyDescent="0.3">
      <c r="A1898" t="s">
        <v>36</v>
      </c>
      <c r="B1898">
        <v>2021</v>
      </c>
      <c r="C1898">
        <v>1</v>
      </c>
      <c r="D1898" t="s">
        <v>11</v>
      </c>
      <c r="E1898">
        <v>43511</v>
      </c>
      <c r="F1898" s="6">
        <v>70289687.946227476</v>
      </c>
      <c r="G1898" s="5">
        <v>943250</v>
      </c>
      <c r="H1898">
        <v>13125354</v>
      </c>
      <c r="I1898" s="1">
        <v>74.518619609040528</v>
      </c>
    </row>
    <row r="1899" spans="1:9" x14ac:dyDescent="0.3">
      <c r="A1899" t="s">
        <v>36</v>
      </c>
      <c r="B1899">
        <v>2021</v>
      </c>
      <c r="C1899">
        <v>1</v>
      </c>
      <c r="D1899" t="s">
        <v>12</v>
      </c>
      <c r="E1899">
        <v>648</v>
      </c>
      <c r="F1899" s="6">
        <v>1330632.9787811027</v>
      </c>
      <c r="G1899" s="5">
        <v>943250</v>
      </c>
      <c r="H1899">
        <v>13125354</v>
      </c>
      <c r="I1899" s="1">
        <v>1.4106896143982006</v>
      </c>
    </row>
    <row r="1900" spans="1:9" x14ac:dyDescent="0.3">
      <c r="A1900" t="s">
        <v>36</v>
      </c>
      <c r="B1900">
        <v>2021</v>
      </c>
      <c r="C1900">
        <v>1</v>
      </c>
      <c r="D1900" t="s">
        <v>13</v>
      </c>
      <c r="E1900">
        <v>975</v>
      </c>
      <c r="F1900" s="6">
        <v>971875.60841171024</v>
      </c>
      <c r="G1900" s="5">
        <v>943250</v>
      </c>
      <c r="H1900">
        <v>13125354</v>
      </c>
      <c r="I1900" s="1">
        <v>1.030347848832982</v>
      </c>
    </row>
    <row r="1901" spans="1:9" x14ac:dyDescent="0.3">
      <c r="A1901" t="s">
        <v>36</v>
      </c>
      <c r="B1901">
        <v>2021</v>
      </c>
      <c r="C1901">
        <v>2</v>
      </c>
      <c r="D1901" t="s">
        <v>10</v>
      </c>
      <c r="E1901">
        <v>173064</v>
      </c>
      <c r="F1901" s="6">
        <v>995581952.90340495</v>
      </c>
      <c r="G1901" s="5">
        <v>1018072</v>
      </c>
      <c r="H1901">
        <v>44160567</v>
      </c>
      <c r="I1901" s="1">
        <v>977.9091782343537</v>
      </c>
    </row>
    <row r="1902" spans="1:9" x14ac:dyDescent="0.3">
      <c r="A1902" t="s">
        <v>36</v>
      </c>
      <c r="B1902">
        <v>2021</v>
      </c>
      <c r="C1902">
        <v>2</v>
      </c>
      <c r="D1902" t="s">
        <v>9</v>
      </c>
      <c r="E1902">
        <v>161763</v>
      </c>
      <c r="F1902" s="6">
        <v>56059844.239659324</v>
      </c>
      <c r="G1902" s="5">
        <v>1018072</v>
      </c>
      <c r="H1902">
        <v>44160567</v>
      </c>
      <c r="I1902" s="1">
        <v>55.064714715323987</v>
      </c>
    </row>
    <row r="1903" spans="1:9" x14ac:dyDescent="0.3">
      <c r="A1903" t="s">
        <v>36</v>
      </c>
      <c r="B1903">
        <v>2021</v>
      </c>
      <c r="C1903">
        <v>2</v>
      </c>
      <c r="D1903" t="s">
        <v>11</v>
      </c>
      <c r="E1903">
        <v>57877</v>
      </c>
      <c r="F1903" s="6">
        <v>69528721.401561022</v>
      </c>
      <c r="G1903" s="5">
        <v>1018072</v>
      </c>
      <c r="H1903">
        <v>44160567</v>
      </c>
      <c r="I1903" s="1">
        <v>68.294503140800472</v>
      </c>
    </row>
    <row r="1904" spans="1:9" x14ac:dyDescent="0.3">
      <c r="A1904" t="s">
        <v>36</v>
      </c>
      <c r="B1904">
        <v>2021</v>
      </c>
      <c r="C1904">
        <v>2</v>
      </c>
      <c r="D1904" t="s">
        <v>12</v>
      </c>
      <c r="E1904">
        <v>611</v>
      </c>
      <c r="F1904" s="6">
        <v>710657.50656448293</v>
      </c>
      <c r="G1904" s="5">
        <v>1018072</v>
      </c>
      <c r="H1904">
        <v>44160567</v>
      </c>
      <c r="I1904" s="1">
        <v>0.69804248281504933</v>
      </c>
    </row>
    <row r="1905" spans="1:9" x14ac:dyDescent="0.3">
      <c r="A1905" t="s">
        <v>36</v>
      </c>
      <c r="B1905">
        <v>2021</v>
      </c>
      <c r="C1905">
        <v>2</v>
      </c>
      <c r="D1905" t="s">
        <v>13</v>
      </c>
      <c r="E1905">
        <v>1025</v>
      </c>
      <c r="F1905" s="6">
        <v>993297.250902934</v>
      </c>
      <c r="G1905" s="5">
        <v>1018072</v>
      </c>
      <c r="H1905">
        <v>44160567</v>
      </c>
      <c r="I1905" s="1">
        <v>0.9756650324367373</v>
      </c>
    </row>
    <row r="1906" spans="1:9" x14ac:dyDescent="0.3">
      <c r="A1906" t="s">
        <v>36</v>
      </c>
      <c r="B1906">
        <v>2021</v>
      </c>
      <c r="C1906">
        <v>3</v>
      </c>
      <c r="D1906" t="s">
        <v>10</v>
      </c>
      <c r="E1906">
        <v>224873</v>
      </c>
      <c r="F1906" s="6">
        <v>1290523196.2592211</v>
      </c>
      <c r="G1906" s="5">
        <v>1107117</v>
      </c>
      <c r="H1906">
        <v>59242898</v>
      </c>
      <c r="I1906" s="1">
        <v>1165.6610785122268</v>
      </c>
    </row>
    <row r="1907" spans="1:9" x14ac:dyDescent="0.3">
      <c r="A1907" t="s">
        <v>36</v>
      </c>
      <c r="B1907">
        <v>2021</v>
      </c>
      <c r="C1907">
        <v>3</v>
      </c>
      <c r="D1907" t="s">
        <v>9</v>
      </c>
      <c r="E1907">
        <v>177281</v>
      </c>
      <c r="F1907" s="6">
        <v>67493206.623943478</v>
      </c>
      <c r="G1907" s="5">
        <v>1107117</v>
      </c>
      <c r="H1907">
        <v>59242898</v>
      </c>
      <c r="I1907" s="1">
        <v>60.963029764644098</v>
      </c>
    </row>
    <row r="1908" spans="1:9" x14ac:dyDescent="0.3">
      <c r="A1908" t="s">
        <v>36</v>
      </c>
      <c r="B1908">
        <v>2021</v>
      </c>
      <c r="C1908">
        <v>3</v>
      </c>
      <c r="D1908" t="s">
        <v>11</v>
      </c>
      <c r="E1908">
        <v>74553</v>
      </c>
      <c r="F1908" s="6">
        <v>113697005.89820999</v>
      </c>
      <c r="G1908" s="5">
        <v>1107117</v>
      </c>
      <c r="H1908">
        <v>59242898</v>
      </c>
      <c r="I1908" s="1">
        <v>102.69646830299777</v>
      </c>
    </row>
    <row r="1909" spans="1:9" x14ac:dyDescent="0.3">
      <c r="A1909" t="s">
        <v>36</v>
      </c>
      <c r="B1909">
        <v>2021</v>
      </c>
      <c r="C1909">
        <v>3</v>
      </c>
      <c r="D1909" t="s">
        <v>12</v>
      </c>
      <c r="E1909">
        <v>522</v>
      </c>
      <c r="F1909" s="6">
        <v>806905.97294228384</v>
      </c>
      <c r="G1909" s="5">
        <v>1107117</v>
      </c>
      <c r="H1909">
        <v>59242898</v>
      </c>
      <c r="I1909" s="1">
        <v>0.72883531997276152</v>
      </c>
    </row>
    <row r="1910" spans="1:9" x14ac:dyDescent="0.3">
      <c r="A1910" t="s">
        <v>36</v>
      </c>
      <c r="B1910">
        <v>2021</v>
      </c>
      <c r="C1910">
        <v>3</v>
      </c>
      <c r="D1910" t="s">
        <v>13</v>
      </c>
      <c r="E1910">
        <v>1300</v>
      </c>
      <c r="F1910" s="6">
        <v>1228335.4576346257</v>
      </c>
      <c r="G1910" s="5">
        <v>1107117</v>
      </c>
      <c r="H1910">
        <v>59242898</v>
      </c>
      <c r="I1910" s="1">
        <v>1.1094901962797299</v>
      </c>
    </row>
    <row r="1911" spans="1:9" x14ac:dyDescent="0.3">
      <c r="A1911" t="s">
        <v>36</v>
      </c>
      <c r="B1911">
        <v>2021</v>
      </c>
      <c r="C1911">
        <v>4</v>
      </c>
      <c r="D1911" t="s">
        <v>10</v>
      </c>
      <c r="E1911">
        <v>272209</v>
      </c>
      <c r="F1911" s="6">
        <v>1545255603.4119103</v>
      </c>
      <c r="G1911" s="5">
        <v>1192455</v>
      </c>
      <c r="H1911">
        <v>23035298</v>
      </c>
      <c r="I1911" s="1">
        <v>1295.8607271653104</v>
      </c>
    </row>
    <row r="1912" spans="1:9" x14ac:dyDescent="0.3">
      <c r="A1912" t="s">
        <v>36</v>
      </c>
      <c r="B1912">
        <v>2021</v>
      </c>
      <c r="C1912">
        <v>4</v>
      </c>
      <c r="D1912" t="s">
        <v>9</v>
      </c>
      <c r="E1912">
        <v>179405</v>
      </c>
      <c r="F1912" s="6">
        <v>67548806.847545817</v>
      </c>
      <c r="G1912" s="5">
        <v>1192455</v>
      </c>
      <c r="H1912">
        <v>23035298</v>
      </c>
      <c r="I1912" s="1">
        <v>56.646839375528486</v>
      </c>
    </row>
    <row r="1913" spans="1:9" x14ac:dyDescent="0.3">
      <c r="A1913" t="s">
        <v>36</v>
      </c>
      <c r="B1913">
        <v>2021</v>
      </c>
      <c r="C1913">
        <v>4</v>
      </c>
      <c r="D1913" t="s">
        <v>11</v>
      </c>
      <c r="E1913">
        <v>99265</v>
      </c>
      <c r="F1913" s="6">
        <v>154183940.72826496</v>
      </c>
      <c r="G1913" s="5">
        <v>1192455</v>
      </c>
      <c r="H1913">
        <v>23035298</v>
      </c>
      <c r="I1913" s="1">
        <v>129.2995884358445</v>
      </c>
    </row>
    <row r="1914" spans="1:9" x14ac:dyDescent="0.3">
      <c r="A1914" t="s">
        <v>36</v>
      </c>
      <c r="B1914">
        <v>2021</v>
      </c>
      <c r="C1914">
        <v>4</v>
      </c>
      <c r="D1914" t="s">
        <v>12</v>
      </c>
      <c r="E1914">
        <v>695</v>
      </c>
      <c r="F1914" s="6">
        <v>2202285.707728365</v>
      </c>
      <c r="G1914" s="5">
        <v>1192455</v>
      </c>
      <c r="H1914">
        <v>23035298</v>
      </c>
      <c r="I1914" s="1">
        <v>1.846850160155616</v>
      </c>
    </row>
    <row r="1915" spans="1:9" x14ac:dyDescent="0.3">
      <c r="A1915" t="s">
        <v>36</v>
      </c>
      <c r="B1915">
        <v>2021</v>
      </c>
      <c r="C1915">
        <v>4</v>
      </c>
      <c r="D1915" t="s">
        <v>13</v>
      </c>
      <c r="E1915">
        <v>1755</v>
      </c>
      <c r="F1915" s="6">
        <v>1475104.8275919389</v>
      </c>
      <c r="G1915" s="5">
        <v>1192455</v>
      </c>
      <c r="H1915">
        <v>23035298</v>
      </c>
      <c r="I1915" s="1">
        <v>1.2370318608181767</v>
      </c>
    </row>
    <row r="1916" spans="1:9" x14ac:dyDescent="0.3">
      <c r="A1916" t="s">
        <v>37</v>
      </c>
      <c r="B1916">
        <v>2018</v>
      </c>
      <c r="C1916">
        <v>1</v>
      </c>
      <c r="D1916" t="s">
        <v>9</v>
      </c>
      <c r="E1916">
        <v>28198</v>
      </c>
      <c r="F1916" s="6">
        <v>5361675.5496233152</v>
      </c>
      <c r="G1916" s="5">
        <v>165814</v>
      </c>
      <c r="H1916">
        <v>0</v>
      </c>
      <c r="I1916" s="1">
        <v>32.335481621716596</v>
      </c>
    </row>
    <row r="1917" spans="1:9" x14ac:dyDescent="0.3">
      <c r="A1917" t="s">
        <v>37</v>
      </c>
      <c r="B1917">
        <v>2018</v>
      </c>
      <c r="C1917">
        <v>1</v>
      </c>
      <c r="D1917" t="s">
        <v>10</v>
      </c>
      <c r="E1917">
        <v>11631</v>
      </c>
      <c r="F1917" s="6">
        <v>69830122.020638764</v>
      </c>
      <c r="G1917" s="5">
        <v>165814</v>
      </c>
      <c r="H1917">
        <v>0</v>
      </c>
      <c r="I1917" s="1">
        <v>421.13526011457878</v>
      </c>
    </row>
    <row r="1918" spans="1:9" x14ac:dyDescent="0.3">
      <c r="A1918" t="s">
        <v>37</v>
      </c>
      <c r="B1918">
        <v>2018</v>
      </c>
      <c r="C1918">
        <v>1</v>
      </c>
      <c r="D1918" t="s">
        <v>11</v>
      </c>
      <c r="E1918">
        <v>822</v>
      </c>
      <c r="F1918" s="6">
        <v>1170667.4151649117</v>
      </c>
      <c r="G1918" s="5">
        <v>165814</v>
      </c>
      <c r="H1918">
        <v>0</v>
      </c>
      <c r="I1918" s="1">
        <v>7.060124085812487</v>
      </c>
    </row>
    <row r="1919" spans="1:9" x14ac:dyDescent="0.3">
      <c r="A1919" t="s">
        <v>37</v>
      </c>
      <c r="B1919">
        <v>2018</v>
      </c>
      <c r="C1919">
        <v>1</v>
      </c>
      <c r="D1919" t="s">
        <v>12</v>
      </c>
      <c r="E1919">
        <v>399</v>
      </c>
      <c r="F1919" s="6">
        <v>299016.73456207372</v>
      </c>
      <c r="G1919" s="5">
        <v>165814</v>
      </c>
      <c r="H1919">
        <v>0</v>
      </c>
      <c r="I1919" s="1">
        <v>1.8033262243361461</v>
      </c>
    </row>
    <row r="1920" spans="1:9" x14ac:dyDescent="0.3">
      <c r="A1920" t="s">
        <v>37</v>
      </c>
      <c r="B1920">
        <v>2018</v>
      </c>
      <c r="C1920">
        <v>1</v>
      </c>
      <c r="D1920" t="s">
        <v>13</v>
      </c>
      <c r="E1920">
        <v>1795</v>
      </c>
      <c r="F1920" s="6">
        <v>1344409.3661360394</v>
      </c>
      <c r="G1920" s="5">
        <v>165814</v>
      </c>
      <c r="H1920">
        <v>0</v>
      </c>
      <c r="I1920" s="1">
        <v>8.107936399435749</v>
      </c>
    </row>
    <row r="1921" spans="1:9" x14ac:dyDescent="0.3">
      <c r="A1921" t="s">
        <v>37</v>
      </c>
      <c r="B1921">
        <v>2018</v>
      </c>
      <c r="C1921">
        <v>2</v>
      </c>
      <c r="D1921" t="s">
        <v>9</v>
      </c>
      <c r="E1921">
        <v>41959</v>
      </c>
      <c r="F1921" s="6">
        <v>9139467.7039800975</v>
      </c>
      <c r="G1921" s="5">
        <v>246796</v>
      </c>
      <c r="H1921">
        <v>0</v>
      </c>
      <c r="I1921" s="1">
        <v>37.032479067651408</v>
      </c>
    </row>
    <row r="1922" spans="1:9" x14ac:dyDescent="0.3">
      <c r="A1922" t="s">
        <v>37</v>
      </c>
      <c r="B1922">
        <v>2018</v>
      </c>
      <c r="C1922">
        <v>2</v>
      </c>
      <c r="D1922" t="s">
        <v>10</v>
      </c>
      <c r="E1922">
        <v>20099</v>
      </c>
      <c r="F1922" s="6">
        <v>140193107.69683594</v>
      </c>
      <c r="G1922" s="5">
        <v>246796</v>
      </c>
      <c r="H1922">
        <v>0</v>
      </c>
      <c r="I1922" s="1">
        <v>568.05259281688495</v>
      </c>
    </row>
    <row r="1923" spans="1:9" x14ac:dyDescent="0.3">
      <c r="A1923" t="s">
        <v>37</v>
      </c>
      <c r="B1923">
        <v>2018</v>
      </c>
      <c r="C1923">
        <v>2</v>
      </c>
      <c r="D1923" t="s">
        <v>11</v>
      </c>
      <c r="E1923">
        <v>1529</v>
      </c>
      <c r="F1923" s="6">
        <v>2293935.4908359242</v>
      </c>
      <c r="G1923" s="5">
        <v>246796</v>
      </c>
      <c r="H1923">
        <v>0</v>
      </c>
      <c r="I1923" s="1">
        <v>9.2948649525759102</v>
      </c>
    </row>
    <row r="1924" spans="1:9" x14ac:dyDescent="0.3">
      <c r="A1924" t="s">
        <v>37</v>
      </c>
      <c r="B1924">
        <v>2018</v>
      </c>
      <c r="C1924">
        <v>2</v>
      </c>
      <c r="D1924" t="s">
        <v>12</v>
      </c>
      <c r="E1924">
        <v>379</v>
      </c>
      <c r="F1924" s="6">
        <v>153458.52316261371</v>
      </c>
      <c r="G1924" s="5">
        <v>246796</v>
      </c>
      <c r="H1924">
        <v>0</v>
      </c>
      <c r="I1924" s="1">
        <v>0.62180312145502237</v>
      </c>
    </row>
    <row r="1925" spans="1:9" x14ac:dyDescent="0.3">
      <c r="A1925" t="s">
        <v>37</v>
      </c>
      <c r="B1925">
        <v>2018</v>
      </c>
      <c r="C1925">
        <v>2</v>
      </c>
      <c r="D1925" t="s">
        <v>13</v>
      </c>
      <c r="E1925">
        <v>1633</v>
      </c>
      <c r="F1925" s="6">
        <v>1545608.465487119</v>
      </c>
      <c r="G1925" s="5">
        <v>246796</v>
      </c>
      <c r="H1925">
        <v>0</v>
      </c>
      <c r="I1925" s="1">
        <v>6.2626965813348638</v>
      </c>
    </row>
    <row r="1926" spans="1:9" x14ac:dyDescent="0.3">
      <c r="A1926" t="s">
        <v>37</v>
      </c>
      <c r="B1926">
        <v>2018</v>
      </c>
      <c r="C1926">
        <v>3</v>
      </c>
      <c r="D1926" t="s">
        <v>9</v>
      </c>
      <c r="E1926">
        <v>54885</v>
      </c>
      <c r="F1926" s="6">
        <v>12664922.724117381</v>
      </c>
      <c r="G1926" s="5">
        <v>352990</v>
      </c>
      <c r="H1926">
        <v>0</v>
      </c>
      <c r="I1926" s="1">
        <v>35.878984458815779</v>
      </c>
    </row>
    <row r="1927" spans="1:9" x14ac:dyDescent="0.3">
      <c r="A1927" t="s">
        <v>37</v>
      </c>
      <c r="B1927">
        <v>2018</v>
      </c>
      <c r="C1927">
        <v>3</v>
      </c>
      <c r="D1927" t="s">
        <v>10</v>
      </c>
      <c r="E1927">
        <v>33930</v>
      </c>
      <c r="F1927" s="6">
        <v>223964723.15160483</v>
      </c>
      <c r="G1927" s="5">
        <v>352990</v>
      </c>
      <c r="H1927">
        <v>0</v>
      </c>
      <c r="I1927" s="1">
        <v>634.47894600868244</v>
      </c>
    </row>
    <row r="1928" spans="1:9" x14ac:dyDescent="0.3">
      <c r="A1928" t="s">
        <v>37</v>
      </c>
      <c r="B1928">
        <v>2018</v>
      </c>
      <c r="C1928">
        <v>3</v>
      </c>
      <c r="D1928" t="s">
        <v>11</v>
      </c>
      <c r="E1928">
        <v>3518</v>
      </c>
      <c r="F1928" s="6">
        <v>3631042.2777308393</v>
      </c>
      <c r="G1928" s="5">
        <v>352990</v>
      </c>
      <c r="H1928">
        <v>0</v>
      </c>
      <c r="I1928" s="1">
        <v>10.286530150233263</v>
      </c>
    </row>
    <row r="1929" spans="1:9" x14ac:dyDescent="0.3">
      <c r="A1929" t="s">
        <v>37</v>
      </c>
      <c r="B1929">
        <v>2018</v>
      </c>
      <c r="C1929">
        <v>3</v>
      </c>
      <c r="D1929" t="s">
        <v>12</v>
      </c>
      <c r="E1929">
        <v>460</v>
      </c>
      <c r="F1929" s="6">
        <v>125171.61850935029</v>
      </c>
      <c r="G1929" s="5">
        <v>352990</v>
      </c>
      <c r="H1929">
        <v>0</v>
      </c>
      <c r="I1929" s="1">
        <v>0.35460386557508794</v>
      </c>
    </row>
    <row r="1930" spans="1:9" x14ac:dyDescent="0.3">
      <c r="A1930" t="s">
        <v>37</v>
      </c>
      <c r="B1930">
        <v>2018</v>
      </c>
      <c r="C1930">
        <v>3</v>
      </c>
      <c r="D1930" t="s">
        <v>13</v>
      </c>
      <c r="E1930">
        <v>1578</v>
      </c>
      <c r="F1930" s="6">
        <v>1406883.1646908007</v>
      </c>
      <c r="G1930" s="5">
        <v>352990</v>
      </c>
      <c r="H1930">
        <v>0</v>
      </c>
      <c r="I1930" s="1">
        <v>3.9856176228527742</v>
      </c>
    </row>
    <row r="1931" spans="1:9" x14ac:dyDescent="0.3">
      <c r="A1931" t="s">
        <v>37</v>
      </c>
      <c r="B1931">
        <v>2018</v>
      </c>
      <c r="C1931">
        <v>4</v>
      </c>
      <c r="D1931" t="s">
        <v>9</v>
      </c>
      <c r="E1931">
        <v>72881</v>
      </c>
      <c r="F1931" s="6">
        <v>16615511.42043031</v>
      </c>
      <c r="G1931" s="5">
        <v>472967</v>
      </c>
      <c r="H1931">
        <v>0</v>
      </c>
      <c r="I1931" s="1">
        <v>35.130382078306333</v>
      </c>
    </row>
    <row r="1932" spans="1:9" x14ac:dyDescent="0.3">
      <c r="A1932" t="s">
        <v>37</v>
      </c>
      <c r="B1932">
        <v>2018</v>
      </c>
      <c r="C1932">
        <v>4</v>
      </c>
      <c r="D1932" t="s">
        <v>10</v>
      </c>
      <c r="E1932">
        <v>53723</v>
      </c>
      <c r="F1932" s="6">
        <v>358926253.43094724</v>
      </c>
      <c r="G1932" s="5">
        <v>472967</v>
      </c>
      <c r="H1932">
        <v>0</v>
      </c>
      <c r="I1932" s="1">
        <v>758.88223370963988</v>
      </c>
    </row>
    <row r="1933" spans="1:9" x14ac:dyDescent="0.3">
      <c r="A1933" t="s">
        <v>37</v>
      </c>
      <c r="B1933">
        <v>2018</v>
      </c>
      <c r="C1933">
        <v>4</v>
      </c>
      <c r="D1933" t="s">
        <v>11</v>
      </c>
      <c r="E1933">
        <v>10350</v>
      </c>
      <c r="F1933" s="6">
        <v>10500634.794542974</v>
      </c>
      <c r="G1933" s="5">
        <v>472967</v>
      </c>
      <c r="H1933">
        <v>0</v>
      </c>
      <c r="I1933" s="1">
        <v>22.201622511809436</v>
      </c>
    </row>
    <row r="1934" spans="1:9" x14ac:dyDescent="0.3">
      <c r="A1934" t="s">
        <v>37</v>
      </c>
      <c r="B1934">
        <v>2018</v>
      </c>
      <c r="C1934">
        <v>4</v>
      </c>
      <c r="D1934" t="s">
        <v>12</v>
      </c>
      <c r="E1934">
        <v>587</v>
      </c>
      <c r="F1934" s="6">
        <v>216127.40846239947</v>
      </c>
      <c r="G1934" s="5">
        <v>472967</v>
      </c>
      <c r="H1934">
        <v>0</v>
      </c>
      <c r="I1934" s="1">
        <v>0.45696086294054228</v>
      </c>
    </row>
    <row r="1935" spans="1:9" x14ac:dyDescent="0.3">
      <c r="A1935" t="s">
        <v>37</v>
      </c>
      <c r="B1935">
        <v>2018</v>
      </c>
      <c r="C1935">
        <v>4</v>
      </c>
      <c r="D1935" t="s">
        <v>13</v>
      </c>
      <c r="E1935">
        <v>1792</v>
      </c>
      <c r="F1935" s="6">
        <v>1754940.4912408509</v>
      </c>
      <c r="G1935" s="5">
        <v>472967</v>
      </c>
      <c r="H1935">
        <v>0</v>
      </c>
      <c r="I1935" s="1">
        <v>3.7104924682712555</v>
      </c>
    </row>
    <row r="1936" spans="1:9" x14ac:dyDescent="0.3">
      <c r="A1936" t="s">
        <v>37</v>
      </c>
      <c r="B1936">
        <v>2019</v>
      </c>
      <c r="C1936">
        <v>1</v>
      </c>
      <c r="D1936" t="s">
        <v>9</v>
      </c>
      <c r="E1936">
        <v>87596</v>
      </c>
      <c r="F1936" s="6">
        <v>20020458.076388802</v>
      </c>
      <c r="G1936" s="5">
        <v>593021</v>
      </c>
      <c r="H1936">
        <v>0</v>
      </c>
      <c r="I1936" s="1">
        <v>33.760116549647989</v>
      </c>
    </row>
    <row r="1937" spans="1:9" x14ac:dyDescent="0.3">
      <c r="A1937" t="s">
        <v>37</v>
      </c>
      <c r="B1937">
        <v>2019</v>
      </c>
      <c r="C1937">
        <v>1</v>
      </c>
      <c r="D1937" t="s">
        <v>10</v>
      </c>
      <c r="E1937">
        <v>71642</v>
      </c>
      <c r="F1937" s="6">
        <v>411855878.24982238</v>
      </c>
      <c r="G1937" s="5">
        <v>593021</v>
      </c>
      <c r="H1937">
        <v>0</v>
      </c>
      <c r="I1937" s="1">
        <v>694.50471104703274</v>
      </c>
    </row>
    <row r="1938" spans="1:9" x14ac:dyDescent="0.3">
      <c r="A1938" t="s">
        <v>37</v>
      </c>
      <c r="B1938">
        <v>2019</v>
      </c>
      <c r="C1938">
        <v>1</v>
      </c>
      <c r="D1938" t="s">
        <v>11</v>
      </c>
      <c r="E1938">
        <v>7306</v>
      </c>
      <c r="F1938" s="6">
        <v>8187940.3220922127</v>
      </c>
      <c r="G1938" s="5">
        <v>593021</v>
      </c>
      <c r="H1938">
        <v>0</v>
      </c>
      <c r="I1938" s="1">
        <v>13.807167574322348</v>
      </c>
    </row>
    <row r="1939" spans="1:9" x14ac:dyDescent="0.3">
      <c r="A1939" t="s">
        <v>37</v>
      </c>
      <c r="B1939">
        <v>2019</v>
      </c>
      <c r="C1939">
        <v>1</v>
      </c>
      <c r="D1939" t="s">
        <v>12</v>
      </c>
      <c r="E1939">
        <v>430</v>
      </c>
      <c r="F1939" s="6">
        <v>101072.89773317604</v>
      </c>
      <c r="G1939" s="5">
        <v>593021</v>
      </c>
      <c r="H1939">
        <v>0</v>
      </c>
      <c r="I1939" s="1">
        <v>0.17043729940959265</v>
      </c>
    </row>
    <row r="1940" spans="1:9" x14ac:dyDescent="0.3">
      <c r="A1940" t="s">
        <v>37</v>
      </c>
      <c r="B1940">
        <v>2019</v>
      </c>
      <c r="C1940">
        <v>1</v>
      </c>
      <c r="D1940" t="s">
        <v>13</v>
      </c>
      <c r="E1940">
        <v>1605</v>
      </c>
      <c r="F1940" s="6">
        <v>1776362.8662935253</v>
      </c>
      <c r="G1940" s="5">
        <v>593021</v>
      </c>
      <c r="H1940">
        <v>0</v>
      </c>
      <c r="I1940" s="1">
        <v>2.9954468160377545</v>
      </c>
    </row>
    <row r="1941" spans="1:9" x14ac:dyDescent="0.3">
      <c r="A1941" t="s">
        <v>37</v>
      </c>
      <c r="B1941">
        <v>2019</v>
      </c>
      <c r="C1941">
        <v>2</v>
      </c>
      <c r="D1941" t="s">
        <v>9</v>
      </c>
      <c r="E1941">
        <v>92492</v>
      </c>
      <c r="F1941" s="6">
        <v>21350211.077814259</v>
      </c>
      <c r="G1941" s="5">
        <v>735801</v>
      </c>
      <c r="H1941">
        <v>3987467</v>
      </c>
      <c r="I1941" s="1">
        <v>29.016284400013397</v>
      </c>
    </row>
    <row r="1942" spans="1:9" x14ac:dyDescent="0.3">
      <c r="A1942" t="s">
        <v>37</v>
      </c>
      <c r="B1942">
        <v>2019</v>
      </c>
      <c r="C1942">
        <v>2</v>
      </c>
      <c r="D1942" t="s">
        <v>10</v>
      </c>
      <c r="E1942">
        <v>81065</v>
      </c>
      <c r="F1942" s="6">
        <v>487705354.46570444</v>
      </c>
      <c r="G1942" s="5">
        <v>735801</v>
      </c>
      <c r="H1942">
        <v>3987467</v>
      </c>
      <c r="I1942" s="1">
        <v>662.82235885205978</v>
      </c>
    </row>
    <row r="1943" spans="1:9" x14ac:dyDescent="0.3">
      <c r="A1943" t="s">
        <v>37</v>
      </c>
      <c r="B1943">
        <v>2019</v>
      </c>
      <c r="C1943">
        <v>2</v>
      </c>
      <c r="D1943" t="s">
        <v>11</v>
      </c>
      <c r="E1943">
        <v>12949</v>
      </c>
      <c r="F1943" s="6">
        <v>8990954.079767609</v>
      </c>
      <c r="G1943" s="5">
        <v>735801</v>
      </c>
      <c r="H1943">
        <v>3987467</v>
      </c>
      <c r="I1943" s="1">
        <v>12.219274069711252</v>
      </c>
    </row>
    <row r="1944" spans="1:9" x14ac:dyDescent="0.3">
      <c r="A1944" t="s">
        <v>37</v>
      </c>
      <c r="B1944">
        <v>2019</v>
      </c>
      <c r="C1944">
        <v>2</v>
      </c>
      <c r="D1944" t="s">
        <v>12</v>
      </c>
      <c r="E1944">
        <v>286</v>
      </c>
      <c r="F1944" s="6">
        <v>129758.00259777348</v>
      </c>
      <c r="G1944" s="5">
        <v>735801</v>
      </c>
      <c r="H1944">
        <v>3987467</v>
      </c>
      <c r="I1944" s="1">
        <v>0.1763493153689292</v>
      </c>
    </row>
    <row r="1945" spans="1:9" x14ac:dyDescent="0.3">
      <c r="A1945" t="s">
        <v>37</v>
      </c>
      <c r="B1945">
        <v>2019</v>
      </c>
      <c r="C1945">
        <v>2</v>
      </c>
      <c r="D1945" t="s">
        <v>13</v>
      </c>
      <c r="E1945">
        <v>1961</v>
      </c>
      <c r="F1945" s="6">
        <v>1890404.5326202572</v>
      </c>
      <c r="G1945" s="5">
        <v>735801</v>
      </c>
      <c r="H1945">
        <v>3987467</v>
      </c>
      <c r="I1945" s="1">
        <v>2.569179075076355</v>
      </c>
    </row>
    <row r="1946" spans="1:9" x14ac:dyDescent="0.3">
      <c r="A1946" t="s">
        <v>37</v>
      </c>
      <c r="B1946">
        <v>2019</v>
      </c>
      <c r="C1946">
        <v>3</v>
      </c>
      <c r="D1946" t="s">
        <v>9</v>
      </c>
      <c r="E1946">
        <v>145812</v>
      </c>
      <c r="F1946" s="6">
        <v>33293527.932100531</v>
      </c>
      <c r="G1946" s="5">
        <v>880847</v>
      </c>
      <c r="H1946">
        <v>13684242</v>
      </c>
      <c r="I1946" s="1">
        <v>37.797174687659187</v>
      </c>
    </row>
    <row r="1947" spans="1:9" x14ac:dyDescent="0.3">
      <c r="A1947" t="s">
        <v>37</v>
      </c>
      <c r="B1947">
        <v>2019</v>
      </c>
      <c r="C1947">
        <v>3</v>
      </c>
      <c r="D1947" t="s">
        <v>10</v>
      </c>
      <c r="E1947">
        <v>100736</v>
      </c>
      <c r="F1947" s="6">
        <v>601803135.4703114</v>
      </c>
      <c r="G1947" s="5">
        <v>880847</v>
      </c>
      <c r="H1947">
        <v>13684242</v>
      </c>
      <c r="I1947" s="1">
        <v>683.20961014831335</v>
      </c>
    </row>
    <row r="1948" spans="1:9" x14ac:dyDescent="0.3">
      <c r="A1948" t="s">
        <v>37</v>
      </c>
      <c r="B1948">
        <v>2019</v>
      </c>
      <c r="C1948">
        <v>3</v>
      </c>
      <c r="D1948" t="s">
        <v>11</v>
      </c>
      <c r="E1948">
        <v>13031</v>
      </c>
      <c r="F1948" s="6">
        <v>13381591.199777838</v>
      </c>
      <c r="G1948" s="5">
        <v>880847</v>
      </c>
      <c r="H1948">
        <v>13684242</v>
      </c>
      <c r="I1948" s="1">
        <v>15.19173159445152</v>
      </c>
    </row>
    <row r="1949" spans="1:9" x14ac:dyDescent="0.3">
      <c r="A1949" t="s">
        <v>37</v>
      </c>
      <c r="B1949">
        <v>2019</v>
      </c>
      <c r="C1949">
        <v>3</v>
      </c>
      <c r="D1949" t="s">
        <v>12</v>
      </c>
      <c r="E1949">
        <v>210</v>
      </c>
      <c r="F1949" s="6">
        <v>229319.84921986386</v>
      </c>
      <c r="G1949" s="5">
        <v>880847</v>
      </c>
      <c r="H1949">
        <v>13684242</v>
      </c>
      <c r="I1949" s="1">
        <v>0.26034016034551272</v>
      </c>
    </row>
    <row r="1950" spans="1:9" x14ac:dyDescent="0.3">
      <c r="A1950" t="s">
        <v>37</v>
      </c>
      <c r="B1950">
        <v>2019</v>
      </c>
      <c r="C1950">
        <v>3</v>
      </c>
      <c r="D1950" t="s">
        <v>13</v>
      </c>
      <c r="E1950">
        <v>2089</v>
      </c>
      <c r="F1950" s="6">
        <v>2248897.2620018576</v>
      </c>
      <c r="G1950" s="5">
        <v>880847</v>
      </c>
      <c r="H1950">
        <v>13684242</v>
      </c>
      <c r="I1950" s="1">
        <v>2.5531077042912762</v>
      </c>
    </row>
    <row r="1951" spans="1:9" x14ac:dyDescent="0.3">
      <c r="A1951" t="s">
        <v>37</v>
      </c>
      <c r="B1951">
        <v>2019</v>
      </c>
      <c r="C1951">
        <v>4</v>
      </c>
      <c r="D1951" t="s">
        <v>9</v>
      </c>
      <c r="E1951">
        <v>172761</v>
      </c>
      <c r="F1951" s="6">
        <v>39720745.597670965</v>
      </c>
      <c r="G1951" s="5">
        <v>1024364</v>
      </c>
      <c r="H1951">
        <v>16000061</v>
      </c>
      <c r="I1951" s="1">
        <v>38.776006964000068</v>
      </c>
    </row>
    <row r="1952" spans="1:9" x14ac:dyDescent="0.3">
      <c r="A1952" t="s">
        <v>37</v>
      </c>
      <c r="B1952">
        <v>2019</v>
      </c>
      <c r="C1952">
        <v>4</v>
      </c>
      <c r="D1952" t="s">
        <v>10</v>
      </c>
      <c r="E1952">
        <v>128674</v>
      </c>
      <c r="F1952" s="6">
        <v>777298578.6127516</v>
      </c>
      <c r="G1952" s="5">
        <v>1024364</v>
      </c>
      <c r="H1952">
        <v>16000061</v>
      </c>
      <c r="I1952" s="1">
        <v>758.81090961098948</v>
      </c>
    </row>
    <row r="1953" spans="1:9" x14ac:dyDescent="0.3">
      <c r="A1953" t="s">
        <v>37</v>
      </c>
      <c r="B1953">
        <v>2019</v>
      </c>
      <c r="C1953">
        <v>4</v>
      </c>
      <c r="D1953" t="s">
        <v>11</v>
      </c>
      <c r="E1953">
        <v>13578</v>
      </c>
      <c r="F1953" s="6">
        <v>15460907.228900284</v>
      </c>
      <c r="G1953" s="5">
        <v>1024364</v>
      </c>
      <c r="H1953">
        <v>16000061</v>
      </c>
      <c r="I1953" s="1">
        <v>15.093177062938842</v>
      </c>
    </row>
    <row r="1954" spans="1:9" x14ac:dyDescent="0.3">
      <c r="A1954" t="s">
        <v>37</v>
      </c>
      <c r="B1954">
        <v>2019</v>
      </c>
      <c r="C1954">
        <v>4</v>
      </c>
      <c r="D1954" t="s">
        <v>12</v>
      </c>
      <c r="E1954">
        <v>499</v>
      </c>
      <c r="F1954" s="6">
        <v>283291.77408421872</v>
      </c>
      <c r="G1954" s="5">
        <v>1024364</v>
      </c>
      <c r="H1954">
        <v>16000061</v>
      </c>
      <c r="I1954" s="1">
        <v>0.27655381688952241</v>
      </c>
    </row>
    <row r="1955" spans="1:9" x14ac:dyDescent="0.3">
      <c r="A1955" t="s">
        <v>37</v>
      </c>
      <c r="B1955">
        <v>2019</v>
      </c>
      <c r="C1955">
        <v>4</v>
      </c>
      <c r="D1955" t="s">
        <v>13</v>
      </c>
      <c r="E1955">
        <v>1658</v>
      </c>
      <c r="F1955" s="6">
        <v>1773615.1353679793</v>
      </c>
      <c r="G1955" s="5">
        <v>1024364</v>
      </c>
      <c r="H1955">
        <v>16000061</v>
      </c>
      <c r="I1955" s="1">
        <v>1.7314305611754994</v>
      </c>
    </row>
    <row r="1956" spans="1:9" x14ac:dyDescent="0.3">
      <c r="A1956" t="s">
        <v>37</v>
      </c>
      <c r="B1956">
        <v>2020</v>
      </c>
      <c r="C1956">
        <v>1</v>
      </c>
      <c r="D1956" t="s">
        <v>9</v>
      </c>
      <c r="E1956">
        <v>221741</v>
      </c>
      <c r="F1956" s="6">
        <v>53662023.320165433</v>
      </c>
      <c r="G1956" s="5">
        <v>1178573</v>
      </c>
      <c r="H1956">
        <v>18529720</v>
      </c>
      <c r="I1956" s="1">
        <v>45.531353017730282</v>
      </c>
    </row>
    <row r="1957" spans="1:9" x14ac:dyDescent="0.3">
      <c r="A1957" t="s">
        <v>37</v>
      </c>
      <c r="B1957">
        <v>2020</v>
      </c>
      <c r="C1957">
        <v>1</v>
      </c>
      <c r="D1957" t="s">
        <v>10</v>
      </c>
      <c r="E1957">
        <v>135966</v>
      </c>
      <c r="F1957" s="6">
        <v>821508819.58939075</v>
      </c>
      <c r="G1957" s="5">
        <v>1178573</v>
      </c>
      <c r="H1957">
        <v>18529720</v>
      </c>
      <c r="I1957" s="1">
        <v>697.03685693579507</v>
      </c>
    </row>
    <row r="1958" spans="1:9" x14ac:dyDescent="0.3">
      <c r="A1958" t="s">
        <v>37</v>
      </c>
      <c r="B1958">
        <v>2020</v>
      </c>
      <c r="C1958">
        <v>1</v>
      </c>
      <c r="D1958" t="s">
        <v>11</v>
      </c>
      <c r="E1958">
        <v>18249</v>
      </c>
      <c r="F1958" s="6">
        <v>17663339.369894989</v>
      </c>
      <c r="G1958" s="5">
        <v>1178573</v>
      </c>
      <c r="H1958">
        <v>18529720</v>
      </c>
      <c r="I1958" s="1">
        <v>14.987055846260681</v>
      </c>
    </row>
    <row r="1959" spans="1:9" x14ac:dyDescent="0.3">
      <c r="A1959" t="s">
        <v>37</v>
      </c>
      <c r="B1959">
        <v>2020</v>
      </c>
      <c r="C1959">
        <v>1</v>
      </c>
      <c r="D1959" t="s">
        <v>12</v>
      </c>
      <c r="E1959">
        <v>528</v>
      </c>
      <c r="F1959" s="6">
        <v>215066.78349539996</v>
      </c>
      <c r="G1959" s="5">
        <v>1178573</v>
      </c>
      <c r="H1959">
        <v>18529720</v>
      </c>
      <c r="I1959" s="1">
        <v>0.18248066390066628</v>
      </c>
    </row>
    <row r="1960" spans="1:9" x14ac:dyDescent="0.3">
      <c r="A1960" t="s">
        <v>37</v>
      </c>
      <c r="B1960">
        <v>2020</v>
      </c>
      <c r="C1960">
        <v>1</v>
      </c>
      <c r="D1960" t="s">
        <v>13</v>
      </c>
      <c r="E1960">
        <v>1567</v>
      </c>
      <c r="F1960" s="6">
        <v>1730779.6714233835</v>
      </c>
      <c r="G1960" s="5">
        <v>1178573</v>
      </c>
      <c r="H1960">
        <v>18529720</v>
      </c>
      <c r="I1960" s="1">
        <v>1.4685383692171665</v>
      </c>
    </row>
    <row r="1961" spans="1:9" x14ac:dyDescent="0.3">
      <c r="A1961" t="s">
        <v>37</v>
      </c>
      <c r="B1961">
        <v>2020</v>
      </c>
      <c r="C1961">
        <v>2</v>
      </c>
      <c r="D1961" t="s">
        <v>9</v>
      </c>
      <c r="E1961">
        <v>328269</v>
      </c>
      <c r="F1961" s="6">
        <v>85264116.117793739</v>
      </c>
      <c r="G1961" s="5">
        <v>1432255</v>
      </c>
      <c r="H1961">
        <v>23312069</v>
      </c>
      <c r="I1961" s="1">
        <v>59.531379620105177</v>
      </c>
    </row>
    <row r="1962" spans="1:9" x14ac:dyDescent="0.3">
      <c r="A1962" t="s">
        <v>37</v>
      </c>
      <c r="B1962">
        <v>2020</v>
      </c>
      <c r="C1962">
        <v>2</v>
      </c>
      <c r="D1962" t="s">
        <v>10</v>
      </c>
      <c r="E1962">
        <v>166866</v>
      </c>
      <c r="F1962" s="6">
        <v>1025000209.9574311</v>
      </c>
      <c r="G1962" s="5">
        <v>1432255</v>
      </c>
      <c r="H1962">
        <v>23312069</v>
      </c>
      <c r="I1962" s="1">
        <v>715.65483098849791</v>
      </c>
    </row>
    <row r="1963" spans="1:9" x14ac:dyDescent="0.3">
      <c r="A1963" t="s">
        <v>37</v>
      </c>
      <c r="B1963">
        <v>2020</v>
      </c>
      <c r="C1963">
        <v>2</v>
      </c>
      <c r="D1963" t="s">
        <v>11</v>
      </c>
      <c r="E1963">
        <v>20004</v>
      </c>
      <c r="F1963" s="6">
        <v>25214703.910237495</v>
      </c>
      <c r="G1963" s="5">
        <v>1432255</v>
      </c>
      <c r="H1963">
        <v>23312069</v>
      </c>
      <c r="I1963" s="1">
        <v>17.604898506367579</v>
      </c>
    </row>
    <row r="1964" spans="1:9" x14ac:dyDescent="0.3">
      <c r="A1964" t="s">
        <v>37</v>
      </c>
      <c r="B1964">
        <v>2020</v>
      </c>
      <c r="C1964">
        <v>2</v>
      </c>
      <c r="D1964" t="s">
        <v>12</v>
      </c>
      <c r="E1964">
        <v>860</v>
      </c>
      <c r="F1964" s="6">
        <v>989239.96719383122</v>
      </c>
      <c r="G1964" s="5">
        <v>1432255</v>
      </c>
      <c r="H1964">
        <v>23312069</v>
      </c>
      <c r="I1964" s="1">
        <v>0.69068704050174812</v>
      </c>
    </row>
    <row r="1965" spans="1:9" x14ac:dyDescent="0.3">
      <c r="A1965" t="s">
        <v>37</v>
      </c>
      <c r="B1965">
        <v>2020</v>
      </c>
      <c r="C1965">
        <v>2</v>
      </c>
      <c r="D1965" t="s">
        <v>13</v>
      </c>
      <c r="E1965">
        <v>1567</v>
      </c>
      <c r="F1965" s="6">
        <v>1206234.3951445608</v>
      </c>
      <c r="G1965" s="5">
        <v>1432255</v>
      </c>
      <c r="H1965">
        <v>23312069</v>
      </c>
      <c r="I1965" s="1">
        <v>0.8421924832830473</v>
      </c>
    </row>
    <row r="1966" spans="1:9" x14ac:dyDescent="0.3">
      <c r="A1966" t="s">
        <v>37</v>
      </c>
      <c r="B1966">
        <v>2020</v>
      </c>
      <c r="C1966">
        <v>3</v>
      </c>
      <c r="D1966" t="s">
        <v>9</v>
      </c>
      <c r="E1966">
        <v>347494</v>
      </c>
      <c r="F1966" s="6">
        <v>91214897.187445223</v>
      </c>
      <c r="G1966" s="5">
        <v>1904166</v>
      </c>
      <c r="H1966">
        <v>31555062</v>
      </c>
      <c r="I1966" s="1">
        <v>47.902807416709059</v>
      </c>
    </row>
    <row r="1967" spans="1:9" x14ac:dyDescent="0.3">
      <c r="A1967" t="s">
        <v>37</v>
      </c>
      <c r="B1967">
        <v>2020</v>
      </c>
      <c r="C1967">
        <v>3</v>
      </c>
      <c r="D1967" t="s">
        <v>10</v>
      </c>
      <c r="E1967">
        <v>330638</v>
      </c>
      <c r="F1967" s="6">
        <v>1851638119.5398221</v>
      </c>
      <c r="G1967" s="5">
        <v>1904166</v>
      </c>
      <c r="H1967">
        <v>31555062</v>
      </c>
      <c r="I1967" s="1">
        <v>972.41423255106019</v>
      </c>
    </row>
    <row r="1968" spans="1:9" x14ac:dyDescent="0.3">
      <c r="A1968" t="s">
        <v>37</v>
      </c>
      <c r="B1968">
        <v>2020</v>
      </c>
      <c r="C1968">
        <v>3</v>
      </c>
      <c r="D1968" t="s">
        <v>11</v>
      </c>
      <c r="E1968">
        <v>51912</v>
      </c>
      <c r="F1968" s="6">
        <v>62568884.132165708</v>
      </c>
      <c r="G1968" s="5">
        <v>1904166</v>
      </c>
      <c r="H1968">
        <v>31555062</v>
      </c>
      <c r="I1968" s="1">
        <v>32.858944090045568</v>
      </c>
    </row>
    <row r="1969" spans="1:9" x14ac:dyDescent="0.3">
      <c r="A1969" t="s">
        <v>37</v>
      </c>
      <c r="B1969">
        <v>2020</v>
      </c>
      <c r="C1969">
        <v>3</v>
      </c>
      <c r="D1969" t="s">
        <v>12</v>
      </c>
      <c r="E1969">
        <v>2544</v>
      </c>
      <c r="F1969" s="6">
        <v>2136903.0242114514</v>
      </c>
      <c r="G1969" s="5">
        <v>1904166</v>
      </c>
      <c r="H1969">
        <v>31555062</v>
      </c>
      <c r="I1969" s="1">
        <v>1.122225175857279</v>
      </c>
    </row>
    <row r="1970" spans="1:9" x14ac:dyDescent="0.3">
      <c r="A1970" t="s">
        <v>37</v>
      </c>
      <c r="B1970">
        <v>2020</v>
      </c>
      <c r="C1970">
        <v>3</v>
      </c>
      <c r="D1970" t="s">
        <v>13</v>
      </c>
      <c r="E1970">
        <v>3731</v>
      </c>
      <c r="F1970" s="6">
        <v>2090339.2711506593</v>
      </c>
      <c r="G1970" s="5">
        <v>1904166</v>
      </c>
      <c r="H1970">
        <v>31555062</v>
      </c>
      <c r="I1970" s="1">
        <v>1.0977715551851357</v>
      </c>
    </row>
    <row r="1971" spans="1:9" x14ac:dyDescent="0.3">
      <c r="A1971" t="s">
        <v>37</v>
      </c>
      <c r="B1971">
        <v>2020</v>
      </c>
      <c r="C1971">
        <v>4</v>
      </c>
      <c r="D1971" t="s">
        <v>10</v>
      </c>
      <c r="E1971">
        <v>417393</v>
      </c>
      <c r="F1971" s="6">
        <v>2563827858.0487146</v>
      </c>
      <c r="G1971" s="5">
        <v>2114068</v>
      </c>
      <c r="H1971">
        <v>32143331</v>
      </c>
      <c r="I1971" s="1">
        <v>1212.7461642902285</v>
      </c>
    </row>
    <row r="1972" spans="1:9" x14ac:dyDescent="0.3">
      <c r="A1972" t="s">
        <v>37</v>
      </c>
      <c r="B1972">
        <v>2020</v>
      </c>
      <c r="C1972">
        <v>4</v>
      </c>
      <c r="D1972" t="s">
        <v>9</v>
      </c>
      <c r="E1972">
        <v>335297</v>
      </c>
      <c r="F1972" s="6">
        <v>91929581.877302676</v>
      </c>
      <c r="G1972" s="5">
        <v>2114068</v>
      </c>
      <c r="H1972">
        <v>32143331</v>
      </c>
      <c r="I1972" s="1">
        <v>43.484685392003797</v>
      </c>
    </row>
    <row r="1973" spans="1:9" x14ac:dyDescent="0.3">
      <c r="A1973" t="s">
        <v>37</v>
      </c>
      <c r="B1973">
        <v>2020</v>
      </c>
      <c r="C1973">
        <v>4</v>
      </c>
      <c r="D1973" t="s">
        <v>11</v>
      </c>
      <c r="E1973">
        <v>90496</v>
      </c>
      <c r="F1973" s="6">
        <v>113115660.17405558</v>
      </c>
      <c r="G1973" s="5">
        <v>2114068</v>
      </c>
      <c r="H1973">
        <v>32143331</v>
      </c>
      <c r="I1973" s="1">
        <v>53.506159770667537</v>
      </c>
    </row>
    <row r="1974" spans="1:9" x14ac:dyDescent="0.3">
      <c r="A1974" t="s">
        <v>37</v>
      </c>
      <c r="B1974">
        <v>2020</v>
      </c>
      <c r="C1974">
        <v>4</v>
      </c>
      <c r="D1974" t="s">
        <v>12</v>
      </c>
      <c r="E1974">
        <v>1068</v>
      </c>
      <c r="F1974" s="6">
        <v>1017278.309874404</v>
      </c>
      <c r="G1974" s="5">
        <v>2114068</v>
      </c>
      <c r="H1974">
        <v>32143331</v>
      </c>
      <c r="I1974" s="1">
        <v>0.48119469661070696</v>
      </c>
    </row>
    <row r="1975" spans="1:9" x14ac:dyDescent="0.3">
      <c r="A1975" t="s">
        <v>37</v>
      </c>
      <c r="B1975">
        <v>2020</v>
      </c>
      <c r="C1975">
        <v>4</v>
      </c>
      <c r="D1975" t="s">
        <v>13</v>
      </c>
      <c r="E1975">
        <v>3571</v>
      </c>
      <c r="F1975" s="6">
        <v>3194492.1527384534</v>
      </c>
      <c r="G1975" s="5">
        <v>2114068</v>
      </c>
      <c r="H1975">
        <v>32143331</v>
      </c>
      <c r="I1975" s="1">
        <v>1.5110640493770557</v>
      </c>
    </row>
    <row r="1976" spans="1:9" x14ac:dyDescent="0.3">
      <c r="A1976" t="s">
        <v>37</v>
      </c>
      <c r="B1976">
        <v>2021</v>
      </c>
      <c r="C1976">
        <v>1</v>
      </c>
      <c r="D1976" t="s">
        <v>10</v>
      </c>
      <c r="E1976">
        <v>477346</v>
      </c>
      <c r="F1976" s="6">
        <v>2841021698.4844904</v>
      </c>
      <c r="G1976" s="5">
        <v>2285888</v>
      </c>
      <c r="H1976">
        <v>32786391</v>
      </c>
      <c r="I1976" s="1">
        <v>1242.8525362942062</v>
      </c>
    </row>
    <row r="1977" spans="1:9" x14ac:dyDescent="0.3">
      <c r="A1977" t="s">
        <v>37</v>
      </c>
      <c r="B1977">
        <v>2021</v>
      </c>
      <c r="C1977">
        <v>1</v>
      </c>
      <c r="D1977" t="s">
        <v>9</v>
      </c>
      <c r="E1977">
        <v>376473</v>
      </c>
      <c r="F1977" s="6">
        <v>110095189.59316181</v>
      </c>
      <c r="G1977" s="5">
        <v>2285888</v>
      </c>
      <c r="H1977">
        <v>32786391</v>
      </c>
      <c r="I1977" s="1">
        <v>48.162985060143718</v>
      </c>
    </row>
    <row r="1978" spans="1:9" x14ac:dyDescent="0.3">
      <c r="A1978" t="s">
        <v>37</v>
      </c>
      <c r="B1978">
        <v>2021</v>
      </c>
      <c r="C1978">
        <v>1</v>
      </c>
      <c r="D1978" t="s">
        <v>11</v>
      </c>
      <c r="E1978">
        <v>116846</v>
      </c>
      <c r="F1978" s="6">
        <v>151202427.14605337</v>
      </c>
      <c r="G1978" s="5">
        <v>2285888</v>
      </c>
      <c r="H1978">
        <v>32786391</v>
      </c>
      <c r="I1978" s="1">
        <v>66.146034777755247</v>
      </c>
    </row>
    <row r="1979" spans="1:9" x14ac:dyDescent="0.3">
      <c r="A1979" t="s">
        <v>37</v>
      </c>
      <c r="B1979">
        <v>2021</v>
      </c>
      <c r="C1979">
        <v>1</v>
      </c>
      <c r="D1979" t="s">
        <v>12</v>
      </c>
      <c r="E1979">
        <v>1511</v>
      </c>
      <c r="F1979" s="6">
        <v>1929643.694251965</v>
      </c>
      <c r="G1979" s="5">
        <v>2285888</v>
      </c>
      <c r="H1979">
        <v>32786391</v>
      </c>
      <c r="I1979" s="1">
        <v>0.8441549604582399</v>
      </c>
    </row>
    <row r="1980" spans="1:9" x14ac:dyDescent="0.3">
      <c r="A1980" t="s">
        <v>37</v>
      </c>
      <c r="B1980">
        <v>2021</v>
      </c>
      <c r="C1980">
        <v>1</v>
      </c>
      <c r="D1980" t="s">
        <v>13</v>
      </c>
      <c r="E1980">
        <v>3721</v>
      </c>
      <c r="F1980" s="6">
        <v>3201525.6952415062</v>
      </c>
      <c r="G1980" s="5">
        <v>2285888</v>
      </c>
      <c r="H1980">
        <v>32786391</v>
      </c>
      <c r="I1980" s="1">
        <v>1.4005610490284328</v>
      </c>
    </row>
    <row r="1981" spans="1:9" x14ac:dyDescent="0.3">
      <c r="A1981" t="s">
        <v>37</v>
      </c>
      <c r="B1981">
        <v>2021</v>
      </c>
      <c r="C1981">
        <v>2</v>
      </c>
      <c r="D1981" t="s">
        <v>10</v>
      </c>
      <c r="E1981">
        <v>526966</v>
      </c>
      <c r="F1981" s="6">
        <v>2847731457.5714788</v>
      </c>
      <c r="G1981" s="5">
        <v>2456707</v>
      </c>
      <c r="H1981">
        <v>73885812</v>
      </c>
      <c r="I1981" s="1">
        <v>1159.1660941135751</v>
      </c>
    </row>
    <row r="1982" spans="1:9" x14ac:dyDescent="0.3">
      <c r="A1982" t="s">
        <v>37</v>
      </c>
      <c r="B1982">
        <v>2021</v>
      </c>
      <c r="C1982">
        <v>2</v>
      </c>
      <c r="D1982" t="s">
        <v>9</v>
      </c>
      <c r="E1982">
        <v>453979</v>
      </c>
      <c r="F1982" s="6">
        <v>126962524.74536937</v>
      </c>
      <c r="G1982" s="5">
        <v>2456707</v>
      </c>
      <c r="H1982">
        <v>73885812</v>
      </c>
      <c r="I1982" s="1">
        <v>51.679962138492449</v>
      </c>
    </row>
    <row r="1983" spans="1:9" x14ac:dyDescent="0.3">
      <c r="A1983" t="s">
        <v>37</v>
      </c>
      <c r="B1983">
        <v>2021</v>
      </c>
      <c r="C1983">
        <v>2</v>
      </c>
      <c r="D1983" t="s">
        <v>11</v>
      </c>
      <c r="E1983">
        <v>144413</v>
      </c>
      <c r="F1983" s="6">
        <v>176831583.13676447</v>
      </c>
      <c r="G1983" s="5">
        <v>2456707</v>
      </c>
      <c r="H1983">
        <v>73885812</v>
      </c>
      <c r="I1983" s="1">
        <v>71.979109896607312</v>
      </c>
    </row>
    <row r="1984" spans="1:9" x14ac:dyDescent="0.3">
      <c r="A1984" t="s">
        <v>37</v>
      </c>
      <c r="B1984">
        <v>2021</v>
      </c>
      <c r="C1984">
        <v>2</v>
      </c>
      <c r="D1984" t="s">
        <v>12</v>
      </c>
      <c r="E1984">
        <v>1624</v>
      </c>
      <c r="F1984" s="6">
        <v>1785915.6371230448</v>
      </c>
      <c r="G1984" s="5">
        <v>2456707</v>
      </c>
      <c r="H1984">
        <v>73885812</v>
      </c>
      <c r="I1984" s="1">
        <v>0.72695508138457077</v>
      </c>
    </row>
    <row r="1985" spans="1:9" x14ac:dyDescent="0.3">
      <c r="A1985" t="s">
        <v>37</v>
      </c>
      <c r="B1985">
        <v>2021</v>
      </c>
      <c r="C1985">
        <v>2</v>
      </c>
      <c r="D1985" t="s">
        <v>13</v>
      </c>
      <c r="E1985">
        <v>3809</v>
      </c>
      <c r="F1985" s="6">
        <v>2982482.691132756</v>
      </c>
      <c r="G1985" s="5">
        <v>2456707</v>
      </c>
      <c r="H1985">
        <v>73885812</v>
      </c>
      <c r="I1985" s="1">
        <v>1.2140164419821964</v>
      </c>
    </row>
    <row r="1986" spans="1:9" x14ac:dyDescent="0.3">
      <c r="A1986" t="s">
        <v>37</v>
      </c>
      <c r="B1986">
        <v>2021</v>
      </c>
      <c r="C1986">
        <v>3</v>
      </c>
      <c r="D1986" t="s">
        <v>10</v>
      </c>
      <c r="E1986">
        <v>667633</v>
      </c>
      <c r="F1986" s="6">
        <v>3536780176.7792263</v>
      </c>
      <c r="G1986" s="5">
        <v>2659767</v>
      </c>
      <c r="H1986">
        <v>95281901</v>
      </c>
      <c r="I1986" s="1">
        <v>1329.7330844315409</v>
      </c>
    </row>
    <row r="1987" spans="1:9" x14ac:dyDescent="0.3">
      <c r="A1987" t="s">
        <v>37</v>
      </c>
      <c r="B1987">
        <v>2021</v>
      </c>
      <c r="C1987">
        <v>3</v>
      </c>
      <c r="D1987" t="s">
        <v>9</v>
      </c>
      <c r="E1987">
        <v>474693</v>
      </c>
      <c r="F1987" s="6">
        <v>141172028.23897478</v>
      </c>
      <c r="G1987" s="5">
        <v>2659767</v>
      </c>
      <c r="H1987">
        <v>95281901</v>
      </c>
      <c r="I1987" s="1">
        <v>53.076840279233025</v>
      </c>
    </row>
    <row r="1988" spans="1:9" x14ac:dyDescent="0.3">
      <c r="A1988" t="s">
        <v>37</v>
      </c>
      <c r="B1988">
        <v>2021</v>
      </c>
      <c r="C1988">
        <v>3</v>
      </c>
      <c r="D1988" t="s">
        <v>11</v>
      </c>
      <c r="E1988">
        <v>208387</v>
      </c>
      <c r="F1988" s="6">
        <v>304493279.81583571</v>
      </c>
      <c r="G1988" s="5">
        <v>2659767</v>
      </c>
      <c r="H1988">
        <v>95281901</v>
      </c>
      <c r="I1988" s="1">
        <v>114.48118568875985</v>
      </c>
    </row>
    <row r="1989" spans="1:9" x14ac:dyDescent="0.3">
      <c r="A1989" t="s">
        <v>37</v>
      </c>
      <c r="B1989">
        <v>2021</v>
      </c>
      <c r="C1989">
        <v>3</v>
      </c>
      <c r="D1989" t="s">
        <v>12</v>
      </c>
      <c r="E1989">
        <v>1437</v>
      </c>
      <c r="F1989" s="6">
        <v>1634878.888862805</v>
      </c>
      <c r="G1989" s="5">
        <v>2659767</v>
      </c>
      <c r="H1989">
        <v>95281901</v>
      </c>
      <c r="I1989" s="1">
        <v>0.6146699650243066</v>
      </c>
    </row>
    <row r="1990" spans="1:9" x14ac:dyDescent="0.3">
      <c r="A1990" t="s">
        <v>37</v>
      </c>
      <c r="B1990">
        <v>2021</v>
      </c>
      <c r="C1990">
        <v>3</v>
      </c>
      <c r="D1990" t="s">
        <v>13</v>
      </c>
      <c r="E1990">
        <v>4642</v>
      </c>
      <c r="F1990" s="6">
        <v>3336484.2825483214</v>
      </c>
      <c r="G1990" s="5">
        <v>2659767</v>
      </c>
      <c r="H1990">
        <v>95281901</v>
      </c>
      <c r="I1990" s="1">
        <v>1.2544272797385341</v>
      </c>
    </row>
    <row r="1991" spans="1:9" x14ac:dyDescent="0.3">
      <c r="A1991" t="s">
        <v>37</v>
      </c>
      <c r="B1991">
        <v>2021</v>
      </c>
      <c r="C1991">
        <v>4</v>
      </c>
      <c r="D1991" t="s">
        <v>10</v>
      </c>
      <c r="E1991">
        <v>819452</v>
      </c>
      <c r="F1991" s="6">
        <v>4335295237.9809065</v>
      </c>
      <c r="G1991" s="5">
        <v>2859890</v>
      </c>
      <c r="H1991">
        <v>70216707</v>
      </c>
      <c r="I1991" s="1">
        <v>1515.8957994821153</v>
      </c>
    </row>
    <row r="1992" spans="1:9" x14ac:dyDescent="0.3">
      <c r="A1992" t="s">
        <v>37</v>
      </c>
      <c r="B1992">
        <v>2021</v>
      </c>
      <c r="C1992">
        <v>4</v>
      </c>
      <c r="D1992" t="s">
        <v>9</v>
      </c>
      <c r="E1992">
        <v>492411</v>
      </c>
      <c r="F1992" s="6">
        <v>154359432.07659015</v>
      </c>
      <c r="G1992" s="5">
        <v>2859890</v>
      </c>
      <c r="H1992">
        <v>70216707</v>
      </c>
      <c r="I1992" s="1">
        <v>53.973905316844409</v>
      </c>
    </row>
    <row r="1993" spans="1:9" x14ac:dyDescent="0.3">
      <c r="A1993" t="s">
        <v>37</v>
      </c>
      <c r="B1993">
        <v>2021</v>
      </c>
      <c r="C1993">
        <v>4</v>
      </c>
      <c r="D1993" t="s">
        <v>11</v>
      </c>
      <c r="E1993">
        <v>311673</v>
      </c>
      <c r="F1993" s="6">
        <v>442578210.0882374</v>
      </c>
      <c r="G1993" s="5">
        <v>2859890</v>
      </c>
      <c r="H1993">
        <v>70216707</v>
      </c>
      <c r="I1993" s="1">
        <v>154.75357796566911</v>
      </c>
    </row>
    <row r="1994" spans="1:9" x14ac:dyDescent="0.3">
      <c r="A1994" t="s">
        <v>37</v>
      </c>
      <c r="B1994">
        <v>2021</v>
      </c>
      <c r="C1994">
        <v>4</v>
      </c>
      <c r="D1994" t="s">
        <v>12</v>
      </c>
      <c r="E1994">
        <v>1790</v>
      </c>
      <c r="F1994" s="6">
        <v>2263055.5218537706</v>
      </c>
      <c r="G1994" s="5">
        <v>2859890</v>
      </c>
      <c r="H1994">
        <v>70216707</v>
      </c>
      <c r="I1994" s="1">
        <v>0.7913085894400731</v>
      </c>
    </row>
    <row r="1995" spans="1:9" x14ac:dyDescent="0.3">
      <c r="A1995" t="s">
        <v>37</v>
      </c>
      <c r="B1995">
        <v>2021</v>
      </c>
      <c r="C1995">
        <v>4</v>
      </c>
      <c r="D1995" t="s">
        <v>13</v>
      </c>
      <c r="E1995">
        <v>6157</v>
      </c>
      <c r="F1995" s="6">
        <v>4587848.4688887224</v>
      </c>
      <c r="G1995" s="5">
        <v>2859890</v>
      </c>
      <c r="H1995">
        <v>70216707</v>
      </c>
      <c r="I1995" s="1">
        <v>1.6042045214636655</v>
      </c>
    </row>
    <row r="1996" spans="1:9" x14ac:dyDescent="0.3">
      <c r="A1996" t="s">
        <v>38</v>
      </c>
      <c r="B1996">
        <v>2018</v>
      </c>
      <c r="C1996">
        <v>1</v>
      </c>
      <c r="D1996" t="s">
        <v>9</v>
      </c>
      <c r="E1996">
        <v>2874109</v>
      </c>
      <c r="F1996" s="6">
        <v>331254466.15086609</v>
      </c>
      <c r="G1996" s="5">
        <v>17534165</v>
      </c>
      <c r="H1996">
        <v>0</v>
      </c>
      <c r="I1996" s="1">
        <v>18.89194416448494</v>
      </c>
    </row>
    <row r="1997" spans="1:9" x14ac:dyDescent="0.3">
      <c r="A1997" t="s">
        <v>38</v>
      </c>
      <c r="B1997">
        <v>2018</v>
      </c>
      <c r="C1997">
        <v>1</v>
      </c>
      <c r="D1997" t="s">
        <v>10</v>
      </c>
      <c r="E1997">
        <v>2305610</v>
      </c>
      <c r="F1997" s="6">
        <v>4033548999.1932316</v>
      </c>
      <c r="G1997" s="5">
        <v>17534165</v>
      </c>
      <c r="H1997">
        <v>0</v>
      </c>
      <c r="I1997" s="1">
        <v>230.03941158265772</v>
      </c>
    </row>
    <row r="1998" spans="1:9" x14ac:dyDescent="0.3">
      <c r="A1998" t="s">
        <v>38</v>
      </c>
      <c r="B1998">
        <v>2018</v>
      </c>
      <c r="C1998">
        <v>1</v>
      </c>
      <c r="D1998" t="s">
        <v>12</v>
      </c>
      <c r="E1998">
        <v>323352</v>
      </c>
      <c r="F1998" s="6">
        <v>58099674.945761368</v>
      </c>
      <c r="G1998" s="5">
        <v>17534165</v>
      </c>
      <c r="H1998">
        <v>0</v>
      </c>
      <c r="I1998" s="1">
        <v>3.3135125023496337</v>
      </c>
    </row>
    <row r="1999" spans="1:9" x14ac:dyDescent="0.3">
      <c r="A1999" t="s">
        <v>38</v>
      </c>
      <c r="B1999">
        <v>2018</v>
      </c>
      <c r="C1999">
        <v>1</v>
      </c>
      <c r="D1999" t="s">
        <v>11</v>
      </c>
      <c r="E1999">
        <v>129659</v>
      </c>
      <c r="F1999" s="6">
        <v>112301341.66618621</v>
      </c>
      <c r="G1999" s="5">
        <v>17534165</v>
      </c>
      <c r="H1999">
        <v>0</v>
      </c>
      <c r="I1999" s="1">
        <v>6.4047156888386878</v>
      </c>
    </row>
    <row r="2000" spans="1:9" x14ac:dyDescent="0.3">
      <c r="A2000" t="s">
        <v>38</v>
      </c>
      <c r="B2000">
        <v>2018</v>
      </c>
      <c r="C2000">
        <v>1</v>
      </c>
      <c r="D2000" t="s">
        <v>13</v>
      </c>
      <c r="E2000">
        <v>177091</v>
      </c>
      <c r="F2000" s="6">
        <v>92427728.931437269</v>
      </c>
      <c r="G2000" s="5">
        <v>17534165</v>
      </c>
      <c r="H2000">
        <v>0</v>
      </c>
      <c r="I2000" s="1">
        <v>5.271293439490119</v>
      </c>
    </row>
    <row r="2001" spans="1:9" x14ac:dyDescent="0.3">
      <c r="A2001" t="s">
        <v>38</v>
      </c>
      <c r="B2001">
        <v>2018</v>
      </c>
      <c r="C2001">
        <v>2</v>
      </c>
      <c r="D2001" t="s">
        <v>10</v>
      </c>
      <c r="E2001">
        <v>3989202</v>
      </c>
      <c r="F2001" s="6">
        <v>7621288195.5657024</v>
      </c>
      <c r="G2001" s="5">
        <v>24043591</v>
      </c>
      <c r="H2001">
        <v>0</v>
      </c>
      <c r="I2001" s="1">
        <v>316.97795040539921</v>
      </c>
    </row>
    <row r="2002" spans="1:9" x14ac:dyDescent="0.3">
      <c r="A2002" t="s">
        <v>38</v>
      </c>
      <c r="B2002">
        <v>2018</v>
      </c>
      <c r="C2002">
        <v>2</v>
      </c>
      <c r="D2002" t="s">
        <v>9</v>
      </c>
      <c r="E2002">
        <v>3307545</v>
      </c>
      <c r="F2002" s="6">
        <v>482823290.3527084</v>
      </c>
      <c r="G2002" s="5">
        <v>24043591</v>
      </c>
      <c r="H2002">
        <v>0</v>
      </c>
      <c r="I2002" s="1">
        <v>20.081163847476379</v>
      </c>
    </row>
    <row r="2003" spans="1:9" x14ac:dyDescent="0.3">
      <c r="A2003" t="s">
        <v>38</v>
      </c>
      <c r="B2003">
        <v>2018</v>
      </c>
      <c r="C2003">
        <v>2</v>
      </c>
      <c r="D2003" t="s">
        <v>12</v>
      </c>
      <c r="E2003">
        <v>472304</v>
      </c>
      <c r="F2003" s="6">
        <v>67829259.917879373</v>
      </c>
      <c r="G2003" s="5">
        <v>24043591</v>
      </c>
      <c r="H2003">
        <v>0</v>
      </c>
      <c r="I2003" s="1">
        <v>2.8210952314851543</v>
      </c>
    </row>
    <row r="2004" spans="1:9" x14ac:dyDescent="0.3">
      <c r="A2004" t="s">
        <v>38</v>
      </c>
      <c r="B2004">
        <v>2018</v>
      </c>
      <c r="C2004">
        <v>2</v>
      </c>
      <c r="D2004" t="s">
        <v>11</v>
      </c>
      <c r="E2004">
        <v>257628</v>
      </c>
      <c r="F2004" s="6">
        <v>213530873.35371211</v>
      </c>
      <c r="G2004" s="5">
        <v>24043591</v>
      </c>
      <c r="H2004">
        <v>0</v>
      </c>
      <c r="I2004" s="1">
        <v>8.8809892562933754</v>
      </c>
    </row>
    <row r="2005" spans="1:9" x14ac:dyDescent="0.3">
      <c r="A2005" t="s">
        <v>38</v>
      </c>
      <c r="B2005">
        <v>2018</v>
      </c>
      <c r="C2005">
        <v>2</v>
      </c>
      <c r="D2005" t="s">
        <v>13</v>
      </c>
      <c r="E2005">
        <v>131465</v>
      </c>
      <c r="F2005" s="6">
        <v>102838720.42969128</v>
      </c>
      <c r="G2005" s="5">
        <v>24043591</v>
      </c>
      <c r="H2005">
        <v>0</v>
      </c>
      <c r="I2005" s="1">
        <v>4.2771780816638945</v>
      </c>
    </row>
    <row r="2006" spans="1:9" x14ac:dyDescent="0.3">
      <c r="A2006" t="s">
        <v>38</v>
      </c>
      <c r="B2006">
        <v>2018</v>
      </c>
      <c r="C2006">
        <v>3</v>
      </c>
      <c r="D2006" t="s">
        <v>10</v>
      </c>
      <c r="E2006">
        <v>24472139</v>
      </c>
      <c r="F2006" s="6">
        <v>22029087498.562176</v>
      </c>
      <c r="G2006" s="5">
        <v>30752898</v>
      </c>
      <c r="H2006">
        <v>0</v>
      </c>
      <c r="I2006" s="1">
        <v>716.32558006605348</v>
      </c>
    </row>
    <row r="2007" spans="1:9" x14ac:dyDescent="0.3">
      <c r="A2007" t="s">
        <v>38</v>
      </c>
      <c r="B2007">
        <v>2018</v>
      </c>
      <c r="C2007">
        <v>3</v>
      </c>
      <c r="D2007" t="s">
        <v>9</v>
      </c>
      <c r="E2007">
        <v>3886392</v>
      </c>
      <c r="F2007" s="6">
        <v>605721781.52850425</v>
      </c>
      <c r="G2007" s="5">
        <v>30752898</v>
      </c>
      <c r="H2007">
        <v>0</v>
      </c>
      <c r="I2007" s="1">
        <v>19.696413051170143</v>
      </c>
    </row>
    <row r="2008" spans="1:9" x14ac:dyDescent="0.3">
      <c r="A2008" t="s">
        <v>38</v>
      </c>
      <c r="B2008">
        <v>2018</v>
      </c>
      <c r="C2008">
        <v>3</v>
      </c>
      <c r="D2008" t="s">
        <v>12</v>
      </c>
      <c r="E2008">
        <v>836547</v>
      </c>
      <c r="F2008" s="6">
        <v>97292154.491176575</v>
      </c>
      <c r="G2008" s="5">
        <v>30752898</v>
      </c>
      <c r="H2008">
        <v>0</v>
      </c>
      <c r="I2008" s="1">
        <v>3.1636743467616149</v>
      </c>
    </row>
    <row r="2009" spans="1:9" x14ac:dyDescent="0.3">
      <c r="A2009" t="s">
        <v>38</v>
      </c>
      <c r="B2009">
        <v>2018</v>
      </c>
      <c r="C2009">
        <v>3</v>
      </c>
      <c r="D2009" t="s">
        <v>11</v>
      </c>
      <c r="E2009">
        <v>729995</v>
      </c>
      <c r="F2009" s="6">
        <v>275532813.41930753</v>
      </c>
      <c r="G2009" s="5">
        <v>30752898</v>
      </c>
      <c r="H2009">
        <v>0</v>
      </c>
      <c r="I2009" s="1">
        <v>8.9595723115040258</v>
      </c>
    </row>
    <row r="2010" spans="1:9" x14ac:dyDescent="0.3">
      <c r="A2010" t="s">
        <v>38</v>
      </c>
      <c r="B2010">
        <v>2018</v>
      </c>
      <c r="C2010">
        <v>3</v>
      </c>
      <c r="D2010" t="s">
        <v>13</v>
      </c>
      <c r="E2010">
        <v>127082</v>
      </c>
      <c r="F2010" s="6">
        <v>86881527.583668485</v>
      </c>
      <c r="G2010" s="5">
        <v>30752898</v>
      </c>
      <c r="H2010">
        <v>0</v>
      </c>
      <c r="I2010" s="1">
        <v>2.8251492780832717</v>
      </c>
    </row>
    <row r="2011" spans="1:9" x14ac:dyDescent="0.3">
      <c r="A2011" t="s">
        <v>38</v>
      </c>
      <c r="B2011">
        <v>2018</v>
      </c>
      <c r="C2011">
        <v>4</v>
      </c>
      <c r="D2011" t="s">
        <v>10</v>
      </c>
      <c r="E2011">
        <v>12285028</v>
      </c>
      <c r="F2011" s="6">
        <v>21804268077.596016</v>
      </c>
      <c r="G2011" s="5">
        <v>39863021</v>
      </c>
      <c r="H2011">
        <v>0</v>
      </c>
      <c r="I2011" s="1">
        <v>546.9798206612594</v>
      </c>
    </row>
    <row r="2012" spans="1:9" x14ac:dyDescent="0.3">
      <c r="A2012" t="s">
        <v>38</v>
      </c>
      <c r="B2012">
        <v>2018</v>
      </c>
      <c r="C2012">
        <v>4</v>
      </c>
      <c r="D2012" t="s">
        <v>9</v>
      </c>
      <c r="E2012">
        <v>5142124</v>
      </c>
      <c r="F2012" s="6">
        <v>773017649.59161294</v>
      </c>
      <c r="G2012" s="5">
        <v>39863021</v>
      </c>
      <c r="H2012">
        <v>0</v>
      </c>
      <c r="I2012" s="1">
        <v>19.391848138945939</v>
      </c>
    </row>
    <row r="2013" spans="1:9" x14ac:dyDescent="0.3">
      <c r="A2013" t="s">
        <v>38</v>
      </c>
      <c r="B2013">
        <v>2018</v>
      </c>
      <c r="C2013">
        <v>4</v>
      </c>
      <c r="D2013" t="s">
        <v>11</v>
      </c>
      <c r="E2013">
        <v>3061813</v>
      </c>
      <c r="F2013" s="6">
        <v>682181415.87299848</v>
      </c>
      <c r="G2013" s="5">
        <v>39863021</v>
      </c>
      <c r="H2013">
        <v>0</v>
      </c>
      <c r="I2013" s="1">
        <v>17.113138913204757</v>
      </c>
    </row>
    <row r="2014" spans="1:9" x14ac:dyDescent="0.3">
      <c r="A2014" t="s">
        <v>38</v>
      </c>
      <c r="B2014">
        <v>2018</v>
      </c>
      <c r="C2014">
        <v>4</v>
      </c>
      <c r="D2014" t="s">
        <v>12</v>
      </c>
      <c r="E2014">
        <v>495495</v>
      </c>
      <c r="F2014" s="6">
        <v>55534399.309051722</v>
      </c>
      <c r="G2014" s="5">
        <v>39863021</v>
      </c>
      <c r="H2014">
        <v>0</v>
      </c>
      <c r="I2014" s="1">
        <v>1.3931307240625772</v>
      </c>
    </row>
    <row r="2015" spans="1:9" x14ac:dyDescent="0.3">
      <c r="A2015" t="s">
        <v>38</v>
      </c>
      <c r="B2015">
        <v>2018</v>
      </c>
      <c r="C2015">
        <v>4</v>
      </c>
      <c r="D2015" t="s">
        <v>13</v>
      </c>
      <c r="E2015">
        <v>158338</v>
      </c>
      <c r="F2015" s="6">
        <v>114868029.19162312</v>
      </c>
      <c r="G2015" s="5">
        <v>39863021</v>
      </c>
      <c r="H2015">
        <v>0</v>
      </c>
      <c r="I2015" s="1">
        <v>2.8815685893857146</v>
      </c>
    </row>
    <row r="2016" spans="1:9" x14ac:dyDescent="0.3">
      <c r="A2016" t="s">
        <v>38</v>
      </c>
      <c r="B2016">
        <v>2019</v>
      </c>
      <c r="C2016">
        <v>1</v>
      </c>
      <c r="D2016" t="s">
        <v>10</v>
      </c>
      <c r="E2016">
        <v>24117274</v>
      </c>
      <c r="F2016" s="6">
        <v>33342321630.613514</v>
      </c>
      <c r="G2016" s="5">
        <v>47528184</v>
      </c>
      <c r="H2016">
        <v>0</v>
      </c>
      <c r="I2016" s="1">
        <v>701.52736386085178</v>
      </c>
    </row>
    <row r="2017" spans="1:9" x14ac:dyDescent="0.3">
      <c r="A2017" t="s">
        <v>38</v>
      </c>
      <c r="B2017">
        <v>2019</v>
      </c>
      <c r="C2017">
        <v>1</v>
      </c>
      <c r="D2017" t="s">
        <v>9</v>
      </c>
      <c r="E2017">
        <v>6713747</v>
      </c>
      <c r="F2017" s="6">
        <v>1120730273.3482153</v>
      </c>
      <c r="G2017" s="5">
        <v>47528184</v>
      </c>
      <c r="H2017">
        <v>0</v>
      </c>
      <c r="I2017" s="1">
        <v>23.580330217292026</v>
      </c>
    </row>
    <row r="2018" spans="1:9" x14ac:dyDescent="0.3">
      <c r="A2018" t="s">
        <v>38</v>
      </c>
      <c r="B2018">
        <v>2019</v>
      </c>
      <c r="C2018">
        <v>1</v>
      </c>
      <c r="D2018" t="s">
        <v>11</v>
      </c>
      <c r="E2018">
        <v>2690762</v>
      </c>
      <c r="F2018" s="6">
        <v>821493664.58064198</v>
      </c>
      <c r="G2018" s="5">
        <v>47528184</v>
      </c>
      <c r="H2018">
        <v>0</v>
      </c>
      <c r="I2018" s="1">
        <v>17.284347842548371</v>
      </c>
    </row>
    <row r="2019" spans="1:9" x14ac:dyDescent="0.3">
      <c r="A2019" t="s">
        <v>38</v>
      </c>
      <c r="B2019">
        <v>2019</v>
      </c>
      <c r="C2019">
        <v>1</v>
      </c>
      <c r="D2019" t="s">
        <v>12</v>
      </c>
      <c r="E2019">
        <v>375910</v>
      </c>
      <c r="F2019" s="6">
        <v>34542738.889085874</v>
      </c>
      <c r="G2019" s="5">
        <v>47528184</v>
      </c>
      <c r="H2019">
        <v>0</v>
      </c>
      <c r="I2019" s="1">
        <v>0.72678431999602333</v>
      </c>
    </row>
    <row r="2020" spans="1:9" x14ac:dyDescent="0.3">
      <c r="A2020" t="s">
        <v>38</v>
      </c>
      <c r="B2020">
        <v>2019</v>
      </c>
      <c r="C2020">
        <v>1</v>
      </c>
      <c r="D2020" t="s">
        <v>13</v>
      </c>
      <c r="E2020">
        <v>134249</v>
      </c>
      <c r="F2020" s="6">
        <v>108039623.26819064</v>
      </c>
      <c r="G2020" s="5">
        <v>47528184</v>
      </c>
      <c r="H2020">
        <v>0</v>
      </c>
      <c r="I2020" s="1">
        <v>2.2731696053901542</v>
      </c>
    </row>
    <row r="2021" spans="1:9" x14ac:dyDescent="0.3">
      <c r="A2021" t="s">
        <v>38</v>
      </c>
      <c r="B2021">
        <v>2019</v>
      </c>
      <c r="C2021">
        <v>2</v>
      </c>
      <c r="D2021" t="s">
        <v>10</v>
      </c>
      <c r="E2021">
        <v>16455353</v>
      </c>
      <c r="F2021" s="6">
        <v>41423292021.956635</v>
      </c>
      <c r="G2021" s="5">
        <v>53298949</v>
      </c>
      <c r="H2021">
        <v>373510995</v>
      </c>
      <c r="I2021" s="1">
        <v>777.18778323296078</v>
      </c>
    </row>
    <row r="2022" spans="1:9" x14ac:dyDescent="0.3">
      <c r="A2022" t="s">
        <v>38</v>
      </c>
      <c r="B2022">
        <v>2019</v>
      </c>
      <c r="C2022">
        <v>2</v>
      </c>
      <c r="D2022" t="s">
        <v>9</v>
      </c>
      <c r="E2022">
        <v>7845252</v>
      </c>
      <c r="F2022" s="6">
        <v>1506620072.6624596</v>
      </c>
      <c r="G2022" s="5">
        <v>53298949</v>
      </c>
      <c r="H2022">
        <v>373510995</v>
      </c>
      <c r="I2022" s="1">
        <v>28.267350499959381</v>
      </c>
    </row>
    <row r="2023" spans="1:9" x14ac:dyDescent="0.3">
      <c r="A2023" t="s">
        <v>38</v>
      </c>
      <c r="B2023">
        <v>2019</v>
      </c>
      <c r="C2023">
        <v>2</v>
      </c>
      <c r="D2023" t="s">
        <v>11</v>
      </c>
      <c r="E2023">
        <v>4827067</v>
      </c>
      <c r="F2023" s="6">
        <v>1664621261.2600245</v>
      </c>
      <c r="G2023" s="5">
        <v>53298949</v>
      </c>
      <c r="H2023">
        <v>373510995</v>
      </c>
      <c r="I2023" s="1">
        <v>31.231783974952762</v>
      </c>
    </row>
    <row r="2024" spans="1:9" x14ac:dyDescent="0.3">
      <c r="A2024" t="s">
        <v>38</v>
      </c>
      <c r="B2024">
        <v>2019</v>
      </c>
      <c r="C2024">
        <v>2</v>
      </c>
      <c r="D2024" t="s">
        <v>12</v>
      </c>
      <c r="E2024">
        <v>202705</v>
      </c>
      <c r="F2024" s="6">
        <v>20424212.30787918</v>
      </c>
      <c r="G2024" s="5">
        <v>53298949</v>
      </c>
      <c r="H2024">
        <v>373510995</v>
      </c>
      <c r="I2024" s="1">
        <v>0.38320103287363472</v>
      </c>
    </row>
    <row r="2025" spans="1:9" x14ac:dyDescent="0.3">
      <c r="A2025" t="s">
        <v>38</v>
      </c>
      <c r="B2025">
        <v>2019</v>
      </c>
      <c r="C2025">
        <v>2</v>
      </c>
      <c r="D2025" t="s">
        <v>13</v>
      </c>
      <c r="E2025">
        <v>181647</v>
      </c>
      <c r="F2025" s="6">
        <v>139897303.48684609</v>
      </c>
      <c r="G2025" s="5">
        <v>53298949</v>
      </c>
      <c r="H2025">
        <v>373510995</v>
      </c>
      <c r="I2025" s="1">
        <v>2.6247666438384383</v>
      </c>
    </row>
    <row r="2026" spans="1:9" x14ac:dyDescent="0.3">
      <c r="A2026" t="s">
        <v>38</v>
      </c>
      <c r="B2026">
        <v>2019</v>
      </c>
      <c r="C2026">
        <v>3</v>
      </c>
      <c r="D2026" t="s">
        <v>10</v>
      </c>
      <c r="E2026">
        <v>18490877</v>
      </c>
      <c r="F2026" s="6">
        <v>51447586885.480347</v>
      </c>
      <c r="G2026" s="5">
        <v>59259299</v>
      </c>
      <c r="H2026">
        <v>1431996016</v>
      </c>
      <c r="I2026" s="1">
        <v>868.17744647098084</v>
      </c>
    </row>
    <row r="2027" spans="1:9" x14ac:dyDescent="0.3">
      <c r="A2027" t="s">
        <v>38</v>
      </c>
      <c r="B2027">
        <v>2019</v>
      </c>
      <c r="C2027">
        <v>3</v>
      </c>
      <c r="D2027" t="s">
        <v>11</v>
      </c>
      <c r="E2027">
        <v>13984738</v>
      </c>
      <c r="F2027" s="6">
        <v>3895753253.3344541</v>
      </c>
      <c r="G2027" s="5">
        <v>59259299</v>
      </c>
      <c r="H2027">
        <v>1431996016</v>
      </c>
      <c r="I2027" s="1">
        <v>65.740792062600235</v>
      </c>
    </row>
    <row r="2028" spans="1:9" x14ac:dyDescent="0.3">
      <c r="A2028" t="s">
        <v>38</v>
      </c>
      <c r="B2028">
        <v>2019</v>
      </c>
      <c r="C2028">
        <v>3</v>
      </c>
      <c r="D2028" t="s">
        <v>9</v>
      </c>
      <c r="E2028">
        <v>8565917</v>
      </c>
      <c r="F2028" s="6">
        <v>1806123698.4609375</v>
      </c>
      <c r="G2028" s="5">
        <v>59259299</v>
      </c>
      <c r="H2028">
        <v>1431996016</v>
      </c>
      <c r="I2028" s="1">
        <v>30.478316972007001</v>
      </c>
    </row>
    <row r="2029" spans="1:9" x14ac:dyDescent="0.3">
      <c r="A2029" t="s">
        <v>38</v>
      </c>
      <c r="B2029">
        <v>2019</v>
      </c>
      <c r="C2029">
        <v>3</v>
      </c>
      <c r="D2029" t="s">
        <v>12</v>
      </c>
      <c r="E2029">
        <v>195034</v>
      </c>
      <c r="F2029" s="6">
        <v>31079934.758642014</v>
      </c>
      <c r="G2029" s="5">
        <v>59259299</v>
      </c>
      <c r="H2029">
        <v>1431996016</v>
      </c>
      <c r="I2029" s="1">
        <v>0.52447354732701135</v>
      </c>
    </row>
    <row r="2030" spans="1:9" x14ac:dyDescent="0.3">
      <c r="A2030" t="s">
        <v>38</v>
      </c>
      <c r="B2030">
        <v>2019</v>
      </c>
      <c r="C2030">
        <v>3</v>
      </c>
      <c r="D2030" t="s">
        <v>13</v>
      </c>
      <c r="E2030">
        <v>185706</v>
      </c>
      <c r="F2030" s="6">
        <v>124033587.18883926</v>
      </c>
      <c r="G2030" s="5">
        <v>59259299</v>
      </c>
      <c r="H2030">
        <v>1431996016</v>
      </c>
      <c r="I2030" s="1">
        <v>2.0930653801496919</v>
      </c>
    </row>
    <row r="2031" spans="1:9" x14ac:dyDescent="0.3">
      <c r="A2031" t="s">
        <v>38</v>
      </c>
      <c r="B2031">
        <v>2019</v>
      </c>
      <c r="C2031">
        <v>4</v>
      </c>
      <c r="D2031" t="s">
        <v>10</v>
      </c>
      <c r="E2031">
        <v>43284477</v>
      </c>
      <c r="F2031" s="6">
        <v>72966050937.295044</v>
      </c>
      <c r="G2031" s="5">
        <v>67270907</v>
      </c>
      <c r="H2031">
        <v>2088962909</v>
      </c>
      <c r="I2031" s="1">
        <v>1084.6598357488333</v>
      </c>
    </row>
    <row r="2032" spans="1:9" x14ac:dyDescent="0.3">
      <c r="A2032" t="s">
        <v>38</v>
      </c>
      <c r="B2032">
        <v>2019</v>
      </c>
      <c r="C2032">
        <v>4</v>
      </c>
      <c r="D2032" t="s">
        <v>9</v>
      </c>
      <c r="E2032">
        <v>10629461</v>
      </c>
      <c r="F2032" s="6">
        <v>2290841668.3045249</v>
      </c>
      <c r="G2032" s="5">
        <v>67270907</v>
      </c>
      <c r="H2032">
        <v>2088962909</v>
      </c>
      <c r="I2032" s="1">
        <v>34.053973262238387</v>
      </c>
    </row>
    <row r="2033" spans="1:9" x14ac:dyDescent="0.3">
      <c r="A2033" t="s">
        <v>38</v>
      </c>
      <c r="B2033">
        <v>2019</v>
      </c>
      <c r="C2033">
        <v>4</v>
      </c>
      <c r="D2033" t="s">
        <v>11</v>
      </c>
      <c r="E2033">
        <v>10601703</v>
      </c>
      <c r="F2033" s="6">
        <v>4395710870.1542511</v>
      </c>
      <c r="G2033" s="5">
        <v>67270907</v>
      </c>
      <c r="H2033">
        <v>2088962909</v>
      </c>
      <c r="I2033" s="1">
        <v>65.343416139078528</v>
      </c>
    </row>
    <row r="2034" spans="1:9" x14ac:dyDescent="0.3">
      <c r="A2034" t="s">
        <v>38</v>
      </c>
      <c r="B2034">
        <v>2019</v>
      </c>
      <c r="C2034">
        <v>4</v>
      </c>
      <c r="D2034" t="s">
        <v>12</v>
      </c>
      <c r="E2034">
        <v>323887</v>
      </c>
      <c r="F2034" s="6">
        <v>38782542.045898683</v>
      </c>
      <c r="G2034" s="5">
        <v>67270907</v>
      </c>
      <c r="H2034">
        <v>2088962909</v>
      </c>
      <c r="I2034" s="1">
        <v>0.57651284597513575</v>
      </c>
    </row>
    <row r="2035" spans="1:9" x14ac:dyDescent="0.3">
      <c r="A2035" t="s">
        <v>38</v>
      </c>
      <c r="B2035">
        <v>2019</v>
      </c>
      <c r="C2035">
        <v>4</v>
      </c>
      <c r="D2035" t="s">
        <v>13</v>
      </c>
      <c r="E2035">
        <v>156105</v>
      </c>
      <c r="F2035" s="6">
        <v>77987614.250833705</v>
      </c>
      <c r="G2035" s="5">
        <v>67270907</v>
      </c>
      <c r="H2035">
        <v>2088962909</v>
      </c>
      <c r="I2035" s="1">
        <v>1.1593067156182941</v>
      </c>
    </row>
    <row r="2036" spans="1:9" x14ac:dyDescent="0.3">
      <c r="A2036" t="s">
        <v>38</v>
      </c>
      <c r="B2036">
        <v>2020</v>
      </c>
      <c r="C2036">
        <v>1</v>
      </c>
      <c r="D2036" t="s">
        <v>10</v>
      </c>
      <c r="E2036">
        <v>27110930</v>
      </c>
      <c r="F2036" s="6">
        <v>82863844732.494095</v>
      </c>
      <c r="G2036" s="5">
        <v>73182670</v>
      </c>
      <c r="H2036">
        <v>1935104842</v>
      </c>
      <c r="I2036" s="1">
        <v>1132.2878043735504</v>
      </c>
    </row>
    <row r="2037" spans="1:9" x14ac:dyDescent="0.3">
      <c r="A2037" t="s">
        <v>38</v>
      </c>
      <c r="B2037">
        <v>2020</v>
      </c>
      <c r="C2037">
        <v>1</v>
      </c>
      <c r="D2037" t="s">
        <v>11</v>
      </c>
      <c r="E2037">
        <v>13269709</v>
      </c>
      <c r="F2037" s="6">
        <v>5738217250.0625687</v>
      </c>
      <c r="G2037" s="5">
        <v>73182670</v>
      </c>
      <c r="H2037">
        <v>1935104842</v>
      </c>
      <c r="I2037" s="1">
        <v>78.409509383335816</v>
      </c>
    </row>
    <row r="2038" spans="1:9" x14ac:dyDescent="0.3">
      <c r="A2038" t="s">
        <v>38</v>
      </c>
      <c r="B2038">
        <v>2020</v>
      </c>
      <c r="C2038">
        <v>1</v>
      </c>
      <c r="D2038" t="s">
        <v>9</v>
      </c>
      <c r="E2038">
        <v>13083524</v>
      </c>
      <c r="F2038" s="6">
        <v>3253609732.8992968</v>
      </c>
      <c r="G2038" s="5">
        <v>73182670</v>
      </c>
      <c r="H2038">
        <v>1935104842</v>
      </c>
      <c r="I2038" s="1">
        <v>44.458745942164953</v>
      </c>
    </row>
    <row r="2039" spans="1:9" x14ac:dyDescent="0.3">
      <c r="A2039" t="s">
        <v>38</v>
      </c>
      <c r="B2039">
        <v>2020</v>
      </c>
      <c r="C2039">
        <v>1</v>
      </c>
      <c r="D2039" t="s">
        <v>12</v>
      </c>
      <c r="E2039">
        <v>84037</v>
      </c>
      <c r="F2039" s="6">
        <v>27641460.905009564</v>
      </c>
      <c r="G2039" s="5">
        <v>73182670</v>
      </c>
      <c r="H2039">
        <v>1935104842</v>
      </c>
      <c r="I2039" s="1">
        <v>0.37770500727849315</v>
      </c>
    </row>
    <row r="2040" spans="1:9" x14ac:dyDescent="0.3">
      <c r="A2040" t="s">
        <v>38</v>
      </c>
      <c r="B2040">
        <v>2020</v>
      </c>
      <c r="C2040">
        <v>1</v>
      </c>
      <c r="D2040" t="s">
        <v>13</v>
      </c>
      <c r="E2040">
        <v>134107</v>
      </c>
      <c r="F2040" s="6">
        <v>73485022.97217913</v>
      </c>
      <c r="G2040" s="5">
        <v>73182670</v>
      </c>
      <c r="H2040">
        <v>1935104842</v>
      </c>
      <c r="I2040" s="1">
        <v>1.0041314832074195</v>
      </c>
    </row>
    <row r="2041" spans="1:9" x14ac:dyDescent="0.3">
      <c r="A2041" t="s">
        <v>38</v>
      </c>
      <c r="B2041">
        <v>2020</v>
      </c>
      <c r="C2041">
        <v>2</v>
      </c>
      <c r="D2041" t="s">
        <v>10</v>
      </c>
      <c r="E2041">
        <v>24520938</v>
      </c>
      <c r="F2041" s="6">
        <v>80990080777.892517</v>
      </c>
      <c r="G2041" s="5">
        <v>79841465</v>
      </c>
      <c r="H2041">
        <v>1701510492</v>
      </c>
      <c r="I2041" s="1">
        <v>1014.3862061886329</v>
      </c>
    </row>
    <row r="2042" spans="1:9" x14ac:dyDescent="0.3">
      <c r="A2042" t="s">
        <v>38</v>
      </c>
      <c r="B2042">
        <v>2020</v>
      </c>
      <c r="C2042">
        <v>2</v>
      </c>
      <c r="D2042" t="s">
        <v>9</v>
      </c>
      <c r="E2042">
        <v>17040333</v>
      </c>
      <c r="F2042" s="6">
        <v>4551061364.3448095</v>
      </c>
      <c r="G2042" s="5">
        <v>79841465</v>
      </c>
      <c r="H2042">
        <v>1701510492</v>
      </c>
      <c r="I2042" s="1">
        <v>57.00122567070644</v>
      </c>
    </row>
    <row r="2043" spans="1:9" x14ac:dyDescent="0.3">
      <c r="A2043" t="s">
        <v>38</v>
      </c>
      <c r="B2043">
        <v>2020</v>
      </c>
      <c r="C2043">
        <v>2</v>
      </c>
      <c r="D2043" t="s">
        <v>11</v>
      </c>
      <c r="E2043">
        <v>8313965</v>
      </c>
      <c r="F2043" s="6">
        <v>6092753944.9481163</v>
      </c>
      <c r="G2043" s="5">
        <v>79841465</v>
      </c>
      <c r="H2043">
        <v>1701510492</v>
      </c>
      <c r="I2043" s="1">
        <v>76.310648169445741</v>
      </c>
    </row>
    <row r="2044" spans="1:9" x14ac:dyDescent="0.3">
      <c r="A2044" t="s">
        <v>38</v>
      </c>
      <c r="B2044">
        <v>2020</v>
      </c>
      <c r="C2044">
        <v>2</v>
      </c>
      <c r="D2044" t="s">
        <v>12</v>
      </c>
      <c r="E2044">
        <v>66787</v>
      </c>
      <c r="F2044" s="6">
        <v>50322080.338512495</v>
      </c>
      <c r="G2044" s="5">
        <v>79841465</v>
      </c>
      <c r="H2044">
        <v>1701510492</v>
      </c>
      <c r="I2044" s="1">
        <v>0.63027501234493244</v>
      </c>
    </row>
    <row r="2045" spans="1:9" x14ac:dyDescent="0.3">
      <c r="A2045" t="s">
        <v>38</v>
      </c>
      <c r="B2045">
        <v>2020</v>
      </c>
      <c r="C2045">
        <v>2</v>
      </c>
      <c r="D2045" t="s">
        <v>13</v>
      </c>
      <c r="E2045">
        <v>86553</v>
      </c>
      <c r="F2045" s="6">
        <v>48818444.572588921</v>
      </c>
      <c r="G2045" s="5">
        <v>79841465</v>
      </c>
      <c r="H2045">
        <v>1701510492</v>
      </c>
      <c r="I2045" s="1">
        <v>0.61144224461047803</v>
      </c>
    </row>
    <row r="2046" spans="1:9" x14ac:dyDescent="0.3">
      <c r="A2046" t="s">
        <v>38</v>
      </c>
      <c r="B2046">
        <v>2020</v>
      </c>
      <c r="C2046">
        <v>3</v>
      </c>
      <c r="D2046" t="s">
        <v>10</v>
      </c>
      <c r="E2046">
        <v>34182172</v>
      </c>
      <c r="F2046" s="6">
        <v>107064668710.39911</v>
      </c>
      <c r="G2046" s="5">
        <v>86919305</v>
      </c>
      <c r="H2046">
        <v>2261574326</v>
      </c>
      <c r="I2046" s="1">
        <v>1231.7708788674634</v>
      </c>
    </row>
    <row r="2047" spans="1:9" x14ac:dyDescent="0.3">
      <c r="A2047" t="s">
        <v>38</v>
      </c>
      <c r="B2047">
        <v>2020</v>
      </c>
      <c r="C2047">
        <v>3</v>
      </c>
      <c r="D2047" t="s">
        <v>9</v>
      </c>
      <c r="E2047">
        <v>17126851</v>
      </c>
      <c r="F2047" s="6">
        <v>5015719823.5144787</v>
      </c>
      <c r="G2047" s="5">
        <v>86919305</v>
      </c>
      <c r="H2047">
        <v>2261574326</v>
      </c>
      <c r="I2047" s="1">
        <v>57.705475481131366</v>
      </c>
    </row>
    <row r="2048" spans="1:9" x14ac:dyDescent="0.3">
      <c r="A2048" t="s">
        <v>38</v>
      </c>
      <c r="B2048">
        <v>2020</v>
      </c>
      <c r="C2048">
        <v>3</v>
      </c>
      <c r="D2048" t="s">
        <v>11</v>
      </c>
      <c r="E2048">
        <v>14519265</v>
      </c>
      <c r="F2048" s="6">
        <v>10242496366.436386</v>
      </c>
      <c r="G2048" s="5">
        <v>86919305</v>
      </c>
      <c r="H2048">
        <v>2261574326</v>
      </c>
      <c r="I2048" s="1">
        <v>117.83914248320768</v>
      </c>
    </row>
    <row r="2049" spans="1:9" x14ac:dyDescent="0.3">
      <c r="A2049" t="s">
        <v>38</v>
      </c>
      <c r="B2049">
        <v>2020</v>
      </c>
      <c r="C2049">
        <v>3</v>
      </c>
      <c r="D2049" t="s">
        <v>12</v>
      </c>
      <c r="E2049">
        <v>90736</v>
      </c>
      <c r="F2049" s="6">
        <v>84971747.757552683</v>
      </c>
      <c r="G2049" s="5">
        <v>86919305</v>
      </c>
      <c r="H2049">
        <v>2261574326</v>
      </c>
      <c r="I2049" s="1">
        <v>0.9775935018987173</v>
      </c>
    </row>
    <row r="2050" spans="1:9" x14ac:dyDescent="0.3">
      <c r="A2050" t="s">
        <v>38</v>
      </c>
      <c r="B2050">
        <v>2020</v>
      </c>
      <c r="C2050">
        <v>3</v>
      </c>
      <c r="D2050" t="s">
        <v>13</v>
      </c>
      <c r="E2050">
        <v>114805</v>
      </c>
      <c r="F2050" s="6">
        <v>56087156.185133971</v>
      </c>
      <c r="G2050" s="5">
        <v>86919305</v>
      </c>
      <c r="H2050">
        <v>2261574326</v>
      </c>
      <c r="I2050" s="1">
        <v>0.64527847047481535</v>
      </c>
    </row>
    <row r="2051" spans="1:9" x14ac:dyDescent="0.3">
      <c r="A2051" t="s">
        <v>38</v>
      </c>
      <c r="B2051">
        <v>2020</v>
      </c>
      <c r="C2051">
        <v>4</v>
      </c>
      <c r="D2051" t="s">
        <v>10</v>
      </c>
      <c r="E2051">
        <v>47588728</v>
      </c>
      <c r="F2051" s="6">
        <v>153208735347.12689</v>
      </c>
      <c r="G2051" s="5">
        <v>94586261</v>
      </c>
      <c r="H2051">
        <v>2970938223</v>
      </c>
      <c r="I2051" s="1">
        <v>1619.7779014346163</v>
      </c>
    </row>
    <row r="2052" spans="1:9" x14ac:dyDescent="0.3">
      <c r="A2052" t="s">
        <v>38</v>
      </c>
      <c r="B2052">
        <v>2020</v>
      </c>
      <c r="C2052">
        <v>4</v>
      </c>
      <c r="D2052" t="s">
        <v>11</v>
      </c>
      <c r="E2052">
        <v>27124765</v>
      </c>
      <c r="F2052" s="6">
        <v>19347472702.804092</v>
      </c>
      <c r="G2052" s="5">
        <v>94586261</v>
      </c>
      <c r="H2052">
        <v>2970938223</v>
      </c>
      <c r="I2052" s="1">
        <v>204.5484460243554</v>
      </c>
    </row>
    <row r="2053" spans="1:9" x14ac:dyDescent="0.3">
      <c r="A2053" t="s">
        <v>38</v>
      </c>
      <c r="B2053">
        <v>2020</v>
      </c>
      <c r="C2053">
        <v>4</v>
      </c>
      <c r="D2053" t="s">
        <v>9</v>
      </c>
      <c r="E2053">
        <v>17318073</v>
      </c>
      <c r="F2053" s="6">
        <v>5532179002.0027885</v>
      </c>
      <c r="G2053" s="5">
        <v>94586261</v>
      </c>
      <c r="H2053">
        <v>2970938223</v>
      </c>
      <c r="I2053" s="1">
        <v>58.48818785640325</v>
      </c>
    </row>
    <row r="2054" spans="1:9" x14ac:dyDescent="0.3">
      <c r="A2054" t="s">
        <v>38</v>
      </c>
      <c r="B2054">
        <v>2020</v>
      </c>
      <c r="C2054">
        <v>4</v>
      </c>
      <c r="D2054" t="s">
        <v>12</v>
      </c>
      <c r="E2054">
        <v>106189</v>
      </c>
      <c r="F2054" s="6">
        <v>104419909.66526456</v>
      </c>
      <c r="G2054" s="5">
        <v>94586261</v>
      </c>
      <c r="H2054">
        <v>2970938223</v>
      </c>
      <c r="I2054" s="1">
        <v>1.103964873558799</v>
      </c>
    </row>
    <row r="2055" spans="1:9" x14ac:dyDescent="0.3">
      <c r="A2055" t="s">
        <v>38</v>
      </c>
      <c r="B2055">
        <v>2020</v>
      </c>
      <c r="C2055">
        <v>4</v>
      </c>
      <c r="D2055" t="s">
        <v>13</v>
      </c>
      <c r="E2055">
        <v>187195</v>
      </c>
      <c r="F2055" s="6">
        <v>109856053.01820508</v>
      </c>
      <c r="G2055" s="5">
        <v>94586261</v>
      </c>
      <c r="H2055">
        <v>2970938223</v>
      </c>
      <c r="I2055" s="1">
        <v>1.1614377379628642</v>
      </c>
    </row>
    <row r="2056" spans="1:9" x14ac:dyDescent="0.3">
      <c r="A2056" t="s">
        <v>38</v>
      </c>
      <c r="B2056">
        <v>2021</v>
      </c>
      <c r="C2056">
        <v>1</v>
      </c>
      <c r="D2056" t="s">
        <v>10</v>
      </c>
      <c r="E2056">
        <v>54417515</v>
      </c>
      <c r="F2056" s="6">
        <v>181450436291.91052</v>
      </c>
      <c r="G2056" s="5">
        <v>101563099</v>
      </c>
      <c r="H2056">
        <v>3314470214</v>
      </c>
      <c r="I2056" s="1">
        <v>1786.5783742174954</v>
      </c>
    </row>
    <row r="2057" spans="1:9" x14ac:dyDescent="0.3">
      <c r="A2057" t="s">
        <v>38</v>
      </c>
      <c r="B2057">
        <v>2021</v>
      </c>
      <c r="C2057">
        <v>1</v>
      </c>
      <c r="D2057" t="s">
        <v>11</v>
      </c>
      <c r="E2057">
        <v>38180718</v>
      </c>
      <c r="F2057" s="6">
        <v>25201936762.205833</v>
      </c>
      <c r="G2057" s="5">
        <v>101563099</v>
      </c>
      <c r="H2057">
        <v>3314470214</v>
      </c>
      <c r="I2057" s="1">
        <v>248.14068308614563</v>
      </c>
    </row>
    <row r="2058" spans="1:9" x14ac:dyDescent="0.3">
      <c r="A2058" t="s">
        <v>38</v>
      </c>
      <c r="B2058">
        <v>2021</v>
      </c>
      <c r="C2058">
        <v>1</v>
      </c>
      <c r="D2058" t="s">
        <v>9</v>
      </c>
      <c r="E2058">
        <v>18633830</v>
      </c>
      <c r="F2058" s="6">
        <v>6552605937.5455427</v>
      </c>
      <c r="G2058" s="5">
        <v>101563099</v>
      </c>
      <c r="H2058">
        <v>3314470214</v>
      </c>
      <c r="I2058" s="1">
        <v>64.517585639500254</v>
      </c>
    </row>
    <row r="2059" spans="1:9" x14ac:dyDescent="0.3">
      <c r="A2059" t="s">
        <v>38</v>
      </c>
      <c r="B2059">
        <v>2021</v>
      </c>
      <c r="C2059">
        <v>1</v>
      </c>
      <c r="D2059" t="s">
        <v>12</v>
      </c>
      <c r="E2059">
        <v>87263</v>
      </c>
      <c r="F2059" s="6">
        <v>95064023.948443666</v>
      </c>
      <c r="G2059" s="5">
        <v>101563099</v>
      </c>
      <c r="H2059">
        <v>3314470214</v>
      </c>
      <c r="I2059" s="1">
        <v>0.93600948459089128</v>
      </c>
    </row>
    <row r="2060" spans="1:9" x14ac:dyDescent="0.3">
      <c r="A2060" t="s">
        <v>38</v>
      </c>
      <c r="B2060">
        <v>2021</v>
      </c>
      <c r="C2060">
        <v>1</v>
      </c>
      <c r="D2060" t="s">
        <v>13</v>
      </c>
      <c r="E2060">
        <v>141032</v>
      </c>
      <c r="F2060" s="6">
        <v>97693172.730528504</v>
      </c>
      <c r="G2060" s="5">
        <v>101563099</v>
      </c>
      <c r="H2060">
        <v>3314470214</v>
      </c>
      <c r="I2060" s="1">
        <v>0.96189633530706364</v>
      </c>
    </row>
    <row r="2061" spans="1:9" x14ac:dyDescent="0.3">
      <c r="A2061" t="s">
        <v>38</v>
      </c>
      <c r="B2061">
        <v>2021</v>
      </c>
      <c r="C2061">
        <v>2</v>
      </c>
      <c r="D2061" t="s">
        <v>10</v>
      </c>
      <c r="E2061">
        <v>66929109</v>
      </c>
      <c r="F2061" s="6">
        <v>208405882369.05441</v>
      </c>
      <c r="G2061" s="5">
        <v>108801319</v>
      </c>
      <c r="H2061">
        <v>4043341434</v>
      </c>
      <c r="I2061" s="1">
        <v>1915.4720207854687</v>
      </c>
    </row>
    <row r="2062" spans="1:9" x14ac:dyDescent="0.3">
      <c r="A2062" t="s">
        <v>38</v>
      </c>
      <c r="B2062">
        <v>2021</v>
      </c>
      <c r="C2062">
        <v>2</v>
      </c>
      <c r="D2062" t="s">
        <v>11</v>
      </c>
      <c r="E2062">
        <v>39402607</v>
      </c>
      <c r="F2062" s="6">
        <v>29208847674.899841</v>
      </c>
      <c r="G2062" s="5">
        <v>108801319</v>
      </c>
      <c r="H2062">
        <v>4043341434</v>
      </c>
      <c r="I2062" s="1">
        <v>268.46041889344963</v>
      </c>
    </row>
    <row r="2063" spans="1:9" x14ac:dyDescent="0.3">
      <c r="A2063" t="s">
        <v>38</v>
      </c>
      <c r="B2063">
        <v>2021</v>
      </c>
      <c r="C2063">
        <v>2</v>
      </c>
      <c r="D2063" t="s">
        <v>9</v>
      </c>
      <c r="E2063">
        <v>25183699</v>
      </c>
      <c r="F2063" s="6">
        <v>8024323050.14009</v>
      </c>
      <c r="G2063" s="5">
        <v>108801319</v>
      </c>
      <c r="H2063">
        <v>4043341434</v>
      </c>
      <c r="I2063" s="1">
        <v>73.752075102509465</v>
      </c>
    </row>
    <row r="2064" spans="1:9" x14ac:dyDescent="0.3">
      <c r="A2064" t="s">
        <v>38</v>
      </c>
      <c r="B2064">
        <v>2021</v>
      </c>
      <c r="C2064">
        <v>2</v>
      </c>
      <c r="D2064" t="s">
        <v>12</v>
      </c>
      <c r="E2064">
        <v>102474</v>
      </c>
      <c r="F2064" s="6">
        <v>102761986.97553992</v>
      </c>
      <c r="G2064" s="5">
        <v>108801319</v>
      </c>
      <c r="H2064">
        <v>4043341434</v>
      </c>
      <c r="I2064" s="1">
        <v>0.94449210652988425</v>
      </c>
    </row>
    <row r="2065" spans="1:9" x14ac:dyDescent="0.3">
      <c r="A2065" t="s">
        <v>38</v>
      </c>
      <c r="B2065">
        <v>2021</v>
      </c>
      <c r="C2065">
        <v>2</v>
      </c>
      <c r="D2065" t="s">
        <v>13</v>
      </c>
      <c r="E2065">
        <v>206448</v>
      </c>
      <c r="F2065" s="6">
        <v>122302396.20450994</v>
      </c>
      <c r="G2065" s="5">
        <v>108801319</v>
      </c>
      <c r="H2065">
        <v>4043341434</v>
      </c>
      <c r="I2065" s="1">
        <v>1.1240892787752872</v>
      </c>
    </row>
    <row r="2066" spans="1:9" x14ac:dyDescent="0.3">
      <c r="A2066" t="s">
        <v>38</v>
      </c>
      <c r="B2066">
        <v>2021</v>
      </c>
      <c r="C2066">
        <v>3</v>
      </c>
      <c r="D2066" t="s">
        <v>10</v>
      </c>
      <c r="E2066">
        <v>85728576</v>
      </c>
      <c r="F2066" s="6">
        <v>251150860524.22568</v>
      </c>
      <c r="G2066" s="5">
        <v>117177390</v>
      </c>
      <c r="H2066">
        <v>5421676744</v>
      </c>
      <c r="I2066" s="1">
        <v>2143.3389199420271</v>
      </c>
    </row>
    <row r="2067" spans="1:9" x14ac:dyDescent="0.3">
      <c r="A2067" t="s">
        <v>38</v>
      </c>
      <c r="B2067">
        <v>2021</v>
      </c>
      <c r="C2067">
        <v>3</v>
      </c>
      <c r="D2067" t="s">
        <v>11</v>
      </c>
      <c r="E2067">
        <v>64268830</v>
      </c>
      <c r="F2067" s="6">
        <v>43316348173.180038</v>
      </c>
      <c r="G2067" s="5">
        <v>117177390</v>
      </c>
      <c r="H2067">
        <v>5421676744</v>
      </c>
      <c r="I2067" s="1">
        <v>369.66472946000965</v>
      </c>
    </row>
    <row r="2068" spans="1:9" x14ac:dyDescent="0.3">
      <c r="A2068" t="s">
        <v>38</v>
      </c>
      <c r="B2068">
        <v>2021</v>
      </c>
      <c r="C2068">
        <v>3</v>
      </c>
      <c r="D2068" t="s">
        <v>9</v>
      </c>
      <c r="E2068">
        <v>26943670</v>
      </c>
      <c r="F2068" s="6">
        <v>9025674783.4041977</v>
      </c>
      <c r="G2068" s="5">
        <v>117177390</v>
      </c>
      <c r="H2068">
        <v>5421676744</v>
      </c>
      <c r="I2068" s="1">
        <v>77.025736649401367</v>
      </c>
    </row>
    <row r="2069" spans="1:9" x14ac:dyDescent="0.3">
      <c r="A2069" t="s">
        <v>38</v>
      </c>
      <c r="B2069">
        <v>2021</v>
      </c>
      <c r="C2069">
        <v>3</v>
      </c>
      <c r="D2069" t="s">
        <v>12</v>
      </c>
      <c r="E2069">
        <v>97213</v>
      </c>
      <c r="F2069" s="6">
        <v>112383446.87807697</v>
      </c>
      <c r="G2069" s="5">
        <v>117177390</v>
      </c>
      <c r="H2069">
        <v>5421676744</v>
      </c>
      <c r="I2069" s="1">
        <v>0.95908815581296847</v>
      </c>
    </row>
    <row r="2070" spans="1:9" x14ac:dyDescent="0.3">
      <c r="A2070" t="s">
        <v>38</v>
      </c>
      <c r="B2070">
        <v>2021</v>
      </c>
      <c r="C2070">
        <v>3</v>
      </c>
      <c r="D2070" t="s">
        <v>13</v>
      </c>
      <c r="E2070">
        <v>324385</v>
      </c>
      <c r="F2070" s="6">
        <v>175452005.35341299</v>
      </c>
      <c r="G2070" s="5">
        <v>117177390</v>
      </c>
      <c r="H2070">
        <v>5421676744</v>
      </c>
      <c r="I2070" s="1">
        <v>1.4973196224409246</v>
      </c>
    </row>
    <row r="2071" spans="1:9" x14ac:dyDescent="0.3">
      <c r="A2071" t="s">
        <v>38</v>
      </c>
      <c r="B2071">
        <v>2021</v>
      </c>
      <c r="C2071">
        <v>4</v>
      </c>
      <c r="D2071" t="s">
        <v>10</v>
      </c>
      <c r="E2071">
        <v>107560893</v>
      </c>
      <c r="F2071" s="6">
        <v>310704112799.89081</v>
      </c>
      <c r="G2071" s="5">
        <v>125391585</v>
      </c>
      <c r="H2071">
        <v>6240865906</v>
      </c>
      <c r="I2071" s="1">
        <v>2477.8705269567395</v>
      </c>
    </row>
    <row r="2072" spans="1:9" x14ac:dyDescent="0.3">
      <c r="A2072" t="s">
        <v>38</v>
      </c>
      <c r="B2072">
        <v>2021</v>
      </c>
      <c r="C2072">
        <v>4</v>
      </c>
      <c r="D2072" t="s">
        <v>11</v>
      </c>
      <c r="E2072">
        <v>99512650</v>
      </c>
      <c r="F2072" s="6">
        <v>63383870318.301788</v>
      </c>
      <c r="G2072" s="5">
        <v>125391585</v>
      </c>
      <c r="H2072">
        <v>6240865906</v>
      </c>
      <c r="I2072" s="1">
        <v>505.48743217738087</v>
      </c>
    </row>
    <row r="2073" spans="1:9" x14ac:dyDescent="0.3">
      <c r="A2073" t="s">
        <v>38</v>
      </c>
      <c r="B2073">
        <v>2021</v>
      </c>
      <c r="C2073">
        <v>4</v>
      </c>
      <c r="D2073" t="s">
        <v>9</v>
      </c>
      <c r="E2073">
        <v>26302130</v>
      </c>
      <c r="F2073" s="6">
        <v>10728834440.697895</v>
      </c>
      <c r="G2073" s="5">
        <v>125391585</v>
      </c>
      <c r="H2073">
        <v>6240865906</v>
      </c>
      <c r="I2073" s="1">
        <v>85.562635169639933</v>
      </c>
    </row>
    <row r="2074" spans="1:9" x14ac:dyDescent="0.3">
      <c r="A2074" t="s">
        <v>38</v>
      </c>
      <c r="B2074">
        <v>2021</v>
      </c>
      <c r="C2074">
        <v>4</v>
      </c>
      <c r="D2074" t="s">
        <v>12</v>
      </c>
      <c r="E2074">
        <v>133004</v>
      </c>
      <c r="F2074" s="6">
        <v>147526652.49426866</v>
      </c>
      <c r="G2074" s="5">
        <v>125391585</v>
      </c>
      <c r="H2074">
        <v>6240865906</v>
      </c>
      <c r="I2074" s="1">
        <v>1.1765275356736951</v>
      </c>
    </row>
    <row r="2075" spans="1:9" x14ac:dyDescent="0.3">
      <c r="A2075" t="s">
        <v>38</v>
      </c>
      <c r="B2075">
        <v>2021</v>
      </c>
      <c r="C2075">
        <v>4</v>
      </c>
      <c r="D2075" t="s">
        <v>13</v>
      </c>
      <c r="E2075">
        <v>416689</v>
      </c>
      <c r="F2075" s="6">
        <v>286705478.53455383</v>
      </c>
      <c r="G2075" s="5">
        <v>125391585</v>
      </c>
      <c r="H2075">
        <v>6240865906</v>
      </c>
      <c r="I2075" s="1">
        <v>2.2864810149305779</v>
      </c>
    </row>
    <row r="2076" spans="1:9" x14ac:dyDescent="0.3">
      <c r="A2076" t="s">
        <v>39</v>
      </c>
      <c r="B2076">
        <v>2018</v>
      </c>
      <c r="C2076">
        <v>1</v>
      </c>
      <c r="D2076" t="s">
        <v>9</v>
      </c>
      <c r="E2076">
        <v>53125</v>
      </c>
      <c r="F2076" s="6">
        <v>9704752.6489832364</v>
      </c>
      <c r="G2076" s="5">
        <v>542498</v>
      </c>
      <c r="H2076">
        <v>0</v>
      </c>
      <c r="I2076" s="1">
        <v>17.889010925354999</v>
      </c>
    </row>
    <row r="2077" spans="1:9" x14ac:dyDescent="0.3">
      <c r="A2077" t="s">
        <v>39</v>
      </c>
      <c r="B2077">
        <v>2018</v>
      </c>
      <c r="C2077">
        <v>1</v>
      </c>
      <c r="D2077" t="s">
        <v>10</v>
      </c>
      <c r="E2077">
        <v>40303</v>
      </c>
      <c r="F2077" s="6">
        <v>147834476.16250613</v>
      </c>
      <c r="G2077" s="5">
        <v>542498</v>
      </c>
      <c r="H2077">
        <v>0</v>
      </c>
      <c r="I2077" s="1">
        <v>272.50695147725179</v>
      </c>
    </row>
    <row r="2078" spans="1:9" x14ac:dyDescent="0.3">
      <c r="A2078" t="s">
        <v>39</v>
      </c>
      <c r="B2078">
        <v>2018</v>
      </c>
      <c r="C2078">
        <v>1</v>
      </c>
      <c r="D2078" t="s">
        <v>11</v>
      </c>
      <c r="E2078">
        <v>4163</v>
      </c>
      <c r="F2078" s="6">
        <v>4427034.0315394765</v>
      </c>
      <c r="G2078" s="5">
        <v>542498</v>
      </c>
      <c r="H2078">
        <v>0</v>
      </c>
      <c r="I2078" s="1">
        <v>8.1604614791934278</v>
      </c>
    </row>
    <row r="2079" spans="1:9" x14ac:dyDescent="0.3">
      <c r="A2079" t="s">
        <v>39</v>
      </c>
      <c r="B2079">
        <v>2018</v>
      </c>
      <c r="C2079">
        <v>1</v>
      </c>
      <c r="D2079" t="s">
        <v>12</v>
      </c>
      <c r="E2079">
        <v>2086</v>
      </c>
      <c r="F2079" s="6">
        <v>565799.45534425718</v>
      </c>
      <c r="G2079" s="5">
        <v>542498</v>
      </c>
      <c r="H2079">
        <v>0</v>
      </c>
      <c r="I2079" s="1">
        <v>1.0429521497669247</v>
      </c>
    </row>
    <row r="2080" spans="1:9" x14ac:dyDescent="0.3">
      <c r="A2080" t="s">
        <v>39</v>
      </c>
      <c r="B2080">
        <v>2018</v>
      </c>
      <c r="C2080">
        <v>1</v>
      </c>
      <c r="D2080" t="s">
        <v>13</v>
      </c>
      <c r="E2080">
        <v>4535</v>
      </c>
      <c r="F2080" s="6">
        <v>3293909.0714630377</v>
      </c>
      <c r="G2080" s="5">
        <v>542498</v>
      </c>
      <c r="H2080">
        <v>0</v>
      </c>
      <c r="I2080" s="1">
        <v>6.0717441750256</v>
      </c>
    </row>
    <row r="2081" spans="1:9" x14ac:dyDescent="0.3">
      <c r="A2081" t="s">
        <v>39</v>
      </c>
      <c r="B2081">
        <v>2018</v>
      </c>
      <c r="C2081">
        <v>2</v>
      </c>
      <c r="D2081" t="s">
        <v>9</v>
      </c>
      <c r="E2081">
        <v>59867</v>
      </c>
      <c r="F2081" s="6">
        <v>14607336.895731753</v>
      </c>
      <c r="G2081" s="5">
        <v>721380</v>
      </c>
      <c r="H2081">
        <v>0</v>
      </c>
      <c r="I2081" s="1">
        <v>20.249157026437874</v>
      </c>
    </row>
    <row r="2082" spans="1:9" x14ac:dyDescent="0.3">
      <c r="A2082" t="s">
        <v>39</v>
      </c>
      <c r="B2082">
        <v>2018</v>
      </c>
      <c r="C2082">
        <v>2</v>
      </c>
      <c r="D2082" t="s">
        <v>10</v>
      </c>
      <c r="E2082">
        <v>57751</v>
      </c>
      <c r="F2082" s="6">
        <v>261299695.1891191</v>
      </c>
      <c r="G2082" s="5">
        <v>721380</v>
      </c>
      <c r="H2082">
        <v>0</v>
      </c>
      <c r="I2082" s="1">
        <v>362.22198451456808</v>
      </c>
    </row>
    <row r="2083" spans="1:9" x14ac:dyDescent="0.3">
      <c r="A2083" t="s">
        <v>39</v>
      </c>
      <c r="B2083">
        <v>2018</v>
      </c>
      <c r="C2083">
        <v>2</v>
      </c>
      <c r="D2083" t="s">
        <v>11</v>
      </c>
      <c r="E2083">
        <v>6904</v>
      </c>
      <c r="F2083" s="6">
        <v>6103101.528770715</v>
      </c>
      <c r="G2083" s="5">
        <v>721380</v>
      </c>
      <c r="H2083">
        <v>0</v>
      </c>
      <c r="I2083" s="1">
        <v>8.4603142986646631</v>
      </c>
    </row>
    <row r="2084" spans="1:9" x14ac:dyDescent="0.3">
      <c r="A2084" t="s">
        <v>39</v>
      </c>
      <c r="B2084">
        <v>2018</v>
      </c>
      <c r="C2084">
        <v>2</v>
      </c>
      <c r="D2084" t="s">
        <v>12</v>
      </c>
      <c r="E2084">
        <v>2105</v>
      </c>
      <c r="F2084" s="6">
        <v>822585.95719086996</v>
      </c>
      <c r="G2084" s="5">
        <v>721380</v>
      </c>
      <c r="H2084">
        <v>0</v>
      </c>
      <c r="I2084" s="1">
        <v>1.1402949308143697</v>
      </c>
    </row>
    <row r="2085" spans="1:9" x14ac:dyDescent="0.3">
      <c r="A2085" t="s">
        <v>39</v>
      </c>
      <c r="B2085">
        <v>2018</v>
      </c>
      <c r="C2085">
        <v>2</v>
      </c>
      <c r="D2085" t="s">
        <v>13</v>
      </c>
      <c r="E2085">
        <v>3634</v>
      </c>
      <c r="F2085" s="6">
        <v>2968399.9616244407</v>
      </c>
      <c r="G2085" s="5">
        <v>721380</v>
      </c>
      <c r="H2085">
        <v>0</v>
      </c>
      <c r="I2085" s="1">
        <v>4.1148908503485551</v>
      </c>
    </row>
    <row r="2086" spans="1:9" x14ac:dyDescent="0.3">
      <c r="A2086" t="s">
        <v>39</v>
      </c>
      <c r="B2086">
        <v>2018</v>
      </c>
      <c r="C2086">
        <v>3</v>
      </c>
      <c r="D2086" t="s">
        <v>10</v>
      </c>
      <c r="E2086">
        <v>101817</v>
      </c>
      <c r="F2086" s="6">
        <v>378368361.36171496</v>
      </c>
      <c r="G2086" s="5">
        <v>897006</v>
      </c>
      <c r="H2086">
        <v>0</v>
      </c>
      <c r="I2086" s="1">
        <v>421.812520051945</v>
      </c>
    </row>
    <row r="2087" spans="1:9" x14ac:dyDescent="0.3">
      <c r="A2087" t="s">
        <v>39</v>
      </c>
      <c r="B2087">
        <v>2018</v>
      </c>
      <c r="C2087">
        <v>3</v>
      </c>
      <c r="D2087" t="s">
        <v>9</v>
      </c>
      <c r="E2087">
        <v>67909</v>
      </c>
      <c r="F2087" s="6">
        <v>19654338.114449568</v>
      </c>
      <c r="G2087" s="5">
        <v>897006</v>
      </c>
      <c r="H2087">
        <v>0</v>
      </c>
      <c r="I2087" s="1">
        <v>21.911044200874429</v>
      </c>
    </row>
    <row r="2088" spans="1:9" x14ac:dyDescent="0.3">
      <c r="A2088" t="s">
        <v>39</v>
      </c>
      <c r="B2088">
        <v>2018</v>
      </c>
      <c r="C2088">
        <v>3</v>
      </c>
      <c r="D2088" t="s">
        <v>11</v>
      </c>
      <c r="E2088">
        <v>14384</v>
      </c>
      <c r="F2088" s="6">
        <v>16102024.2759922</v>
      </c>
      <c r="G2088" s="5">
        <v>897006</v>
      </c>
      <c r="H2088">
        <v>0</v>
      </c>
      <c r="I2088" s="1">
        <v>17.950854594051989</v>
      </c>
    </row>
    <row r="2089" spans="1:9" x14ac:dyDescent="0.3">
      <c r="A2089" t="s">
        <v>39</v>
      </c>
      <c r="B2089">
        <v>2018</v>
      </c>
      <c r="C2089">
        <v>3</v>
      </c>
      <c r="D2089" t="s">
        <v>12</v>
      </c>
      <c r="E2089">
        <v>1766</v>
      </c>
      <c r="F2089" s="6">
        <v>395306.64210759662</v>
      </c>
      <c r="G2089" s="5">
        <v>897006</v>
      </c>
      <c r="H2089">
        <v>0</v>
      </c>
      <c r="I2089" s="1">
        <v>0.44069564987034271</v>
      </c>
    </row>
    <row r="2090" spans="1:9" x14ac:dyDescent="0.3">
      <c r="A2090" t="s">
        <v>39</v>
      </c>
      <c r="B2090">
        <v>2018</v>
      </c>
      <c r="C2090">
        <v>3</v>
      </c>
      <c r="D2090" t="s">
        <v>13</v>
      </c>
      <c r="E2090">
        <v>4395</v>
      </c>
      <c r="F2090" s="6">
        <v>3138045.0999426576</v>
      </c>
      <c r="G2090" s="5">
        <v>897006</v>
      </c>
      <c r="H2090">
        <v>0</v>
      </c>
      <c r="I2090" s="1">
        <v>3.4983546374747299</v>
      </c>
    </row>
    <row r="2091" spans="1:9" x14ac:dyDescent="0.3">
      <c r="A2091" t="s">
        <v>39</v>
      </c>
      <c r="B2091">
        <v>2018</v>
      </c>
      <c r="C2091">
        <v>4</v>
      </c>
      <c r="D2091" t="s">
        <v>10</v>
      </c>
      <c r="E2091">
        <v>173170</v>
      </c>
      <c r="F2091" s="6">
        <v>569825171.33697593</v>
      </c>
      <c r="G2091" s="5">
        <v>1204434</v>
      </c>
      <c r="H2091">
        <v>0</v>
      </c>
      <c r="I2091" s="1">
        <v>473.10618210460342</v>
      </c>
    </row>
    <row r="2092" spans="1:9" x14ac:dyDescent="0.3">
      <c r="A2092" t="s">
        <v>39</v>
      </c>
      <c r="B2092">
        <v>2018</v>
      </c>
      <c r="C2092">
        <v>4</v>
      </c>
      <c r="D2092" t="s">
        <v>9</v>
      </c>
      <c r="E2092">
        <v>95788</v>
      </c>
      <c r="F2092" s="6">
        <v>25159891.51570208</v>
      </c>
      <c r="G2092" s="5">
        <v>1204434</v>
      </c>
      <c r="H2092">
        <v>0</v>
      </c>
      <c r="I2092" s="1">
        <v>20.889389967156422</v>
      </c>
    </row>
    <row r="2093" spans="1:9" x14ac:dyDescent="0.3">
      <c r="A2093" t="s">
        <v>39</v>
      </c>
      <c r="B2093">
        <v>2018</v>
      </c>
      <c r="C2093">
        <v>4</v>
      </c>
      <c r="D2093" t="s">
        <v>11</v>
      </c>
      <c r="E2093">
        <v>29470</v>
      </c>
      <c r="F2093" s="6">
        <v>25999609.758757301</v>
      </c>
      <c r="G2093" s="5">
        <v>1204434</v>
      </c>
      <c r="H2093">
        <v>0</v>
      </c>
      <c r="I2093" s="1">
        <v>21.586579056019094</v>
      </c>
    </row>
    <row r="2094" spans="1:9" x14ac:dyDescent="0.3">
      <c r="A2094" t="s">
        <v>39</v>
      </c>
      <c r="B2094">
        <v>2018</v>
      </c>
      <c r="C2094">
        <v>4</v>
      </c>
      <c r="D2094" t="s">
        <v>12</v>
      </c>
      <c r="E2094">
        <v>3490</v>
      </c>
      <c r="F2094" s="6">
        <v>689170.07268646813</v>
      </c>
      <c r="G2094" s="5">
        <v>1204434</v>
      </c>
      <c r="H2094">
        <v>0</v>
      </c>
      <c r="I2094" s="1">
        <v>0.57219413657076112</v>
      </c>
    </row>
    <row r="2095" spans="1:9" x14ac:dyDescent="0.3">
      <c r="A2095" t="s">
        <v>39</v>
      </c>
      <c r="B2095">
        <v>2018</v>
      </c>
      <c r="C2095">
        <v>4</v>
      </c>
      <c r="D2095" t="s">
        <v>13</v>
      </c>
      <c r="E2095">
        <v>6046</v>
      </c>
      <c r="F2095" s="6">
        <v>4017822.7393730418</v>
      </c>
      <c r="G2095" s="5">
        <v>1204434</v>
      </c>
      <c r="H2095">
        <v>0</v>
      </c>
      <c r="I2095" s="1">
        <v>3.335859614867267</v>
      </c>
    </row>
    <row r="2096" spans="1:9" x14ac:dyDescent="0.3">
      <c r="A2096" t="s">
        <v>39</v>
      </c>
      <c r="B2096">
        <v>2019</v>
      </c>
      <c r="C2096">
        <v>1</v>
      </c>
      <c r="D2096" t="s">
        <v>10</v>
      </c>
      <c r="E2096">
        <v>313822</v>
      </c>
      <c r="F2096" s="6">
        <v>835983054.25464296</v>
      </c>
      <c r="G2096" s="5">
        <v>1463649</v>
      </c>
      <c r="H2096">
        <v>0</v>
      </c>
      <c r="I2096" s="1">
        <v>571.16361522102841</v>
      </c>
    </row>
    <row r="2097" spans="1:9" x14ac:dyDescent="0.3">
      <c r="A2097" t="s">
        <v>39</v>
      </c>
      <c r="B2097">
        <v>2019</v>
      </c>
      <c r="C2097">
        <v>1</v>
      </c>
      <c r="D2097" t="s">
        <v>9</v>
      </c>
      <c r="E2097">
        <v>124092</v>
      </c>
      <c r="F2097" s="6">
        <v>32635247.523153085</v>
      </c>
      <c r="G2097" s="5">
        <v>1463649</v>
      </c>
      <c r="H2097">
        <v>0</v>
      </c>
      <c r="I2097" s="1">
        <v>22.297181580524487</v>
      </c>
    </row>
    <row r="2098" spans="1:9" x14ac:dyDescent="0.3">
      <c r="A2098" t="s">
        <v>39</v>
      </c>
      <c r="B2098">
        <v>2019</v>
      </c>
      <c r="C2098">
        <v>1</v>
      </c>
      <c r="D2098" t="s">
        <v>11</v>
      </c>
      <c r="E2098">
        <v>54518</v>
      </c>
      <c r="F2098" s="6">
        <v>33763704.680837251</v>
      </c>
      <c r="G2098" s="5">
        <v>1463649</v>
      </c>
      <c r="H2098">
        <v>0</v>
      </c>
      <c r="I2098" s="1">
        <v>23.068170497733576</v>
      </c>
    </row>
    <row r="2099" spans="1:9" x14ac:dyDescent="0.3">
      <c r="A2099" t="s">
        <v>39</v>
      </c>
      <c r="B2099">
        <v>2019</v>
      </c>
      <c r="C2099">
        <v>1</v>
      </c>
      <c r="D2099" t="s">
        <v>12</v>
      </c>
      <c r="E2099">
        <v>3165</v>
      </c>
      <c r="F2099" s="6">
        <v>337570.32284238498</v>
      </c>
      <c r="G2099" s="5">
        <v>1463649</v>
      </c>
      <c r="H2099">
        <v>0</v>
      </c>
      <c r="I2099" s="1">
        <v>0.23063611756806787</v>
      </c>
    </row>
    <row r="2100" spans="1:9" x14ac:dyDescent="0.3">
      <c r="A2100" t="s">
        <v>39</v>
      </c>
      <c r="B2100">
        <v>2019</v>
      </c>
      <c r="C2100">
        <v>1</v>
      </c>
      <c r="D2100" t="s">
        <v>13</v>
      </c>
      <c r="E2100">
        <v>5495</v>
      </c>
      <c r="F2100" s="6">
        <v>3753447.525046112</v>
      </c>
      <c r="G2100" s="5">
        <v>1463649</v>
      </c>
      <c r="H2100">
        <v>0</v>
      </c>
      <c r="I2100" s="1">
        <v>2.5644451128966796</v>
      </c>
    </row>
    <row r="2101" spans="1:9" x14ac:dyDescent="0.3">
      <c r="A2101" t="s">
        <v>39</v>
      </c>
      <c r="B2101">
        <v>2019</v>
      </c>
      <c r="C2101">
        <v>2</v>
      </c>
      <c r="D2101" t="s">
        <v>10</v>
      </c>
      <c r="E2101">
        <v>331248</v>
      </c>
      <c r="F2101" s="6">
        <v>1109343371.746654</v>
      </c>
      <c r="G2101" s="5">
        <v>1721038</v>
      </c>
      <c r="H2101">
        <v>7281252</v>
      </c>
      <c r="I2101" s="1">
        <v>644.57808121996959</v>
      </c>
    </row>
    <row r="2102" spans="1:9" x14ac:dyDescent="0.3">
      <c r="A2102" t="s">
        <v>39</v>
      </c>
      <c r="B2102">
        <v>2019</v>
      </c>
      <c r="C2102">
        <v>2</v>
      </c>
      <c r="D2102" t="s">
        <v>9</v>
      </c>
      <c r="E2102">
        <v>147585</v>
      </c>
      <c r="F2102" s="6">
        <v>46876569.36325147</v>
      </c>
      <c r="G2102" s="5">
        <v>1721038</v>
      </c>
      <c r="H2102">
        <v>7281252</v>
      </c>
      <c r="I2102" s="1">
        <v>27.237381953943764</v>
      </c>
    </row>
    <row r="2103" spans="1:9" x14ac:dyDescent="0.3">
      <c r="A2103" t="s">
        <v>39</v>
      </c>
      <c r="B2103">
        <v>2019</v>
      </c>
      <c r="C2103">
        <v>2</v>
      </c>
      <c r="D2103" t="s">
        <v>11</v>
      </c>
      <c r="E2103">
        <v>92941</v>
      </c>
      <c r="F2103" s="6">
        <v>49963601.615546763</v>
      </c>
      <c r="G2103" s="5">
        <v>1721038</v>
      </c>
      <c r="H2103">
        <v>7281252</v>
      </c>
      <c r="I2103" s="1">
        <v>29.031085667804408</v>
      </c>
    </row>
    <row r="2104" spans="1:9" x14ac:dyDescent="0.3">
      <c r="A2104" t="s">
        <v>39</v>
      </c>
      <c r="B2104">
        <v>2019</v>
      </c>
      <c r="C2104">
        <v>2</v>
      </c>
      <c r="D2104" t="s">
        <v>12</v>
      </c>
      <c r="E2104">
        <v>1524</v>
      </c>
      <c r="F2104" s="6">
        <v>469351.54819677607</v>
      </c>
      <c r="G2104" s="5">
        <v>1721038</v>
      </c>
      <c r="H2104">
        <v>7281252</v>
      </c>
      <c r="I2104" s="1">
        <v>0.2727142272261136</v>
      </c>
    </row>
    <row r="2105" spans="1:9" x14ac:dyDescent="0.3">
      <c r="A2105" t="s">
        <v>39</v>
      </c>
      <c r="B2105">
        <v>2019</v>
      </c>
      <c r="C2105">
        <v>2</v>
      </c>
      <c r="D2105" t="s">
        <v>13</v>
      </c>
      <c r="E2105">
        <v>6779</v>
      </c>
      <c r="F2105" s="6">
        <v>4794015.8541584257</v>
      </c>
      <c r="G2105" s="5">
        <v>1721038</v>
      </c>
      <c r="H2105">
        <v>7281252</v>
      </c>
      <c r="I2105" s="1">
        <v>2.785537480380111</v>
      </c>
    </row>
    <row r="2106" spans="1:9" x14ac:dyDescent="0.3">
      <c r="A2106" t="s">
        <v>39</v>
      </c>
      <c r="B2106">
        <v>2019</v>
      </c>
      <c r="C2106">
        <v>3</v>
      </c>
      <c r="D2106" t="s">
        <v>10</v>
      </c>
      <c r="E2106">
        <v>394866</v>
      </c>
      <c r="F2106" s="6">
        <v>1316118199.6720929</v>
      </c>
      <c r="G2106" s="5">
        <v>1956548</v>
      </c>
      <c r="H2106">
        <v>27246142</v>
      </c>
      <c r="I2106" s="1">
        <v>672.67360661332759</v>
      </c>
    </row>
    <row r="2107" spans="1:9" x14ac:dyDescent="0.3">
      <c r="A2107" t="s">
        <v>39</v>
      </c>
      <c r="B2107">
        <v>2019</v>
      </c>
      <c r="C2107">
        <v>3</v>
      </c>
      <c r="D2107" t="s">
        <v>9</v>
      </c>
      <c r="E2107">
        <v>158483</v>
      </c>
      <c r="F2107" s="6">
        <v>57003044.295498252</v>
      </c>
      <c r="G2107" s="5">
        <v>1956548</v>
      </c>
      <c r="H2107">
        <v>27246142</v>
      </c>
      <c r="I2107" s="1">
        <v>29.134498256878057</v>
      </c>
    </row>
    <row r="2108" spans="1:9" x14ac:dyDescent="0.3">
      <c r="A2108" t="s">
        <v>39</v>
      </c>
      <c r="B2108">
        <v>2019</v>
      </c>
      <c r="C2108">
        <v>3</v>
      </c>
      <c r="D2108" t="s">
        <v>11</v>
      </c>
      <c r="E2108">
        <v>156137</v>
      </c>
      <c r="F2108" s="6">
        <v>82601335.478254139</v>
      </c>
      <c r="G2108" s="5">
        <v>1956548</v>
      </c>
      <c r="H2108">
        <v>27246142</v>
      </c>
      <c r="I2108" s="1">
        <v>42.217893697601156</v>
      </c>
    </row>
    <row r="2109" spans="1:9" x14ac:dyDescent="0.3">
      <c r="A2109" t="s">
        <v>39</v>
      </c>
      <c r="B2109">
        <v>2019</v>
      </c>
      <c r="C2109">
        <v>3</v>
      </c>
      <c r="D2109" t="s">
        <v>12</v>
      </c>
      <c r="E2109">
        <v>1090</v>
      </c>
      <c r="F2109" s="6">
        <v>528680.89759528893</v>
      </c>
      <c r="G2109" s="5">
        <v>1956548</v>
      </c>
      <c r="H2109">
        <v>27246142</v>
      </c>
      <c r="I2109" s="1">
        <v>0.27021105416033181</v>
      </c>
    </row>
    <row r="2110" spans="1:9" x14ac:dyDescent="0.3">
      <c r="A2110" t="s">
        <v>39</v>
      </c>
      <c r="B2110">
        <v>2019</v>
      </c>
      <c r="C2110">
        <v>3</v>
      </c>
      <c r="D2110" t="s">
        <v>13</v>
      </c>
      <c r="E2110">
        <v>6250</v>
      </c>
      <c r="F2110" s="6">
        <v>4457097.1119702151</v>
      </c>
      <c r="G2110" s="5">
        <v>1956548</v>
      </c>
      <c r="H2110">
        <v>27246142</v>
      </c>
      <c r="I2110" s="1">
        <v>2.2780412808529182</v>
      </c>
    </row>
    <row r="2111" spans="1:9" x14ac:dyDescent="0.3">
      <c r="A2111" t="s">
        <v>39</v>
      </c>
      <c r="B2111">
        <v>2019</v>
      </c>
      <c r="C2111">
        <v>4</v>
      </c>
      <c r="D2111" t="s">
        <v>10</v>
      </c>
      <c r="E2111">
        <v>559670</v>
      </c>
      <c r="F2111" s="6">
        <v>1725523873.442102</v>
      </c>
      <c r="G2111" s="5">
        <v>2247212</v>
      </c>
      <c r="H2111">
        <v>35894342</v>
      </c>
      <c r="I2111" s="1">
        <v>767.85095195384417</v>
      </c>
    </row>
    <row r="2112" spans="1:9" x14ac:dyDescent="0.3">
      <c r="A2112" t="s">
        <v>39</v>
      </c>
      <c r="B2112">
        <v>2019</v>
      </c>
      <c r="C2112">
        <v>4</v>
      </c>
      <c r="D2112" t="s">
        <v>11</v>
      </c>
      <c r="E2112">
        <v>249621</v>
      </c>
      <c r="F2112" s="6">
        <v>128039884.38667427</v>
      </c>
      <c r="G2112" s="5">
        <v>2247212</v>
      </c>
      <c r="H2112">
        <v>35894342</v>
      </c>
      <c r="I2112" s="1">
        <v>56.977216384869017</v>
      </c>
    </row>
    <row r="2113" spans="1:9" x14ac:dyDescent="0.3">
      <c r="A2113" t="s">
        <v>39</v>
      </c>
      <c r="B2113">
        <v>2019</v>
      </c>
      <c r="C2113">
        <v>4</v>
      </c>
      <c r="D2113" t="s">
        <v>9</v>
      </c>
      <c r="E2113">
        <v>195707</v>
      </c>
      <c r="F2113" s="6">
        <v>74383571.675933748</v>
      </c>
      <c r="G2113" s="5">
        <v>2247212</v>
      </c>
      <c r="H2113">
        <v>35894342</v>
      </c>
      <c r="I2113" s="1">
        <v>33.10038023823909</v>
      </c>
    </row>
    <row r="2114" spans="1:9" x14ac:dyDescent="0.3">
      <c r="A2114" t="s">
        <v>39</v>
      </c>
      <c r="B2114">
        <v>2019</v>
      </c>
      <c r="C2114">
        <v>4</v>
      </c>
      <c r="D2114" t="s">
        <v>12</v>
      </c>
      <c r="E2114">
        <v>1481</v>
      </c>
      <c r="F2114" s="6">
        <v>391196.12844819052</v>
      </c>
      <c r="G2114" s="5">
        <v>2247212</v>
      </c>
      <c r="H2114">
        <v>35894342</v>
      </c>
      <c r="I2114" s="1">
        <v>0.17408065124616215</v>
      </c>
    </row>
    <row r="2115" spans="1:9" x14ac:dyDescent="0.3">
      <c r="A2115" t="s">
        <v>39</v>
      </c>
      <c r="B2115">
        <v>2019</v>
      </c>
      <c r="C2115">
        <v>4</v>
      </c>
      <c r="D2115" t="s">
        <v>13</v>
      </c>
      <c r="E2115">
        <v>6176</v>
      </c>
      <c r="F2115" s="6">
        <v>3689792.2457444831</v>
      </c>
      <c r="G2115" s="5">
        <v>2247212</v>
      </c>
      <c r="H2115">
        <v>35894342</v>
      </c>
      <c r="I2115" s="1">
        <v>1.6419422136160198</v>
      </c>
    </row>
    <row r="2116" spans="1:9" x14ac:dyDescent="0.3">
      <c r="A2116" t="s">
        <v>39</v>
      </c>
      <c r="B2116">
        <v>2020</v>
      </c>
      <c r="C2116">
        <v>1</v>
      </c>
      <c r="D2116" t="s">
        <v>10</v>
      </c>
      <c r="E2116">
        <v>600290</v>
      </c>
      <c r="F2116" s="6">
        <v>1919499665.8834748</v>
      </c>
      <c r="G2116" s="5">
        <v>2539988</v>
      </c>
      <c r="H2116">
        <v>42030373</v>
      </c>
      <c r="I2116" s="1">
        <v>755.71210016877046</v>
      </c>
    </row>
    <row r="2117" spans="1:9" x14ac:dyDescent="0.3">
      <c r="A2117" t="s">
        <v>39</v>
      </c>
      <c r="B2117">
        <v>2020</v>
      </c>
      <c r="C2117">
        <v>1</v>
      </c>
      <c r="D2117" t="s">
        <v>11</v>
      </c>
      <c r="E2117">
        <v>349788</v>
      </c>
      <c r="F2117" s="6">
        <v>184925417.68654612</v>
      </c>
      <c r="G2117" s="5">
        <v>2539988</v>
      </c>
      <c r="H2117">
        <v>42030373</v>
      </c>
      <c r="I2117" s="1">
        <v>72.805626517348159</v>
      </c>
    </row>
    <row r="2118" spans="1:9" x14ac:dyDescent="0.3">
      <c r="A2118" t="s">
        <v>39</v>
      </c>
      <c r="B2118">
        <v>2020</v>
      </c>
      <c r="C2118">
        <v>1</v>
      </c>
      <c r="D2118" t="s">
        <v>9</v>
      </c>
      <c r="E2118">
        <v>251115</v>
      </c>
      <c r="F2118" s="6">
        <v>96515615.435203537</v>
      </c>
      <c r="G2118" s="5">
        <v>2539988</v>
      </c>
      <c r="H2118">
        <v>42030373</v>
      </c>
      <c r="I2118" s="1">
        <v>37.998453313639097</v>
      </c>
    </row>
    <row r="2119" spans="1:9" x14ac:dyDescent="0.3">
      <c r="A2119" t="s">
        <v>39</v>
      </c>
      <c r="B2119">
        <v>2020</v>
      </c>
      <c r="C2119">
        <v>1</v>
      </c>
      <c r="D2119" t="s">
        <v>12</v>
      </c>
      <c r="E2119">
        <v>1527</v>
      </c>
      <c r="F2119" s="6">
        <v>858236.54982346343</v>
      </c>
      <c r="G2119" s="5">
        <v>2539988</v>
      </c>
      <c r="H2119">
        <v>42030373</v>
      </c>
      <c r="I2119" s="1">
        <v>0.33789000177302547</v>
      </c>
    </row>
    <row r="2120" spans="1:9" x14ac:dyDescent="0.3">
      <c r="A2120" t="s">
        <v>39</v>
      </c>
      <c r="B2120">
        <v>2020</v>
      </c>
      <c r="C2120">
        <v>1</v>
      </c>
      <c r="D2120" t="s">
        <v>13</v>
      </c>
      <c r="E2120">
        <v>5201</v>
      </c>
      <c r="F2120" s="6">
        <v>3478541.5245353868</v>
      </c>
      <c r="G2120" s="5">
        <v>2539988</v>
      </c>
      <c r="H2120">
        <v>42030373</v>
      </c>
      <c r="I2120" s="1">
        <v>1.3695110073493997</v>
      </c>
    </row>
    <row r="2121" spans="1:9" x14ac:dyDescent="0.3">
      <c r="A2121" t="s">
        <v>39</v>
      </c>
      <c r="B2121">
        <v>2020</v>
      </c>
      <c r="C2121">
        <v>2</v>
      </c>
      <c r="D2121" t="s">
        <v>10</v>
      </c>
      <c r="E2121">
        <v>468789</v>
      </c>
      <c r="F2121" s="6">
        <v>1680190117.5830743</v>
      </c>
      <c r="G2121" s="5">
        <v>2811600</v>
      </c>
      <c r="H2121">
        <v>33633688</v>
      </c>
      <c r="I2121" s="1">
        <v>597.59216018746417</v>
      </c>
    </row>
    <row r="2122" spans="1:9" x14ac:dyDescent="0.3">
      <c r="A2122" t="s">
        <v>39</v>
      </c>
      <c r="B2122">
        <v>2020</v>
      </c>
      <c r="C2122">
        <v>2</v>
      </c>
      <c r="D2122" t="s">
        <v>9</v>
      </c>
      <c r="E2122">
        <v>310746</v>
      </c>
      <c r="F2122" s="6">
        <v>115223074.03158064</v>
      </c>
      <c r="G2122" s="5">
        <v>2811600</v>
      </c>
      <c r="H2122">
        <v>33633688</v>
      </c>
      <c r="I2122" s="1">
        <v>40.981318121916573</v>
      </c>
    </row>
    <row r="2123" spans="1:9" x14ac:dyDescent="0.3">
      <c r="A2123" t="s">
        <v>39</v>
      </c>
      <c r="B2123">
        <v>2020</v>
      </c>
      <c r="C2123">
        <v>2</v>
      </c>
      <c r="D2123" t="s">
        <v>11</v>
      </c>
      <c r="E2123">
        <v>249951</v>
      </c>
      <c r="F2123" s="6">
        <v>160931601.28167117</v>
      </c>
      <c r="G2123" s="5">
        <v>2811600</v>
      </c>
      <c r="H2123">
        <v>33633688</v>
      </c>
      <c r="I2123" s="1">
        <v>57.238441201334176</v>
      </c>
    </row>
    <row r="2124" spans="1:9" x14ac:dyDescent="0.3">
      <c r="A2124" t="s">
        <v>39</v>
      </c>
      <c r="B2124">
        <v>2020</v>
      </c>
      <c r="C2124">
        <v>2</v>
      </c>
      <c r="D2124" t="s">
        <v>12</v>
      </c>
      <c r="E2124">
        <v>1555</v>
      </c>
      <c r="F2124" s="6">
        <v>2339469.0036580288</v>
      </c>
      <c r="G2124" s="5">
        <v>2811600</v>
      </c>
      <c r="H2124">
        <v>33633688</v>
      </c>
      <c r="I2124" s="1">
        <v>0.83207746608978117</v>
      </c>
    </row>
    <row r="2125" spans="1:9" x14ac:dyDescent="0.3">
      <c r="A2125" t="s">
        <v>39</v>
      </c>
      <c r="B2125">
        <v>2020</v>
      </c>
      <c r="C2125">
        <v>2</v>
      </c>
      <c r="D2125" t="s">
        <v>13</v>
      </c>
      <c r="E2125">
        <v>2342</v>
      </c>
      <c r="F2125" s="6">
        <v>1346718.5876069884</v>
      </c>
      <c r="G2125" s="5">
        <v>2811600</v>
      </c>
      <c r="H2125">
        <v>33633688</v>
      </c>
      <c r="I2125" s="1">
        <v>0.47898655129000867</v>
      </c>
    </row>
    <row r="2126" spans="1:9" x14ac:dyDescent="0.3">
      <c r="A2126" t="s">
        <v>39</v>
      </c>
      <c r="B2126">
        <v>2020</v>
      </c>
      <c r="C2126">
        <v>3</v>
      </c>
      <c r="D2126" t="s">
        <v>10</v>
      </c>
      <c r="E2126">
        <v>855511</v>
      </c>
      <c r="F2126" s="6">
        <v>3116583524.6597652</v>
      </c>
      <c r="G2126" s="5">
        <v>3136903</v>
      </c>
      <c r="H2126">
        <v>46443749</v>
      </c>
      <c r="I2126" s="1">
        <v>993.52244065556545</v>
      </c>
    </row>
    <row r="2127" spans="1:9" x14ac:dyDescent="0.3">
      <c r="A2127" t="s">
        <v>39</v>
      </c>
      <c r="B2127">
        <v>2020</v>
      </c>
      <c r="C2127">
        <v>3</v>
      </c>
      <c r="D2127" t="s">
        <v>11</v>
      </c>
      <c r="E2127">
        <v>560420</v>
      </c>
      <c r="F2127" s="6">
        <v>335583369.65612602</v>
      </c>
      <c r="G2127" s="5">
        <v>3136903</v>
      </c>
      <c r="H2127">
        <v>46443749</v>
      </c>
      <c r="I2127" s="1">
        <v>106.97919880089567</v>
      </c>
    </row>
    <row r="2128" spans="1:9" x14ac:dyDescent="0.3">
      <c r="A2128" t="s">
        <v>39</v>
      </c>
      <c r="B2128">
        <v>2020</v>
      </c>
      <c r="C2128">
        <v>3</v>
      </c>
      <c r="D2128" t="s">
        <v>9</v>
      </c>
      <c r="E2128">
        <v>306852</v>
      </c>
      <c r="F2128" s="6">
        <v>138925436.52727452</v>
      </c>
      <c r="G2128" s="5">
        <v>3136903</v>
      </c>
      <c r="H2128">
        <v>46443749</v>
      </c>
      <c r="I2128" s="1">
        <v>44.287450561038874</v>
      </c>
    </row>
    <row r="2129" spans="1:9" x14ac:dyDescent="0.3">
      <c r="A2129" t="s">
        <v>39</v>
      </c>
      <c r="B2129">
        <v>2020</v>
      </c>
      <c r="C2129">
        <v>3</v>
      </c>
      <c r="D2129" t="s">
        <v>12</v>
      </c>
      <c r="E2129">
        <v>3039</v>
      </c>
      <c r="F2129" s="6">
        <v>4788490.3633704996</v>
      </c>
      <c r="G2129" s="5">
        <v>3136903</v>
      </c>
      <c r="H2129">
        <v>46443749</v>
      </c>
      <c r="I2129" s="1">
        <v>1.5265025292049195</v>
      </c>
    </row>
    <row r="2130" spans="1:9" x14ac:dyDescent="0.3">
      <c r="A2130" t="s">
        <v>39</v>
      </c>
      <c r="B2130">
        <v>2020</v>
      </c>
      <c r="C2130">
        <v>3</v>
      </c>
      <c r="D2130" t="s">
        <v>13</v>
      </c>
      <c r="E2130">
        <v>5080</v>
      </c>
      <c r="F2130" s="6">
        <v>2199408.2280669413</v>
      </c>
      <c r="G2130" s="5">
        <v>3136903</v>
      </c>
      <c r="H2130">
        <v>46443749</v>
      </c>
      <c r="I2130" s="1">
        <v>0.70114001869580966</v>
      </c>
    </row>
    <row r="2131" spans="1:9" x14ac:dyDescent="0.3">
      <c r="A2131" t="s">
        <v>39</v>
      </c>
      <c r="B2131">
        <v>2020</v>
      </c>
      <c r="C2131">
        <v>4</v>
      </c>
      <c r="D2131" t="s">
        <v>10</v>
      </c>
      <c r="E2131">
        <v>1211359</v>
      </c>
      <c r="F2131" s="6">
        <v>4090057482.9812045</v>
      </c>
      <c r="G2131" s="5">
        <v>3515886</v>
      </c>
      <c r="H2131">
        <v>70148496</v>
      </c>
      <c r="I2131" s="1">
        <v>1163.3077645239932</v>
      </c>
    </row>
    <row r="2132" spans="1:9" x14ac:dyDescent="0.3">
      <c r="A2132" t="s">
        <v>39</v>
      </c>
      <c r="B2132">
        <v>2020</v>
      </c>
      <c r="C2132">
        <v>4</v>
      </c>
      <c r="D2132" t="s">
        <v>11</v>
      </c>
      <c r="E2132">
        <v>1108292</v>
      </c>
      <c r="F2132" s="6">
        <v>647985607.5763036</v>
      </c>
      <c r="G2132" s="5">
        <v>3515886</v>
      </c>
      <c r="H2132">
        <v>70148496</v>
      </c>
      <c r="I2132" s="1">
        <v>184.30222355796053</v>
      </c>
    </row>
    <row r="2133" spans="1:9" x14ac:dyDescent="0.3">
      <c r="A2133" t="s">
        <v>39</v>
      </c>
      <c r="B2133">
        <v>2020</v>
      </c>
      <c r="C2133">
        <v>4</v>
      </c>
      <c r="D2133" t="s">
        <v>9</v>
      </c>
      <c r="E2133">
        <v>383707</v>
      </c>
      <c r="F2133" s="6">
        <v>184037245.74375987</v>
      </c>
      <c r="G2133" s="5">
        <v>3515886</v>
      </c>
      <c r="H2133">
        <v>70148496</v>
      </c>
      <c r="I2133" s="1">
        <v>52.344486068023784</v>
      </c>
    </row>
    <row r="2134" spans="1:9" x14ac:dyDescent="0.3">
      <c r="A2134" t="s">
        <v>39</v>
      </c>
      <c r="B2134">
        <v>2020</v>
      </c>
      <c r="C2134">
        <v>4</v>
      </c>
      <c r="D2134" t="s">
        <v>12</v>
      </c>
      <c r="E2134">
        <v>3783</v>
      </c>
      <c r="F2134" s="6">
        <v>3888988.2367634568</v>
      </c>
      <c r="G2134" s="5">
        <v>3515886</v>
      </c>
      <c r="H2134">
        <v>70148496</v>
      </c>
      <c r="I2134" s="1">
        <v>1.1061189801840723</v>
      </c>
    </row>
    <row r="2135" spans="1:9" x14ac:dyDescent="0.3">
      <c r="A2135" t="s">
        <v>39</v>
      </c>
      <c r="B2135">
        <v>2020</v>
      </c>
      <c r="C2135">
        <v>4</v>
      </c>
      <c r="D2135" t="s">
        <v>13</v>
      </c>
      <c r="E2135">
        <v>8862</v>
      </c>
      <c r="F2135" s="6">
        <v>4556893.1331745479</v>
      </c>
      <c r="G2135" s="5">
        <v>3515886</v>
      </c>
      <c r="H2135">
        <v>70148496</v>
      </c>
      <c r="I2135" s="1">
        <v>1.2960867141808774</v>
      </c>
    </row>
    <row r="2136" spans="1:9" x14ac:dyDescent="0.3">
      <c r="A2136" t="s">
        <v>39</v>
      </c>
      <c r="B2136">
        <v>2021</v>
      </c>
      <c r="C2136">
        <v>1</v>
      </c>
      <c r="D2136" t="s">
        <v>10</v>
      </c>
      <c r="E2136">
        <v>1406958</v>
      </c>
      <c r="F2136" s="6">
        <v>4798646712.5019426</v>
      </c>
      <c r="G2136" s="5">
        <v>3809069</v>
      </c>
      <c r="H2136">
        <v>87059577</v>
      </c>
      <c r="I2136" s="1">
        <v>1259.7951658271202</v>
      </c>
    </row>
    <row r="2137" spans="1:9" x14ac:dyDescent="0.3">
      <c r="A2137" t="s">
        <v>39</v>
      </c>
      <c r="B2137">
        <v>2021</v>
      </c>
      <c r="C2137">
        <v>1</v>
      </c>
      <c r="D2137" t="s">
        <v>11</v>
      </c>
      <c r="E2137">
        <v>1385444</v>
      </c>
      <c r="F2137" s="6">
        <v>857787315.62927616</v>
      </c>
      <c r="G2137" s="5">
        <v>3809069</v>
      </c>
      <c r="H2137">
        <v>87059577</v>
      </c>
      <c r="I2137" s="1">
        <v>225.19605594681434</v>
      </c>
    </row>
    <row r="2138" spans="1:9" x14ac:dyDescent="0.3">
      <c r="A2138" t="s">
        <v>39</v>
      </c>
      <c r="B2138">
        <v>2021</v>
      </c>
      <c r="C2138">
        <v>1</v>
      </c>
      <c r="D2138" t="s">
        <v>9</v>
      </c>
      <c r="E2138">
        <v>504499</v>
      </c>
      <c r="F2138" s="6">
        <v>231829246.92353857</v>
      </c>
      <c r="G2138" s="5">
        <v>3809069</v>
      </c>
      <c r="H2138">
        <v>87059577</v>
      </c>
      <c r="I2138" s="1">
        <v>60.862443532406097</v>
      </c>
    </row>
    <row r="2139" spans="1:9" x14ac:dyDescent="0.3">
      <c r="A2139" t="s">
        <v>39</v>
      </c>
      <c r="B2139">
        <v>2021</v>
      </c>
      <c r="C2139">
        <v>1</v>
      </c>
      <c r="D2139" t="s">
        <v>12</v>
      </c>
      <c r="E2139">
        <v>5073</v>
      </c>
      <c r="F2139" s="6">
        <v>5953397.4349969355</v>
      </c>
      <c r="G2139" s="5">
        <v>3809069</v>
      </c>
      <c r="H2139">
        <v>87059577</v>
      </c>
      <c r="I2139" s="1">
        <v>1.562953423788578</v>
      </c>
    </row>
    <row r="2140" spans="1:9" x14ac:dyDescent="0.3">
      <c r="A2140" t="s">
        <v>39</v>
      </c>
      <c r="B2140">
        <v>2021</v>
      </c>
      <c r="C2140">
        <v>1</v>
      </c>
      <c r="D2140" t="s">
        <v>13</v>
      </c>
      <c r="E2140">
        <v>7458</v>
      </c>
      <c r="F2140" s="6">
        <v>5092899.2538959524</v>
      </c>
      <c r="G2140" s="5">
        <v>3809069</v>
      </c>
      <c r="H2140">
        <v>87059577</v>
      </c>
      <c r="I2140" s="1">
        <v>1.3370456806888908</v>
      </c>
    </row>
    <row r="2141" spans="1:9" x14ac:dyDescent="0.3">
      <c r="A2141" t="s">
        <v>39</v>
      </c>
      <c r="B2141">
        <v>2021</v>
      </c>
      <c r="C2141">
        <v>2</v>
      </c>
      <c r="D2141" t="s">
        <v>10</v>
      </c>
      <c r="E2141">
        <v>1581221</v>
      </c>
      <c r="F2141" s="6">
        <v>5266478797.1422634</v>
      </c>
      <c r="G2141" s="5">
        <v>4069571</v>
      </c>
      <c r="H2141">
        <v>56968076</v>
      </c>
      <c r="I2141" s="1">
        <v>1294.1115407845848</v>
      </c>
    </row>
    <row r="2142" spans="1:9" x14ac:dyDescent="0.3">
      <c r="A2142" t="s">
        <v>39</v>
      </c>
      <c r="B2142">
        <v>2021</v>
      </c>
      <c r="C2142">
        <v>2</v>
      </c>
      <c r="D2142" t="s">
        <v>11</v>
      </c>
      <c r="E2142">
        <v>1437110</v>
      </c>
      <c r="F2142" s="6">
        <v>932602617.31696916</v>
      </c>
      <c r="G2142" s="5">
        <v>4069571</v>
      </c>
      <c r="H2142">
        <v>56968076</v>
      </c>
      <c r="I2142" s="1">
        <v>229.16484742911948</v>
      </c>
    </row>
    <row r="2143" spans="1:9" x14ac:dyDescent="0.3">
      <c r="A2143" t="s">
        <v>39</v>
      </c>
      <c r="B2143">
        <v>2021</v>
      </c>
      <c r="C2143">
        <v>2</v>
      </c>
      <c r="D2143" t="s">
        <v>9</v>
      </c>
      <c r="E2143">
        <v>719252</v>
      </c>
      <c r="F2143" s="6">
        <v>289799593.15714782</v>
      </c>
      <c r="G2143" s="5">
        <v>4069571</v>
      </c>
      <c r="H2143">
        <v>56968076</v>
      </c>
      <c r="I2143" s="1">
        <v>71.21133730242029</v>
      </c>
    </row>
    <row r="2144" spans="1:9" x14ac:dyDescent="0.3">
      <c r="A2144" t="s">
        <v>39</v>
      </c>
      <c r="B2144">
        <v>2021</v>
      </c>
      <c r="C2144">
        <v>2</v>
      </c>
      <c r="D2144" t="s">
        <v>12</v>
      </c>
      <c r="E2144">
        <v>4851</v>
      </c>
      <c r="F2144" s="6">
        <v>4980243.907969391</v>
      </c>
      <c r="G2144" s="5">
        <v>4069571</v>
      </c>
      <c r="H2144">
        <v>56968076</v>
      </c>
      <c r="I2144" s="1">
        <v>1.223776144455863</v>
      </c>
    </row>
    <row r="2145" spans="1:9" x14ac:dyDescent="0.3">
      <c r="A2145" t="s">
        <v>39</v>
      </c>
      <c r="B2145">
        <v>2021</v>
      </c>
      <c r="C2145">
        <v>2</v>
      </c>
      <c r="D2145" t="s">
        <v>13</v>
      </c>
      <c r="E2145">
        <v>8953</v>
      </c>
      <c r="F2145" s="6">
        <v>4973445.0195440706</v>
      </c>
      <c r="G2145" s="5">
        <v>4069571</v>
      </c>
      <c r="H2145">
        <v>56968076</v>
      </c>
      <c r="I2145" s="1">
        <v>1.2221054798021882</v>
      </c>
    </row>
    <row r="2146" spans="1:9" x14ac:dyDescent="0.3">
      <c r="A2146" t="s">
        <v>39</v>
      </c>
      <c r="B2146">
        <v>2021</v>
      </c>
      <c r="C2146">
        <v>3</v>
      </c>
      <c r="D2146" t="s">
        <v>11</v>
      </c>
      <c r="E2146">
        <v>2273996</v>
      </c>
      <c r="F2146" s="6">
        <v>1443176801.0606492</v>
      </c>
      <c r="G2146" s="5">
        <v>4362699</v>
      </c>
      <c r="H2146">
        <v>75895512</v>
      </c>
      <c r="I2146" s="1">
        <v>330.79907668639277</v>
      </c>
    </row>
    <row r="2147" spans="1:9" x14ac:dyDescent="0.3">
      <c r="A2147" t="s">
        <v>39</v>
      </c>
      <c r="B2147">
        <v>2021</v>
      </c>
      <c r="C2147">
        <v>3</v>
      </c>
      <c r="D2147" t="s">
        <v>10</v>
      </c>
      <c r="E2147">
        <v>2089199</v>
      </c>
      <c r="F2147" s="6">
        <v>6918396493.7784309</v>
      </c>
      <c r="G2147" s="5">
        <v>4362699</v>
      </c>
      <c r="H2147">
        <v>75895512</v>
      </c>
      <c r="I2147" s="1">
        <v>1585.8065142193927</v>
      </c>
    </row>
    <row r="2148" spans="1:9" x14ac:dyDescent="0.3">
      <c r="A2148" t="s">
        <v>39</v>
      </c>
      <c r="B2148">
        <v>2021</v>
      </c>
      <c r="C2148">
        <v>3</v>
      </c>
      <c r="D2148" t="s">
        <v>9</v>
      </c>
      <c r="E2148">
        <v>741388</v>
      </c>
      <c r="F2148" s="6">
        <v>356068931.74410951</v>
      </c>
      <c r="G2148" s="5">
        <v>4362699</v>
      </c>
      <c r="H2148">
        <v>75895512</v>
      </c>
      <c r="I2148" s="1">
        <v>81.616662470665403</v>
      </c>
    </row>
    <row r="2149" spans="1:9" x14ac:dyDescent="0.3">
      <c r="A2149" t="s">
        <v>39</v>
      </c>
      <c r="B2149">
        <v>2021</v>
      </c>
      <c r="C2149">
        <v>3</v>
      </c>
      <c r="D2149" t="s">
        <v>12</v>
      </c>
      <c r="E2149">
        <v>4733</v>
      </c>
      <c r="F2149" s="6">
        <v>5523949.081350253</v>
      </c>
      <c r="G2149" s="5">
        <v>4362699</v>
      </c>
      <c r="H2149">
        <v>75895512</v>
      </c>
      <c r="I2149" s="1">
        <v>1.2661769884537653</v>
      </c>
    </row>
    <row r="2150" spans="1:9" x14ac:dyDescent="0.3">
      <c r="A2150" t="s">
        <v>39</v>
      </c>
      <c r="B2150">
        <v>2021</v>
      </c>
      <c r="C2150">
        <v>3</v>
      </c>
      <c r="D2150" t="s">
        <v>13</v>
      </c>
      <c r="E2150">
        <v>12410</v>
      </c>
      <c r="F2150" s="6">
        <v>6808255.3499292061</v>
      </c>
      <c r="G2150" s="5">
        <v>4362699</v>
      </c>
      <c r="H2150">
        <v>75895512</v>
      </c>
      <c r="I2150" s="1">
        <v>1.5605604122423311</v>
      </c>
    </row>
    <row r="2151" spans="1:9" x14ac:dyDescent="0.3">
      <c r="A2151" t="s">
        <v>39</v>
      </c>
      <c r="B2151">
        <v>2021</v>
      </c>
      <c r="C2151">
        <v>4</v>
      </c>
      <c r="D2151" t="s">
        <v>11</v>
      </c>
      <c r="E2151">
        <v>3052713</v>
      </c>
      <c r="F2151" s="6">
        <v>1864951565.9282069</v>
      </c>
      <c r="G2151" s="5">
        <v>4654837</v>
      </c>
      <c r="H2151">
        <v>156833248</v>
      </c>
      <c r="I2151" s="1">
        <v>400.64809271048739</v>
      </c>
    </row>
    <row r="2152" spans="1:9" x14ac:dyDescent="0.3">
      <c r="A2152" t="s">
        <v>39</v>
      </c>
      <c r="B2152">
        <v>2021</v>
      </c>
      <c r="C2152">
        <v>4</v>
      </c>
      <c r="D2152" t="s">
        <v>10</v>
      </c>
      <c r="E2152">
        <v>2530821</v>
      </c>
      <c r="F2152" s="6">
        <v>8113722339.4470339</v>
      </c>
      <c r="G2152" s="5">
        <v>4654837</v>
      </c>
      <c r="H2152">
        <v>156833248</v>
      </c>
      <c r="I2152" s="1">
        <v>1743.0733534701717</v>
      </c>
    </row>
    <row r="2153" spans="1:9" x14ac:dyDescent="0.3">
      <c r="A2153" t="s">
        <v>39</v>
      </c>
      <c r="B2153">
        <v>2021</v>
      </c>
      <c r="C2153">
        <v>4</v>
      </c>
      <c r="D2153" t="s">
        <v>9</v>
      </c>
      <c r="E2153">
        <v>762641</v>
      </c>
      <c r="F2153" s="6">
        <v>428453211.31208152</v>
      </c>
      <c r="G2153" s="5">
        <v>4654837</v>
      </c>
      <c r="H2153">
        <v>156833248</v>
      </c>
      <c r="I2153" s="1">
        <v>92.044729238012309</v>
      </c>
    </row>
    <row r="2154" spans="1:9" x14ac:dyDescent="0.3">
      <c r="A2154" t="s">
        <v>39</v>
      </c>
      <c r="B2154">
        <v>2021</v>
      </c>
      <c r="C2154">
        <v>4</v>
      </c>
      <c r="D2154" t="s">
        <v>12</v>
      </c>
      <c r="E2154">
        <v>5995</v>
      </c>
      <c r="F2154" s="6">
        <v>7655925.1085546799</v>
      </c>
      <c r="G2154" s="5">
        <v>4654837</v>
      </c>
      <c r="H2154">
        <v>156833248</v>
      </c>
      <c r="I2154" s="1">
        <v>1.6447246398863546</v>
      </c>
    </row>
    <row r="2155" spans="1:9" x14ac:dyDescent="0.3">
      <c r="A2155" t="s">
        <v>39</v>
      </c>
      <c r="B2155">
        <v>2021</v>
      </c>
      <c r="C2155">
        <v>4</v>
      </c>
      <c r="D2155" t="s">
        <v>13</v>
      </c>
      <c r="E2155">
        <v>16640</v>
      </c>
      <c r="F2155" s="6">
        <v>8868759.4346358906</v>
      </c>
      <c r="G2155" s="5">
        <v>4654837</v>
      </c>
      <c r="H2155">
        <v>156833248</v>
      </c>
      <c r="I2155" s="1">
        <v>1.9052781944106507</v>
      </c>
    </row>
    <row r="2156" spans="1:9" x14ac:dyDescent="0.3">
      <c r="A2156" t="s">
        <v>40</v>
      </c>
      <c r="B2156">
        <v>2018</v>
      </c>
      <c r="C2156">
        <v>1</v>
      </c>
      <c r="D2156" t="s">
        <v>9</v>
      </c>
      <c r="E2156">
        <v>946338</v>
      </c>
      <c r="F2156" s="6">
        <v>196018621.35851485</v>
      </c>
      <c r="G2156" s="5">
        <v>9318562</v>
      </c>
      <c r="H2156">
        <v>0</v>
      </c>
      <c r="I2156" s="1">
        <v>21.035286491468838</v>
      </c>
    </row>
    <row r="2157" spans="1:9" x14ac:dyDescent="0.3">
      <c r="A2157" t="s">
        <v>40</v>
      </c>
      <c r="B2157">
        <v>2018</v>
      </c>
      <c r="C2157">
        <v>1</v>
      </c>
      <c r="D2157" t="s">
        <v>10</v>
      </c>
      <c r="E2157">
        <v>690684</v>
      </c>
      <c r="F2157" s="6">
        <v>2412434633.5413933</v>
      </c>
      <c r="G2157" s="5">
        <v>9318562</v>
      </c>
      <c r="H2157">
        <v>0</v>
      </c>
      <c r="I2157" s="1">
        <v>258.88486158501638</v>
      </c>
    </row>
    <row r="2158" spans="1:9" x14ac:dyDescent="0.3">
      <c r="A2158" t="s">
        <v>40</v>
      </c>
      <c r="B2158">
        <v>2018</v>
      </c>
      <c r="C2158">
        <v>1</v>
      </c>
      <c r="D2158" t="s">
        <v>11</v>
      </c>
      <c r="E2158">
        <v>87477</v>
      </c>
      <c r="F2158" s="6">
        <v>83873893.962043241</v>
      </c>
      <c r="G2158" s="5">
        <v>9318562</v>
      </c>
      <c r="H2158">
        <v>0</v>
      </c>
      <c r="I2158" s="1">
        <v>9.0007335855084989</v>
      </c>
    </row>
    <row r="2159" spans="1:9" x14ac:dyDescent="0.3">
      <c r="A2159" t="s">
        <v>40</v>
      </c>
      <c r="B2159">
        <v>2018</v>
      </c>
      <c r="C2159">
        <v>1</v>
      </c>
      <c r="D2159" t="s">
        <v>12</v>
      </c>
      <c r="E2159">
        <v>60688</v>
      </c>
      <c r="F2159" s="6">
        <v>11162488.423236402</v>
      </c>
      <c r="G2159" s="5">
        <v>9318562</v>
      </c>
      <c r="H2159">
        <v>0</v>
      </c>
      <c r="I2159" s="1">
        <v>1.1978767135139952</v>
      </c>
    </row>
    <row r="2160" spans="1:9" x14ac:dyDescent="0.3">
      <c r="A2160" t="s">
        <v>40</v>
      </c>
      <c r="B2160">
        <v>2018</v>
      </c>
      <c r="C2160">
        <v>1</v>
      </c>
      <c r="D2160" t="s">
        <v>13</v>
      </c>
      <c r="E2160">
        <v>85246</v>
      </c>
      <c r="F2160" s="6">
        <v>77268587.569207966</v>
      </c>
      <c r="G2160" s="5">
        <v>9318562</v>
      </c>
      <c r="H2160">
        <v>0</v>
      </c>
      <c r="I2160" s="1">
        <v>8.2919003564292399</v>
      </c>
    </row>
    <row r="2161" spans="1:9" x14ac:dyDescent="0.3">
      <c r="A2161" t="s">
        <v>40</v>
      </c>
      <c r="B2161">
        <v>2018</v>
      </c>
      <c r="C2161">
        <v>2</v>
      </c>
      <c r="D2161" t="s">
        <v>9</v>
      </c>
      <c r="E2161">
        <v>1262450</v>
      </c>
      <c r="F2161" s="6">
        <v>395417027.84974498</v>
      </c>
      <c r="G2161" s="5">
        <v>12674090</v>
      </c>
      <c r="H2161">
        <v>0</v>
      </c>
      <c r="I2161" s="1">
        <v>31.198849609695447</v>
      </c>
    </row>
    <row r="2162" spans="1:9" x14ac:dyDescent="0.3">
      <c r="A2162" t="s">
        <v>40</v>
      </c>
      <c r="B2162">
        <v>2018</v>
      </c>
      <c r="C2162">
        <v>2</v>
      </c>
      <c r="D2162" t="s">
        <v>10</v>
      </c>
      <c r="E2162">
        <v>1017159</v>
      </c>
      <c r="F2162" s="6">
        <v>4036457553.7177477</v>
      </c>
      <c r="G2162" s="5">
        <v>12674090</v>
      </c>
      <c r="H2162">
        <v>0</v>
      </c>
      <c r="I2162" s="1">
        <v>318.48105494893503</v>
      </c>
    </row>
    <row r="2163" spans="1:9" x14ac:dyDescent="0.3">
      <c r="A2163" t="s">
        <v>40</v>
      </c>
      <c r="B2163">
        <v>2018</v>
      </c>
      <c r="C2163">
        <v>2</v>
      </c>
      <c r="D2163" t="s">
        <v>11</v>
      </c>
      <c r="E2163">
        <v>147667</v>
      </c>
      <c r="F2163" s="6">
        <v>159406610.2632674</v>
      </c>
      <c r="G2163" s="5">
        <v>12674090</v>
      </c>
      <c r="H2163">
        <v>0</v>
      </c>
      <c r="I2163" s="1">
        <v>12.577361393462363</v>
      </c>
    </row>
    <row r="2164" spans="1:9" x14ac:dyDescent="0.3">
      <c r="A2164" t="s">
        <v>40</v>
      </c>
      <c r="B2164">
        <v>2018</v>
      </c>
      <c r="C2164">
        <v>2</v>
      </c>
      <c r="D2164" t="s">
        <v>12</v>
      </c>
      <c r="E2164">
        <v>82256</v>
      </c>
      <c r="F2164" s="6">
        <v>17719391.411258094</v>
      </c>
      <c r="G2164" s="5">
        <v>12674090</v>
      </c>
      <c r="H2164">
        <v>0</v>
      </c>
      <c r="I2164" s="1">
        <v>1.3980799734938045</v>
      </c>
    </row>
    <row r="2165" spans="1:9" x14ac:dyDescent="0.3">
      <c r="A2165" t="s">
        <v>40</v>
      </c>
      <c r="B2165">
        <v>2018</v>
      </c>
      <c r="C2165">
        <v>2</v>
      </c>
      <c r="D2165" t="s">
        <v>13</v>
      </c>
      <c r="E2165">
        <v>71631</v>
      </c>
      <c r="F2165" s="6">
        <v>75671628.765017703</v>
      </c>
      <c r="G2165" s="5">
        <v>12674090</v>
      </c>
      <c r="H2165">
        <v>0</v>
      </c>
      <c r="I2165" s="1">
        <v>5.9705768828387447</v>
      </c>
    </row>
    <row r="2166" spans="1:9" x14ac:dyDescent="0.3">
      <c r="A2166" t="s">
        <v>40</v>
      </c>
      <c r="B2166">
        <v>2018</v>
      </c>
      <c r="C2166">
        <v>3</v>
      </c>
      <c r="D2166" t="s">
        <v>10</v>
      </c>
      <c r="E2166">
        <v>1684209</v>
      </c>
      <c r="F2166" s="6">
        <v>6173898400.5591173</v>
      </c>
      <c r="G2166" s="5">
        <v>16204628</v>
      </c>
      <c r="H2166">
        <v>0</v>
      </c>
      <c r="I2166" s="1">
        <v>380.99599698056119</v>
      </c>
    </row>
    <row r="2167" spans="1:9" x14ac:dyDescent="0.3">
      <c r="A2167" t="s">
        <v>40</v>
      </c>
      <c r="B2167">
        <v>2018</v>
      </c>
      <c r="C2167">
        <v>3</v>
      </c>
      <c r="D2167" t="s">
        <v>9</v>
      </c>
      <c r="E2167">
        <v>1381730</v>
      </c>
      <c r="F2167" s="6">
        <v>622737633.75249183</v>
      </c>
      <c r="G2167" s="5">
        <v>16204628</v>
      </c>
      <c r="H2167">
        <v>0</v>
      </c>
      <c r="I2167" s="1">
        <v>38.429616141295675</v>
      </c>
    </row>
    <row r="2168" spans="1:9" x14ac:dyDescent="0.3">
      <c r="A2168" t="s">
        <v>40</v>
      </c>
      <c r="B2168">
        <v>2018</v>
      </c>
      <c r="C2168">
        <v>3</v>
      </c>
      <c r="D2168" t="s">
        <v>11</v>
      </c>
      <c r="E2168">
        <v>274458</v>
      </c>
      <c r="F2168" s="6">
        <v>194883994.57571086</v>
      </c>
      <c r="G2168" s="5">
        <v>16204628</v>
      </c>
      <c r="H2168">
        <v>0</v>
      </c>
      <c r="I2168" s="1">
        <v>12.026440506731216</v>
      </c>
    </row>
    <row r="2169" spans="1:9" x14ac:dyDescent="0.3">
      <c r="A2169" t="s">
        <v>40</v>
      </c>
      <c r="B2169">
        <v>2018</v>
      </c>
      <c r="C2169">
        <v>3</v>
      </c>
      <c r="D2169" t="s">
        <v>12</v>
      </c>
      <c r="E2169">
        <v>54285</v>
      </c>
      <c r="F2169" s="6">
        <v>9429174.5346892495</v>
      </c>
      <c r="G2169" s="5">
        <v>16204628</v>
      </c>
      <c r="H2169">
        <v>0</v>
      </c>
      <c r="I2169" s="1">
        <v>0.58188157942837371</v>
      </c>
    </row>
    <row r="2170" spans="1:9" x14ac:dyDescent="0.3">
      <c r="A2170" t="s">
        <v>40</v>
      </c>
      <c r="B2170">
        <v>2018</v>
      </c>
      <c r="C2170">
        <v>3</v>
      </c>
      <c r="D2170" t="s">
        <v>13</v>
      </c>
      <c r="E2170">
        <v>67426</v>
      </c>
      <c r="F2170" s="6">
        <v>64737840.399184637</v>
      </c>
      <c r="G2170" s="5">
        <v>16204628</v>
      </c>
      <c r="H2170">
        <v>0</v>
      </c>
      <c r="I2170" s="1">
        <v>3.9950216937522192</v>
      </c>
    </row>
    <row r="2171" spans="1:9" x14ac:dyDescent="0.3">
      <c r="A2171" t="s">
        <v>40</v>
      </c>
      <c r="B2171">
        <v>2018</v>
      </c>
      <c r="C2171">
        <v>4</v>
      </c>
      <c r="D2171" t="s">
        <v>10</v>
      </c>
      <c r="E2171">
        <v>2269375</v>
      </c>
      <c r="F2171" s="6">
        <v>9404088424.4898911</v>
      </c>
      <c r="G2171" s="5">
        <v>20522865</v>
      </c>
      <c r="H2171">
        <v>0</v>
      </c>
      <c r="I2171" s="1">
        <v>458.22493226408159</v>
      </c>
    </row>
    <row r="2172" spans="1:9" x14ac:dyDescent="0.3">
      <c r="A2172" t="s">
        <v>40</v>
      </c>
      <c r="B2172">
        <v>2018</v>
      </c>
      <c r="C2172">
        <v>4</v>
      </c>
      <c r="D2172" t="s">
        <v>9</v>
      </c>
      <c r="E2172">
        <v>1817964</v>
      </c>
      <c r="F2172" s="6">
        <v>825449591.24103105</v>
      </c>
      <c r="G2172" s="5">
        <v>20522865</v>
      </c>
      <c r="H2172">
        <v>0</v>
      </c>
      <c r="I2172" s="1">
        <v>40.220972619613832</v>
      </c>
    </row>
    <row r="2173" spans="1:9" x14ac:dyDescent="0.3">
      <c r="A2173" t="s">
        <v>40</v>
      </c>
      <c r="B2173">
        <v>2018</v>
      </c>
      <c r="C2173">
        <v>4</v>
      </c>
      <c r="D2173" t="s">
        <v>11</v>
      </c>
      <c r="E2173">
        <v>648096</v>
      </c>
      <c r="F2173" s="6">
        <v>455091549.59187788</v>
      </c>
      <c r="G2173" s="5">
        <v>20522865</v>
      </c>
      <c r="H2173">
        <v>0</v>
      </c>
      <c r="I2173" s="1">
        <v>22.174854709217154</v>
      </c>
    </row>
    <row r="2174" spans="1:9" x14ac:dyDescent="0.3">
      <c r="A2174" t="s">
        <v>40</v>
      </c>
      <c r="B2174">
        <v>2018</v>
      </c>
      <c r="C2174">
        <v>4</v>
      </c>
      <c r="D2174" t="s">
        <v>12</v>
      </c>
      <c r="E2174">
        <v>62453</v>
      </c>
      <c r="F2174" s="6">
        <v>11832962.875482317</v>
      </c>
      <c r="G2174" s="5">
        <v>20522865</v>
      </c>
      <c r="H2174">
        <v>0</v>
      </c>
      <c r="I2174" s="1">
        <v>0.57657460961139284</v>
      </c>
    </row>
    <row r="2175" spans="1:9" x14ac:dyDescent="0.3">
      <c r="A2175" t="s">
        <v>40</v>
      </c>
      <c r="B2175">
        <v>2018</v>
      </c>
      <c r="C2175">
        <v>4</v>
      </c>
      <c r="D2175" t="s">
        <v>13</v>
      </c>
      <c r="E2175">
        <v>89249</v>
      </c>
      <c r="F2175" s="6">
        <v>85520045.451507092</v>
      </c>
      <c r="G2175" s="5">
        <v>20522865</v>
      </c>
      <c r="H2175">
        <v>0</v>
      </c>
      <c r="I2175" s="1">
        <v>4.1670617358496047</v>
      </c>
    </row>
    <row r="2176" spans="1:9" x14ac:dyDescent="0.3">
      <c r="A2176" t="s">
        <v>40</v>
      </c>
      <c r="B2176">
        <v>2019</v>
      </c>
      <c r="C2176">
        <v>1</v>
      </c>
      <c r="D2176" t="s">
        <v>10</v>
      </c>
      <c r="E2176">
        <v>4026294</v>
      </c>
      <c r="F2176" s="6">
        <v>12027441595.712797</v>
      </c>
      <c r="G2176" s="5">
        <v>24492490</v>
      </c>
      <c r="H2176">
        <v>0</v>
      </c>
      <c r="I2176" s="1">
        <v>491.0665104165725</v>
      </c>
    </row>
    <row r="2177" spans="1:9" x14ac:dyDescent="0.3">
      <c r="A2177" t="s">
        <v>40</v>
      </c>
      <c r="B2177">
        <v>2019</v>
      </c>
      <c r="C2177">
        <v>1</v>
      </c>
      <c r="D2177" t="s">
        <v>9</v>
      </c>
      <c r="E2177">
        <v>2304690</v>
      </c>
      <c r="F2177" s="6">
        <v>986004867.80724442</v>
      </c>
      <c r="G2177" s="5">
        <v>24492490</v>
      </c>
      <c r="H2177">
        <v>0</v>
      </c>
      <c r="I2177" s="1">
        <v>40.257436781937827</v>
      </c>
    </row>
    <row r="2178" spans="1:9" x14ac:dyDescent="0.3">
      <c r="A2178" t="s">
        <v>40</v>
      </c>
      <c r="B2178">
        <v>2019</v>
      </c>
      <c r="C2178">
        <v>1</v>
      </c>
      <c r="D2178" t="s">
        <v>11</v>
      </c>
      <c r="E2178">
        <v>711152</v>
      </c>
      <c r="F2178" s="6">
        <v>478382600.61751902</v>
      </c>
      <c r="G2178" s="5">
        <v>24492490</v>
      </c>
      <c r="H2178">
        <v>0</v>
      </c>
      <c r="I2178" s="1">
        <v>19.531807530288631</v>
      </c>
    </row>
    <row r="2179" spans="1:9" x14ac:dyDescent="0.3">
      <c r="A2179" t="s">
        <v>40</v>
      </c>
      <c r="B2179">
        <v>2019</v>
      </c>
      <c r="C2179">
        <v>1</v>
      </c>
      <c r="D2179" t="s">
        <v>12</v>
      </c>
      <c r="E2179">
        <v>45621</v>
      </c>
      <c r="F2179" s="6">
        <v>6871295.9547105785</v>
      </c>
      <c r="G2179" s="5">
        <v>24492490</v>
      </c>
      <c r="H2179">
        <v>0</v>
      </c>
      <c r="I2179" s="1">
        <v>0.28054705563666982</v>
      </c>
    </row>
    <row r="2180" spans="1:9" x14ac:dyDescent="0.3">
      <c r="A2180" t="s">
        <v>40</v>
      </c>
      <c r="B2180">
        <v>2019</v>
      </c>
      <c r="C2180">
        <v>1</v>
      </c>
      <c r="D2180" t="s">
        <v>13</v>
      </c>
      <c r="E2180">
        <v>84380</v>
      </c>
      <c r="F2180" s="6">
        <v>75789641.760895222</v>
      </c>
      <c r="G2180" s="5">
        <v>24492490</v>
      </c>
      <c r="H2180">
        <v>0</v>
      </c>
      <c r="I2180" s="1">
        <v>3.094403295087401</v>
      </c>
    </row>
    <row r="2181" spans="1:9" x14ac:dyDescent="0.3">
      <c r="A2181" t="s">
        <v>40</v>
      </c>
      <c r="B2181">
        <v>2019</v>
      </c>
      <c r="C2181">
        <v>2</v>
      </c>
      <c r="D2181" t="s">
        <v>10</v>
      </c>
      <c r="E2181">
        <v>4140474</v>
      </c>
      <c r="F2181" s="6">
        <v>16258891447.321405</v>
      </c>
      <c r="G2181" s="5">
        <v>28601232</v>
      </c>
      <c r="H2181">
        <v>120209034</v>
      </c>
      <c r="I2181" s="1">
        <v>568.46822008651259</v>
      </c>
    </row>
    <row r="2182" spans="1:9" x14ac:dyDescent="0.3">
      <c r="A2182" t="s">
        <v>40</v>
      </c>
      <c r="B2182">
        <v>2019</v>
      </c>
      <c r="C2182">
        <v>2</v>
      </c>
      <c r="D2182" t="s">
        <v>9</v>
      </c>
      <c r="E2182">
        <v>2815047</v>
      </c>
      <c r="F2182" s="6">
        <v>1440058991.4565237</v>
      </c>
      <c r="G2182" s="5">
        <v>28601232</v>
      </c>
      <c r="H2182">
        <v>120209034</v>
      </c>
      <c r="I2182" s="1">
        <v>50.349544084552846</v>
      </c>
    </row>
    <row r="2183" spans="1:9" x14ac:dyDescent="0.3">
      <c r="A2183" t="s">
        <v>40</v>
      </c>
      <c r="B2183">
        <v>2019</v>
      </c>
      <c r="C2183">
        <v>2</v>
      </c>
      <c r="D2183" t="s">
        <v>11</v>
      </c>
      <c r="E2183">
        <v>1407963</v>
      </c>
      <c r="F2183" s="6">
        <v>815090878.01500154</v>
      </c>
      <c r="G2183" s="5">
        <v>28601232</v>
      </c>
      <c r="H2183">
        <v>120209034</v>
      </c>
      <c r="I2183" s="1">
        <v>28.498453423789631</v>
      </c>
    </row>
    <row r="2184" spans="1:9" x14ac:dyDescent="0.3">
      <c r="A2184" t="s">
        <v>40</v>
      </c>
      <c r="B2184">
        <v>2019</v>
      </c>
      <c r="C2184">
        <v>2</v>
      </c>
      <c r="D2184" t="s">
        <v>12</v>
      </c>
      <c r="E2184">
        <v>37435</v>
      </c>
      <c r="F2184" s="6">
        <v>6876144.4545593495</v>
      </c>
      <c r="G2184" s="5">
        <v>28601232</v>
      </c>
      <c r="H2184">
        <v>120209034</v>
      </c>
      <c r="I2184" s="1">
        <v>0.2404142749710694</v>
      </c>
    </row>
    <row r="2185" spans="1:9" x14ac:dyDescent="0.3">
      <c r="A2185" t="s">
        <v>40</v>
      </c>
      <c r="B2185">
        <v>2019</v>
      </c>
      <c r="C2185">
        <v>2</v>
      </c>
      <c r="D2185" t="s">
        <v>13</v>
      </c>
      <c r="E2185">
        <v>108911</v>
      </c>
      <c r="F2185" s="6">
        <v>93875933.524827033</v>
      </c>
      <c r="G2185" s="5">
        <v>28601232</v>
      </c>
      <c r="H2185">
        <v>120209034</v>
      </c>
      <c r="I2185" s="1">
        <v>3.2822339095332338</v>
      </c>
    </row>
    <row r="2186" spans="1:9" x14ac:dyDescent="0.3">
      <c r="A2186" t="s">
        <v>40</v>
      </c>
      <c r="B2186">
        <v>2019</v>
      </c>
      <c r="C2186">
        <v>3</v>
      </c>
      <c r="D2186" t="s">
        <v>10</v>
      </c>
      <c r="E2186">
        <v>4726946</v>
      </c>
      <c r="F2186" s="6">
        <v>19146726286.636036</v>
      </c>
      <c r="G2186" s="5">
        <v>32589843</v>
      </c>
      <c r="H2186">
        <v>449469746</v>
      </c>
      <c r="I2186" s="1">
        <v>587.5059381733148</v>
      </c>
    </row>
    <row r="2187" spans="1:9" x14ac:dyDescent="0.3">
      <c r="A2187" t="s">
        <v>40</v>
      </c>
      <c r="B2187">
        <v>2019</v>
      </c>
      <c r="C2187">
        <v>3</v>
      </c>
      <c r="D2187" t="s">
        <v>9</v>
      </c>
      <c r="E2187">
        <v>3455594</v>
      </c>
      <c r="F2187" s="6">
        <v>2481094964.9170833</v>
      </c>
      <c r="G2187" s="5">
        <v>32589843</v>
      </c>
      <c r="H2187">
        <v>449469746</v>
      </c>
      <c r="I2187" s="1">
        <v>76.130927200756489</v>
      </c>
    </row>
    <row r="2188" spans="1:9" x14ac:dyDescent="0.3">
      <c r="A2188" t="s">
        <v>40</v>
      </c>
      <c r="B2188">
        <v>2019</v>
      </c>
      <c r="C2188">
        <v>3</v>
      </c>
      <c r="D2188" t="s">
        <v>11</v>
      </c>
      <c r="E2188">
        <v>2374014</v>
      </c>
      <c r="F2188" s="6">
        <v>1183743251.2734203</v>
      </c>
      <c r="G2188" s="5">
        <v>32589843</v>
      </c>
      <c r="H2188">
        <v>449469746</v>
      </c>
      <c r="I2188" s="1">
        <v>36.322459463011846</v>
      </c>
    </row>
    <row r="2189" spans="1:9" x14ac:dyDescent="0.3">
      <c r="A2189" t="s">
        <v>40</v>
      </c>
      <c r="B2189">
        <v>2019</v>
      </c>
      <c r="C2189">
        <v>3</v>
      </c>
      <c r="D2189" t="s">
        <v>12</v>
      </c>
      <c r="E2189">
        <v>32359</v>
      </c>
      <c r="F2189" s="6">
        <v>7912219.7342963759</v>
      </c>
      <c r="G2189" s="5">
        <v>32589843</v>
      </c>
      <c r="H2189">
        <v>449469746</v>
      </c>
      <c r="I2189" s="1">
        <v>0.24278176897926068</v>
      </c>
    </row>
    <row r="2190" spans="1:9" x14ac:dyDescent="0.3">
      <c r="A2190" t="s">
        <v>40</v>
      </c>
      <c r="B2190">
        <v>2019</v>
      </c>
      <c r="C2190">
        <v>3</v>
      </c>
      <c r="D2190" t="s">
        <v>13</v>
      </c>
      <c r="E2190">
        <v>117899</v>
      </c>
      <c r="F2190" s="6">
        <v>86338883.282503441</v>
      </c>
      <c r="G2190" s="5">
        <v>32589843</v>
      </c>
      <c r="H2190">
        <v>449469746</v>
      </c>
      <c r="I2190" s="1">
        <v>2.649257416873823</v>
      </c>
    </row>
    <row r="2191" spans="1:9" x14ac:dyDescent="0.3">
      <c r="A2191" t="s">
        <v>40</v>
      </c>
      <c r="B2191">
        <v>2019</v>
      </c>
      <c r="C2191">
        <v>4</v>
      </c>
      <c r="D2191" t="s">
        <v>10</v>
      </c>
      <c r="E2191">
        <v>6386367</v>
      </c>
      <c r="F2191" s="6">
        <v>25564144629.75061</v>
      </c>
      <c r="G2191" s="5">
        <v>36539162</v>
      </c>
      <c r="H2191">
        <v>524412680</v>
      </c>
      <c r="I2191" s="1">
        <v>699.63686167051696</v>
      </c>
    </row>
    <row r="2192" spans="1:9" x14ac:dyDescent="0.3">
      <c r="A2192" t="s">
        <v>40</v>
      </c>
      <c r="B2192">
        <v>2019</v>
      </c>
      <c r="C2192">
        <v>4</v>
      </c>
      <c r="D2192" t="s">
        <v>9</v>
      </c>
      <c r="E2192">
        <v>4068332</v>
      </c>
      <c r="F2192" s="6">
        <v>2622222199.1884565</v>
      </c>
      <c r="G2192" s="5">
        <v>36539162</v>
      </c>
      <c r="H2192">
        <v>524412680</v>
      </c>
      <c r="I2192" s="1">
        <v>71.764705473772395</v>
      </c>
    </row>
    <row r="2193" spans="1:9" x14ac:dyDescent="0.3">
      <c r="A2193" t="s">
        <v>40</v>
      </c>
      <c r="B2193">
        <v>2019</v>
      </c>
      <c r="C2193">
        <v>4</v>
      </c>
      <c r="D2193" t="s">
        <v>11</v>
      </c>
      <c r="E2193">
        <v>3122413</v>
      </c>
      <c r="F2193" s="6">
        <v>1741259163.3677325</v>
      </c>
      <c r="G2193" s="5">
        <v>36539162</v>
      </c>
      <c r="H2193">
        <v>524412680</v>
      </c>
      <c r="I2193" s="1">
        <v>47.654600381030427</v>
      </c>
    </row>
    <row r="2194" spans="1:9" x14ac:dyDescent="0.3">
      <c r="A2194" t="s">
        <v>40</v>
      </c>
      <c r="B2194">
        <v>2019</v>
      </c>
      <c r="C2194">
        <v>4</v>
      </c>
      <c r="D2194" t="s">
        <v>12</v>
      </c>
      <c r="E2194">
        <v>22956</v>
      </c>
      <c r="F2194" s="6">
        <v>6382345.429778575</v>
      </c>
      <c r="G2194" s="5">
        <v>36539162</v>
      </c>
      <c r="H2194">
        <v>524412680</v>
      </c>
      <c r="I2194" s="1">
        <v>0.17467136848345277</v>
      </c>
    </row>
    <row r="2195" spans="1:9" x14ac:dyDescent="0.3">
      <c r="A2195" t="s">
        <v>40</v>
      </c>
      <c r="B2195">
        <v>2019</v>
      </c>
      <c r="C2195">
        <v>4</v>
      </c>
      <c r="D2195" t="s">
        <v>13</v>
      </c>
      <c r="E2195">
        <v>98557</v>
      </c>
      <c r="F2195" s="6">
        <v>55793908.455870152</v>
      </c>
      <c r="G2195" s="5">
        <v>36539162</v>
      </c>
      <c r="H2195">
        <v>524412680</v>
      </c>
      <c r="I2195" s="1">
        <v>1.5269619061288311</v>
      </c>
    </row>
    <row r="2196" spans="1:9" x14ac:dyDescent="0.3">
      <c r="A2196" t="s">
        <v>40</v>
      </c>
      <c r="B2196">
        <v>2020</v>
      </c>
      <c r="C2196">
        <v>1</v>
      </c>
      <c r="D2196" t="s">
        <v>10</v>
      </c>
      <c r="E2196">
        <v>6339183</v>
      </c>
      <c r="F2196" s="6">
        <v>26350005915.230072</v>
      </c>
      <c r="G2196" s="5">
        <v>41134522</v>
      </c>
      <c r="H2196">
        <v>592390810</v>
      </c>
      <c r="I2196" s="1">
        <v>640.58130820701092</v>
      </c>
    </row>
    <row r="2197" spans="1:9" x14ac:dyDescent="0.3">
      <c r="A2197" t="s">
        <v>40</v>
      </c>
      <c r="B2197">
        <v>2020</v>
      </c>
      <c r="C2197">
        <v>1</v>
      </c>
      <c r="D2197" t="s">
        <v>9</v>
      </c>
      <c r="E2197">
        <v>4935115</v>
      </c>
      <c r="F2197" s="6">
        <v>2767419472.6505165</v>
      </c>
      <c r="G2197" s="5">
        <v>41134522</v>
      </c>
      <c r="H2197">
        <v>592390810</v>
      </c>
      <c r="I2197" s="1">
        <v>67.277297464414843</v>
      </c>
    </row>
    <row r="2198" spans="1:9" x14ac:dyDescent="0.3">
      <c r="A2198" t="s">
        <v>40</v>
      </c>
      <c r="B2198">
        <v>2020</v>
      </c>
      <c r="C2198">
        <v>1</v>
      </c>
      <c r="D2198" t="s">
        <v>11</v>
      </c>
      <c r="E2198">
        <v>3838480</v>
      </c>
      <c r="F2198" s="6">
        <v>2196329615.3949203</v>
      </c>
      <c r="G2198" s="5">
        <v>41134522</v>
      </c>
      <c r="H2198">
        <v>592390810</v>
      </c>
      <c r="I2198" s="1">
        <v>53.393828555851954</v>
      </c>
    </row>
    <row r="2199" spans="1:9" x14ac:dyDescent="0.3">
      <c r="A2199" t="s">
        <v>40</v>
      </c>
      <c r="B2199">
        <v>2020</v>
      </c>
      <c r="C2199">
        <v>1</v>
      </c>
      <c r="D2199" t="s">
        <v>12</v>
      </c>
      <c r="E2199">
        <v>17924</v>
      </c>
      <c r="F2199" s="6">
        <v>10987850.955996178</v>
      </c>
      <c r="G2199" s="5">
        <v>41134522</v>
      </c>
      <c r="H2199">
        <v>592390810</v>
      </c>
      <c r="I2199" s="1">
        <v>0.26711993774951798</v>
      </c>
    </row>
    <row r="2200" spans="1:9" x14ac:dyDescent="0.3">
      <c r="A2200" t="s">
        <v>40</v>
      </c>
      <c r="B2200">
        <v>2020</v>
      </c>
      <c r="C2200">
        <v>1</v>
      </c>
      <c r="D2200" t="s">
        <v>13</v>
      </c>
      <c r="E2200">
        <v>87082</v>
      </c>
      <c r="F2200" s="6">
        <v>49442411.668161854</v>
      </c>
      <c r="G2200" s="5">
        <v>41134522</v>
      </c>
      <c r="H2200">
        <v>592390810</v>
      </c>
      <c r="I2200" s="1">
        <v>1.2019687907923631</v>
      </c>
    </row>
    <row r="2201" spans="1:9" x14ac:dyDescent="0.3">
      <c r="A2201" t="s">
        <v>40</v>
      </c>
      <c r="B2201">
        <v>2020</v>
      </c>
      <c r="C2201">
        <v>2</v>
      </c>
      <c r="D2201" t="s">
        <v>9</v>
      </c>
      <c r="E2201">
        <v>6064807</v>
      </c>
      <c r="F2201" s="6">
        <v>3089758241.1281967</v>
      </c>
      <c r="G2201" s="5">
        <v>46480291</v>
      </c>
      <c r="H2201">
        <v>564185336</v>
      </c>
      <c r="I2201" s="1">
        <v>66.474589006514535</v>
      </c>
    </row>
    <row r="2202" spans="1:9" x14ac:dyDescent="0.3">
      <c r="A2202" t="s">
        <v>40</v>
      </c>
      <c r="B2202">
        <v>2020</v>
      </c>
      <c r="C2202">
        <v>2</v>
      </c>
      <c r="D2202" t="s">
        <v>10</v>
      </c>
      <c r="E2202">
        <v>5639212</v>
      </c>
      <c r="F2202" s="6">
        <v>25074384847.498463</v>
      </c>
      <c r="G2202" s="5">
        <v>46480291</v>
      </c>
      <c r="H2202">
        <v>564185336</v>
      </c>
      <c r="I2202" s="1">
        <v>539.46273373156077</v>
      </c>
    </row>
    <row r="2203" spans="1:9" x14ac:dyDescent="0.3">
      <c r="A2203" t="s">
        <v>40</v>
      </c>
      <c r="B2203">
        <v>2020</v>
      </c>
      <c r="C2203">
        <v>2</v>
      </c>
      <c r="D2203" t="s">
        <v>11</v>
      </c>
      <c r="E2203">
        <v>2290868</v>
      </c>
      <c r="F2203" s="6">
        <v>2058898904.3613408</v>
      </c>
      <c r="G2203" s="5">
        <v>46480291</v>
      </c>
      <c r="H2203">
        <v>564185336</v>
      </c>
      <c r="I2203" s="1">
        <v>44.296170700853416</v>
      </c>
    </row>
    <row r="2204" spans="1:9" x14ac:dyDescent="0.3">
      <c r="A2204" t="s">
        <v>40</v>
      </c>
      <c r="B2204">
        <v>2020</v>
      </c>
      <c r="C2204">
        <v>2</v>
      </c>
      <c r="D2204" t="s">
        <v>12</v>
      </c>
      <c r="E2204">
        <v>23314</v>
      </c>
      <c r="F2204" s="6">
        <v>23704957.876037344</v>
      </c>
      <c r="G2204" s="5">
        <v>46480291</v>
      </c>
      <c r="H2204">
        <v>564185336</v>
      </c>
      <c r="I2204" s="1">
        <v>0.51000020365701548</v>
      </c>
    </row>
    <row r="2205" spans="1:9" x14ac:dyDescent="0.3">
      <c r="A2205" t="s">
        <v>40</v>
      </c>
      <c r="B2205">
        <v>2020</v>
      </c>
      <c r="C2205">
        <v>2</v>
      </c>
      <c r="D2205" t="s">
        <v>13</v>
      </c>
      <c r="E2205">
        <v>63093</v>
      </c>
      <c r="F2205" s="6">
        <v>37907301.349607691</v>
      </c>
      <c r="G2205" s="5">
        <v>46480291</v>
      </c>
      <c r="H2205">
        <v>564185336</v>
      </c>
      <c r="I2205" s="1">
        <v>0.81555645487692174</v>
      </c>
    </row>
    <row r="2206" spans="1:9" x14ac:dyDescent="0.3">
      <c r="A2206" t="s">
        <v>40</v>
      </c>
      <c r="B2206">
        <v>2020</v>
      </c>
      <c r="C2206">
        <v>3</v>
      </c>
      <c r="D2206" t="s">
        <v>10</v>
      </c>
      <c r="E2206">
        <v>7354451</v>
      </c>
      <c r="F2206" s="6">
        <v>32477438924.476498</v>
      </c>
      <c r="G2206" s="5">
        <v>51636563</v>
      </c>
      <c r="H2206">
        <v>648414052</v>
      </c>
      <c r="I2206" s="1">
        <v>628.96205784409972</v>
      </c>
    </row>
    <row r="2207" spans="1:9" x14ac:dyDescent="0.3">
      <c r="A2207" t="s">
        <v>40</v>
      </c>
      <c r="B2207">
        <v>2020</v>
      </c>
      <c r="C2207">
        <v>3</v>
      </c>
      <c r="D2207" t="s">
        <v>9</v>
      </c>
      <c r="E2207">
        <v>5478668</v>
      </c>
      <c r="F2207" s="6">
        <v>4066750820.6407743</v>
      </c>
      <c r="G2207" s="5">
        <v>51636563</v>
      </c>
      <c r="H2207">
        <v>648414052</v>
      </c>
      <c r="I2207" s="1">
        <v>78.757194212185937</v>
      </c>
    </row>
    <row r="2208" spans="1:9" x14ac:dyDescent="0.3">
      <c r="A2208" t="s">
        <v>40</v>
      </c>
      <c r="B2208">
        <v>2020</v>
      </c>
      <c r="C2208">
        <v>3</v>
      </c>
      <c r="D2208" t="s">
        <v>11</v>
      </c>
      <c r="E2208">
        <v>4261548</v>
      </c>
      <c r="F2208" s="6">
        <v>3490665357.2910872</v>
      </c>
      <c r="G2208" s="5">
        <v>51636563</v>
      </c>
      <c r="H2208">
        <v>648414052</v>
      </c>
      <c r="I2208" s="1">
        <v>67.600652609103491</v>
      </c>
    </row>
    <row r="2209" spans="1:9" x14ac:dyDescent="0.3">
      <c r="A2209" t="s">
        <v>40</v>
      </c>
      <c r="B2209">
        <v>2020</v>
      </c>
      <c r="C2209">
        <v>3</v>
      </c>
      <c r="D2209" t="s">
        <v>12</v>
      </c>
      <c r="E2209">
        <v>32390</v>
      </c>
      <c r="F2209" s="6">
        <v>42060249.328475811</v>
      </c>
      <c r="G2209" s="5">
        <v>51636563</v>
      </c>
      <c r="H2209">
        <v>648414052</v>
      </c>
      <c r="I2209" s="1">
        <v>0.81454393718024587</v>
      </c>
    </row>
    <row r="2210" spans="1:9" x14ac:dyDescent="0.3">
      <c r="A2210" t="s">
        <v>40</v>
      </c>
      <c r="B2210">
        <v>2020</v>
      </c>
      <c r="C2210">
        <v>3</v>
      </c>
      <c r="D2210" t="s">
        <v>13</v>
      </c>
      <c r="E2210">
        <v>82516</v>
      </c>
      <c r="F2210" s="6">
        <v>46176796.076553434</v>
      </c>
      <c r="G2210" s="5">
        <v>51636563</v>
      </c>
      <c r="H2210">
        <v>648414052</v>
      </c>
      <c r="I2210" s="1">
        <v>0.89426548541879969</v>
      </c>
    </row>
    <row r="2211" spans="1:9" x14ac:dyDescent="0.3">
      <c r="A2211" t="s">
        <v>40</v>
      </c>
      <c r="B2211">
        <v>2020</v>
      </c>
      <c r="C2211">
        <v>4</v>
      </c>
      <c r="D2211" t="s">
        <v>10</v>
      </c>
      <c r="E2211">
        <v>9609405</v>
      </c>
      <c r="F2211" s="6">
        <v>43286909256.833908</v>
      </c>
      <c r="G2211" s="5">
        <v>56736548</v>
      </c>
      <c r="H2211">
        <v>783103013</v>
      </c>
      <c r="I2211" s="1">
        <v>762.94576922152385</v>
      </c>
    </row>
    <row r="2212" spans="1:9" x14ac:dyDescent="0.3">
      <c r="A2212" t="s">
        <v>40</v>
      </c>
      <c r="B2212">
        <v>2020</v>
      </c>
      <c r="C2212">
        <v>4</v>
      </c>
      <c r="D2212" t="s">
        <v>11</v>
      </c>
      <c r="E2212">
        <v>7144295</v>
      </c>
      <c r="F2212" s="6">
        <v>6142380827.1094742</v>
      </c>
      <c r="G2212" s="5">
        <v>56736548</v>
      </c>
      <c r="H2212">
        <v>783103013</v>
      </c>
      <c r="I2212" s="1">
        <v>108.26144775514848</v>
      </c>
    </row>
    <row r="2213" spans="1:9" x14ac:dyDescent="0.3">
      <c r="A2213" t="s">
        <v>40</v>
      </c>
      <c r="B2213">
        <v>2020</v>
      </c>
      <c r="C2213">
        <v>4</v>
      </c>
      <c r="D2213" t="s">
        <v>9</v>
      </c>
      <c r="E2213">
        <v>6072201</v>
      </c>
      <c r="F2213" s="6">
        <v>4201551869.9511185</v>
      </c>
      <c r="G2213" s="5">
        <v>56736548</v>
      </c>
      <c r="H2213">
        <v>783103013</v>
      </c>
      <c r="I2213" s="1">
        <v>74.053709964009769</v>
      </c>
    </row>
    <row r="2214" spans="1:9" x14ac:dyDescent="0.3">
      <c r="A2214" t="s">
        <v>40</v>
      </c>
      <c r="B2214">
        <v>2020</v>
      </c>
      <c r="C2214">
        <v>4</v>
      </c>
      <c r="D2214" t="s">
        <v>12</v>
      </c>
      <c r="E2214">
        <v>38820</v>
      </c>
      <c r="F2214" s="6">
        <v>51677182.316327386</v>
      </c>
      <c r="G2214" s="5">
        <v>56736548</v>
      </c>
      <c r="H2214">
        <v>783103013</v>
      </c>
      <c r="I2214" s="1">
        <v>0.91082704425950245</v>
      </c>
    </row>
    <row r="2215" spans="1:9" x14ac:dyDescent="0.3">
      <c r="A2215" t="s">
        <v>40</v>
      </c>
      <c r="B2215">
        <v>2020</v>
      </c>
      <c r="C2215">
        <v>4</v>
      </c>
      <c r="D2215" t="s">
        <v>13</v>
      </c>
      <c r="E2215">
        <v>133204</v>
      </c>
      <c r="F2215" s="6">
        <v>92887343.344186962</v>
      </c>
      <c r="G2215" s="5">
        <v>56736548</v>
      </c>
      <c r="H2215">
        <v>783103013</v>
      </c>
      <c r="I2215" s="1">
        <v>1.6371694545848465</v>
      </c>
    </row>
    <row r="2216" spans="1:9" x14ac:dyDescent="0.3">
      <c r="A2216" t="s">
        <v>40</v>
      </c>
      <c r="B2216">
        <v>2021</v>
      </c>
      <c r="C2216">
        <v>1</v>
      </c>
      <c r="D2216" t="s">
        <v>10</v>
      </c>
      <c r="E2216">
        <v>10951083</v>
      </c>
      <c r="F2216" s="6">
        <v>46908632143.315323</v>
      </c>
      <c r="G2216" s="5">
        <v>61256547</v>
      </c>
      <c r="H2216">
        <v>891574948</v>
      </c>
      <c r="I2216" s="1">
        <v>765.77336530763512</v>
      </c>
    </row>
    <row r="2217" spans="1:9" x14ac:dyDescent="0.3">
      <c r="A2217" t="s">
        <v>40</v>
      </c>
      <c r="B2217">
        <v>2021</v>
      </c>
      <c r="C2217">
        <v>1</v>
      </c>
      <c r="D2217" t="s">
        <v>11</v>
      </c>
      <c r="E2217">
        <v>9333364</v>
      </c>
      <c r="F2217" s="6">
        <v>7651004598.9073973</v>
      </c>
      <c r="G2217" s="5">
        <v>61256547</v>
      </c>
      <c r="H2217">
        <v>891574948</v>
      </c>
      <c r="I2217" s="1">
        <v>124.90101015500265</v>
      </c>
    </row>
    <row r="2218" spans="1:9" x14ac:dyDescent="0.3">
      <c r="A2218" t="s">
        <v>40</v>
      </c>
      <c r="B2218">
        <v>2021</v>
      </c>
      <c r="C2218">
        <v>1</v>
      </c>
      <c r="D2218" t="s">
        <v>9</v>
      </c>
      <c r="E2218">
        <v>6332928</v>
      </c>
      <c r="F2218" s="6">
        <v>3980874403.2760215</v>
      </c>
      <c r="G2218" s="5">
        <v>61256547</v>
      </c>
      <c r="H2218">
        <v>891574948</v>
      </c>
      <c r="I2218" s="1">
        <v>64.986921369825524</v>
      </c>
    </row>
    <row r="2219" spans="1:9" x14ac:dyDescent="0.3">
      <c r="A2219" t="s">
        <v>40</v>
      </c>
      <c r="B2219">
        <v>2021</v>
      </c>
      <c r="C2219">
        <v>1</v>
      </c>
      <c r="D2219" t="s">
        <v>12</v>
      </c>
      <c r="E2219">
        <v>43094</v>
      </c>
      <c r="F2219" s="6">
        <v>52009482.414072141</v>
      </c>
      <c r="G2219" s="5">
        <v>61256547</v>
      </c>
      <c r="H2219">
        <v>891574948</v>
      </c>
      <c r="I2219" s="1">
        <v>0.84904365265760318</v>
      </c>
    </row>
    <row r="2220" spans="1:9" x14ac:dyDescent="0.3">
      <c r="A2220" t="s">
        <v>40</v>
      </c>
      <c r="B2220">
        <v>2021</v>
      </c>
      <c r="C2220">
        <v>1</v>
      </c>
      <c r="D2220" t="s">
        <v>13</v>
      </c>
      <c r="E2220">
        <v>110366</v>
      </c>
      <c r="F2220" s="6">
        <v>98366463.193879783</v>
      </c>
      <c r="G2220" s="5">
        <v>61256547</v>
      </c>
      <c r="H2220">
        <v>891574948</v>
      </c>
      <c r="I2220" s="1">
        <v>1.6058114276973494</v>
      </c>
    </row>
    <row r="2221" spans="1:9" x14ac:dyDescent="0.3">
      <c r="A2221" t="s">
        <v>40</v>
      </c>
      <c r="B2221">
        <v>2021</v>
      </c>
      <c r="C2221">
        <v>2</v>
      </c>
      <c r="D2221" t="s">
        <v>10</v>
      </c>
      <c r="E2221">
        <v>13180933</v>
      </c>
      <c r="F2221" s="6">
        <v>55282486111.30394</v>
      </c>
      <c r="G2221" s="5">
        <v>65742028</v>
      </c>
      <c r="H2221">
        <v>944834979</v>
      </c>
      <c r="I2221" s="1">
        <v>840.9002246067605</v>
      </c>
    </row>
    <row r="2222" spans="1:9" x14ac:dyDescent="0.3">
      <c r="A2222" t="s">
        <v>40</v>
      </c>
      <c r="B2222">
        <v>2021</v>
      </c>
      <c r="C2222">
        <v>2</v>
      </c>
      <c r="D2222" t="s">
        <v>11</v>
      </c>
      <c r="E2222">
        <v>11225598</v>
      </c>
      <c r="F2222" s="6">
        <v>9710508482.4364223</v>
      </c>
      <c r="G2222" s="5">
        <v>65742028</v>
      </c>
      <c r="H2222">
        <v>944834979</v>
      </c>
      <c r="I2222" s="1">
        <v>147.70625089990261</v>
      </c>
    </row>
    <row r="2223" spans="1:9" x14ac:dyDescent="0.3">
      <c r="A2223" t="s">
        <v>40</v>
      </c>
      <c r="B2223">
        <v>2021</v>
      </c>
      <c r="C2223">
        <v>2</v>
      </c>
      <c r="D2223" t="s">
        <v>9</v>
      </c>
      <c r="E2223">
        <v>7591039</v>
      </c>
      <c r="F2223" s="6">
        <v>4370756868.5183258</v>
      </c>
      <c r="G2223" s="5">
        <v>65742028</v>
      </c>
      <c r="H2223">
        <v>944834979</v>
      </c>
      <c r="I2223" s="1">
        <v>66.483450564049008</v>
      </c>
    </row>
    <row r="2224" spans="1:9" x14ac:dyDescent="0.3">
      <c r="A2224" t="s">
        <v>40</v>
      </c>
      <c r="B2224">
        <v>2021</v>
      </c>
      <c r="C2224">
        <v>2</v>
      </c>
      <c r="D2224" t="s">
        <v>12</v>
      </c>
      <c r="E2224">
        <v>46218</v>
      </c>
      <c r="F2224" s="6">
        <v>53309051.06501615</v>
      </c>
      <c r="G2224" s="5">
        <v>65742028</v>
      </c>
      <c r="H2224">
        <v>944834979</v>
      </c>
      <c r="I2224" s="1">
        <v>0.81088236379042267</v>
      </c>
    </row>
    <row r="2225" spans="1:9" x14ac:dyDescent="0.3">
      <c r="A2225" t="s">
        <v>40</v>
      </c>
      <c r="B2225">
        <v>2021</v>
      </c>
      <c r="C2225">
        <v>2</v>
      </c>
      <c r="D2225" t="s">
        <v>13</v>
      </c>
      <c r="E2225">
        <v>127460</v>
      </c>
      <c r="F2225" s="6">
        <v>113998049.29147904</v>
      </c>
      <c r="G2225" s="5">
        <v>65742028</v>
      </c>
      <c r="H2225">
        <v>944834979</v>
      </c>
      <c r="I2225" s="1">
        <v>1.7340208806987067</v>
      </c>
    </row>
    <row r="2226" spans="1:9" x14ac:dyDescent="0.3">
      <c r="A2226" t="s">
        <v>40</v>
      </c>
      <c r="B2226">
        <v>2021</v>
      </c>
      <c r="C2226">
        <v>3</v>
      </c>
      <c r="D2226" t="s">
        <v>10</v>
      </c>
      <c r="E2226">
        <v>17024782</v>
      </c>
      <c r="F2226" s="6">
        <v>66149902036.358826</v>
      </c>
      <c r="G2226" s="5">
        <v>70783482</v>
      </c>
      <c r="H2226">
        <v>1183755705</v>
      </c>
      <c r="I2226" s="1">
        <v>934.53868285765918</v>
      </c>
    </row>
    <row r="2227" spans="1:9" x14ac:dyDescent="0.3">
      <c r="A2227" t="s">
        <v>40</v>
      </c>
      <c r="B2227">
        <v>2021</v>
      </c>
      <c r="C2227">
        <v>3</v>
      </c>
      <c r="D2227" t="s">
        <v>11</v>
      </c>
      <c r="E2227">
        <v>16837685</v>
      </c>
      <c r="F2227" s="6">
        <v>14103740968.543571</v>
      </c>
      <c r="G2227" s="5">
        <v>70783482</v>
      </c>
      <c r="H2227">
        <v>1183755705</v>
      </c>
      <c r="I2227" s="1">
        <v>199.25186738543849</v>
      </c>
    </row>
    <row r="2228" spans="1:9" x14ac:dyDescent="0.3">
      <c r="A2228" t="s">
        <v>40</v>
      </c>
      <c r="B2228">
        <v>2021</v>
      </c>
      <c r="C2228">
        <v>3</v>
      </c>
      <c r="D2228" t="s">
        <v>9</v>
      </c>
      <c r="E2228">
        <v>8465739</v>
      </c>
      <c r="F2228" s="6">
        <v>5540272095.2748528</v>
      </c>
      <c r="G2228" s="5">
        <v>70783482</v>
      </c>
      <c r="H2228">
        <v>1183755705</v>
      </c>
      <c r="I2228" s="1">
        <v>78.270691674575332</v>
      </c>
    </row>
    <row r="2229" spans="1:9" x14ac:dyDescent="0.3">
      <c r="A2229" t="s">
        <v>40</v>
      </c>
      <c r="B2229">
        <v>2021</v>
      </c>
      <c r="C2229">
        <v>3</v>
      </c>
      <c r="D2229" t="s">
        <v>12</v>
      </c>
      <c r="E2229">
        <v>43789</v>
      </c>
      <c r="F2229" s="6">
        <v>63576666.590925634</v>
      </c>
      <c r="G2229" s="5">
        <v>70783482</v>
      </c>
      <c r="H2229">
        <v>1183755705</v>
      </c>
      <c r="I2229" s="1">
        <v>0.89818506796438236</v>
      </c>
    </row>
    <row r="2230" spans="1:9" x14ac:dyDescent="0.3">
      <c r="A2230" t="s">
        <v>40</v>
      </c>
      <c r="B2230">
        <v>2021</v>
      </c>
      <c r="C2230">
        <v>3</v>
      </c>
      <c r="D2230" t="s">
        <v>13</v>
      </c>
      <c r="E2230">
        <v>161494</v>
      </c>
      <c r="F2230" s="6">
        <v>135069073.84402025</v>
      </c>
      <c r="G2230" s="5">
        <v>70783482</v>
      </c>
      <c r="H2230">
        <v>1183755705</v>
      </c>
      <c r="I2230" s="1">
        <v>1.9082004731558735</v>
      </c>
    </row>
    <row r="2231" spans="1:9" x14ac:dyDescent="0.3">
      <c r="A2231" t="s">
        <v>40</v>
      </c>
      <c r="B2231">
        <v>2021</v>
      </c>
      <c r="C2231">
        <v>4</v>
      </c>
      <c r="D2231" t="s">
        <v>11</v>
      </c>
      <c r="E2231">
        <v>22669743</v>
      </c>
      <c r="F2231" s="6">
        <v>20753662875.546524</v>
      </c>
      <c r="G2231" s="5">
        <v>75681133</v>
      </c>
      <c r="H2231">
        <v>1522702489</v>
      </c>
      <c r="I2231" s="1">
        <v>274.22505521351701</v>
      </c>
    </row>
    <row r="2232" spans="1:9" x14ac:dyDescent="0.3">
      <c r="A2232" t="s">
        <v>40</v>
      </c>
      <c r="B2232">
        <v>2021</v>
      </c>
      <c r="C2232">
        <v>4</v>
      </c>
      <c r="D2232" t="s">
        <v>10</v>
      </c>
      <c r="E2232">
        <v>20663881</v>
      </c>
      <c r="F2232" s="6">
        <v>83611403637.319916</v>
      </c>
      <c r="G2232" s="5">
        <v>75681133</v>
      </c>
      <c r="H2232">
        <v>1522702489</v>
      </c>
      <c r="I2232" s="1">
        <v>1104.7853054382776</v>
      </c>
    </row>
    <row r="2233" spans="1:9" x14ac:dyDescent="0.3">
      <c r="A2233" t="s">
        <v>40</v>
      </c>
      <c r="B2233">
        <v>2021</v>
      </c>
      <c r="C2233">
        <v>4</v>
      </c>
      <c r="D2233" t="s">
        <v>9</v>
      </c>
      <c r="E2233">
        <v>8765579</v>
      </c>
      <c r="F2233" s="6">
        <v>6107473171.9350224</v>
      </c>
      <c r="G2233" s="5">
        <v>75681133</v>
      </c>
      <c r="H2233">
        <v>1522702489</v>
      </c>
      <c r="I2233" s="1">
        <v>80.700075829137262</v>
      </c>
    </row>
    <row r="2234" spans="1:9" x14ac:dyDescent="0.3">
      <c r="A2234" t="s">
        <v>40</v>
      </c>
      <c r="B2234">
        <v>2021</v>
      </c>
      <c r="C2234">
        <v>4</v>
      </c>
      <c r="D2234" t="s">
        <v>12</v>
      </c>
      <c r="E2234">
        <v>58581</v>
      </c>
      <c r="F2234" s="6">
        <v>86356456.603242517</v>
      </c>
      <c r="G2234" s="5">
        <v>75681133</v>
      </c>
      <c r="H2234">
        <v>1522702489</v>
      </c>
      <c r="I2234" s="1">
        <v>1.141056603939089</v>
      </c>
    </row>
    <row r="2235" spans="1:9" x14ac:dyDescent="0.3">
      <c r="A2235" t="s">
        <v>40</v>
      </c>
      <c r="B2235">
        <v>2021</v>
      </c>
      <c r="C2235">
        <v>4</v>
      </c>
      <c r="D2235" t="s">
        <v>13</v>
      </c>
      <c r="E2235">
        <v>201576</v>
      </c>
      <c r="F2235" s="6">
        <v>151230100.59485891</v>
      </c>
      <c r="G2235" s="5">
        <v>75681133</v>
      </c>
      <c r="H2235">
        <v>1522702489</v>
      </c>
      <c r="I2235" s="1">
        <v>1.9982536545120027</v>
      </c>
    </row>
    <row r="2236" spans="1:9" x14ac:dyDescent="0.3">
      <c r="A2236" t="s">
        <v>41</v>
      </c>
      <c r="B2236">
        <v>2018</v>
      </c>
      <c r="C2236">
        <v>1</v>
      </c>
      <c r="D2236" t="s">
        <v>9</v>
      </c>
      <c r="E2236">
        <v>4305940</v>
      </c>
      <c r="F2236" s="6">
        <v>868358581.17370248</v>
      </c>
      <c r="G2236" s="5">
        <v>34740222</v>
      </c>
      <c r="H2236">
        <v>0</v>
      </c>
      <c r="I2236" s="1">
        <v>24.995769490871488</v>
      </c>
    </row>
    <row r="2237" spans="1:9" x14ac:dyDescent="0.3">
      <c r="A2237" t="s">
        <v>41</v>
      </c>
      <c r="B2237">
        <v>2018</v>
      </c>
      <c r="C2237">
        <v>1</v>
      </c>
      <c r="D2237" t="s">
        <v>10</v>
      </c>
      <c r="E2237">
        <v>2540658</v>
      </c>
      <c r="F2237" s="6">
        <v>7547652852.6626339</v>
      </c>
      <c r="G2237" s="5">
        <v>34740222</v>
      </c>
      <c r="H2237">
        <v>0</v>
      </c>
      <c r="I2237" s="1">
        <v>217.25977607922695</v>
      </c>
    </row>
    <row r="2238" spans="1:9" x14ac:dyDescent="0.3">
      <c r="A2238" t="s">
        <v>41</v>
      </c>
      <c r="B2238">
        <v>2018</v>
      </c>
      <c r="C2238">
        <v>1</v>
      </c>
      <c r="D2238" t="s">
        <v>12</v>
      </c>
      <c r="E2238">
        <v>202537</v>
      </c>
      <c r="F2238" s="6">
        <v>37125466.495713077</v>
      </c>
      <c r="G2238" s="5">
        <v>34740222</v>
      </c>
      <c r="H2238">
        <v>0</v>
      </c>
      <c r="I2238" s="1">
        <v>1.0686594488576693</v>
      </c>
    </row>
    <row r="2239" spans="1:9" x14ac:dyDescent="0.3">
      <c r="A2239" t="s">
        <v>41</v>
      </c>
      <c r="B2239">
        <v>2018</v>
      </c>
      <c r="C2239">
        <v>1</v>
      </c>
      <c r="D2239" t="s">
        <v>11</v>
      </c>
      <c r="E2239">
        <v>184127</v>
      </c>
      <c r="F2239" s="6">
        <v>201212697.26059398</v>
      </c>
      <c r="G2239" s="5">
        <v>34740222</v>
      </c>
      <c r="H2239">
        <v>0</v>
      </c>
      <c r="I2239" s="1">
        <v>5.7919231851942108</v>
      </c>
    </row>
    <row r="2240" spans="1:9" x14ac:dyDescent="0.3">
      <c r="A2240" t="s">
        <v>41</v>
      </c>
      <c r="B2240">
        <v>2018</v>
      </c>
      <c r="C2240">
        <v>1</v>
      </c>
      <c r="D2240" t="s">
        <v>13</v>
      </c>
      <c r="E2240">
        <v>358428</v>
      </c>
      <c r="F2240" s="6">
        <v>271943533.1341365</v>
      </c>
      <c r="G2240" s="5">
        <v>34740222</v>
      </c>
      <c r="H2240">
        <v>0</v>
      </c>
      <c r="I2240" s="1">
        <v>7.8279158128044344</v>
      </c>
    </row>
    <row r="2241" spans="1:9" x14ac:dyDescent="0.3">
      <c r="A2241" t="s">
        <v>41</v>
      </c>
      <c r="B2241">
        <v>2018</v>
      </c>
      <c r="C2241">
        <v>2</v>
      </c>
      <c r="D2241" t="s">
        <v>9</v>
      </c>
      <c r="E2241">
        <v>5288093</v>
      </c>
      <c r="F2241" s="6">
        <v>1511007056.105427</v>
      </c>
      <c r="G2241" s="5">
        <v>46342604</v>
      </c>
      <c r="H2241">
        <v>0</v>
      </c>
      <c r="I2241" s="1">
        <v>32.605139238732185</v>
      </c>
    </row>
    <row r="2242" spans="1:9" x14ac:dyDescent="0.3">
      <c r="A2242" t="s">
        <v>41</v>
      </c>
      <c r="B2242">
        <v>2018</v>
      </c>
      <c r="C2242">
        <v>2</v>
      </c>
      <c r="D2242" t="s">
        <v>10</v>
      </c>
      <c r="E2242">
        <v>3770555</v>
      </c>
      <c r="F2242" s="6">
        <v>13341587602.422176</v>
      </c>
      <c r="G2242" s="5">
        <v>46342604</v>
      </c>
      <c r="H2242">
        <v>0</v>
      </c>
      <c r="I2242" s="1">
        <v>287.89033094519624</v>
      </c>
    </row>
    <row r="2243" spans="1:9" x14ac:dyDescent="0.3">
      <c r="A2243" t="s">
        <v>41</v>
      </c>
      <c r="B2243">
        <v>2018</v>
      </c>
      <c r="C2243">
        <v>2</v>
      </c>
      <c r="D2243" t="s">
        <v>11</v>
      </c>
      <c r="E2243">
        <v>345752</v>
      </c>
      <c r="F2243" s="6">
        <v>342809667.59355128</v>
      </c>
      <c r="G2243" s="5">
        <v>46342604</v>
      </c>
      <c r="H2243">
        <v>0</v>
      </c>
      <c r="I2243" s="1">
        <v>7.397289707620903</v>
      </c>
    </row>
    <row r="2244" spans="1:9" x14ac:dyDescent="0.3">
      <c r="A2244" t="s">
        <v>41</v>
      </c>
      <c r="B2244">
        <v>2018</v>
      </c>
      <c r="C2244">
        <v>2</v>
      </c>
      <c r="D2244" t="s">
        <v>12</v>
      </c>
      <c r="E2244">
        <v>279471</v>
      </c>
      <c r="F2244" s="6">
        <v>52145152.939022891</v>
      </c>
      <c r="G2244" s="5">
        <v>46342604</v>
      </c>
      <c r="H2244">
        <v>0</v>
      </c>
      <c r="I2244" s="1">
        <v>1.1252098164147808</v>
      </c>
    </row>
    <row r="2245" spans="1:9" x14ac:dyDescent="0.3">
      <c r="A2245" t="s">
        <v>41</v>
      </c>
      <c r="B2245">
        <v>2018</v>
      </c>
      <c r="C2245">
        <v>2</v>
      </c>
      <c r="D2245" t="s">
        <v>13</v>
      </c>
      <c r="E2245">
        <v>289826</v>
      </c>
      <c r="F2245" s="6">
        <v>311536696.6979239</v>
      </c>
      <c r="G2245" s="5">
        <v>46342604</v>
      </c>
      <c r="H2245">
        <v>0</v>
      </c>
      <c r="I2245" s="1">
        <v>6.7224685237351771</v>
      </c>
    </row>
    <row r="2246" spans="1:9" x14ac:dyDescent="0.3">
      <c r="A2246" t="s">
        <v>41</v>
      </c>
      <c r="B2246">
        <v>2018</v>
      </c>
      <c r="C2246">
        <v>3</v>
      </c>
      <c r="D2246" t="s">
        <v>10</v>
      </c>
      <c r="E2246">
        <v>7120792</v>
      </c>
      <c r="F2246" s="6">
        <v>21010614922.14291</v>
      </c>
      <c r="G2246" s="5">
        <v>56929983</v>
      </c>
      <c r="H2246">
        <v>0</v>
      </c>
      <c r="I2246" s="1">
        <v>369.06062174905111</v>
      </c>
    </row>
    <row r="2247" spans="1:9" x14ac:dyDescent="0.3">
      <c r="A2247" t="s">
        <v>41</v>
      </c>
      <c r="B2247">
        <v>2018</v>
      </c>
      <c r="C2247">
        <v>3</v>
      </c>
      <c r="D2247" t="s">
        <v>9</v>
      </c>
      <c r="E2247">
        <v>5894660</v>
      </c>
      <c r="F2247" s="6">
        <v>2252031409.9399681</v>
      </c>
      <c r="G2247" s="5">
        <v>56929983</v>
      </c>
      <c r="H2247">
        <v>0</v>
      </c>
      <c r="I2247" s="1">
        <v>39.557914674591913</v>
      </c>
    </row>
    <row r="2248" spans="1:9" x14ac:dyDescent="0.3">
      <c r="A2248" t="s">
        <v>41</v>
      </c>
      <c r="B2248">
        <v>2018</v>
      </c>
      <c r="C2248">
        <v>3</v>
      </c>
      <c r="D2248" t="s">
        <v>11</v>
      </c>
      <c r="E2248">
        <v>711240</v>
      </c>
      <c r="F2248" s="6">
        <v>445504998.00142682</v>
      </c>
      <c r="G2248" s="5">
        <v>56929983</v>
      </c>
      <c r="H2248">
        <v>0</v>
      </c>
      <c r="I2248" s="1">
        <v>7.8254897423986023</v>
      </c>
    </row>
    <row r="2249" spans="1:9" x14ac:dyDescent="0.3">
      <c r="A2249" t="s">
        <v>41</v>
      </c>
      <c r="B2249">
        <v>2018</v>
      </c>
      <c r="C2249">
        <v>3</v>
      </c>
      <c r="D2249" t="s">
        <v>12</v>
      </c>
      <c r="E2249">
        <v>230083</v>
      </c>
      <c r="F2249" s="6">
        <v>30185982.180784121</v>
      </c>
      <c r="G2249" s="5">
        <v>56929983</v>
      </c>
      <c r="H2249">
        <v>0</v>
      </c>
      <c r="I2249" s="1">
        <v>0.53022995248012139</v>
      </c>
    </row>
    <row r="2250" spans="1:9" x14ac:dyDescent="0.3">
      <c r="A2250" t="s">
        <v>41</v>
      </c>
      <c r="B2250">
        <v>2018</v>
      </c>
      <c r="C2250">
        <v>3</v>
      </c>
      <c r="D2250" t="s">
        <v>13</v>
      </c>
      <c r="E2250">
        <v>300323</v>
      </c>
      <c r="F2250" s="6">
        <v>302431358.94735509</v>
      </c>
      <c r="G2250" s="5">
        <v>56929983</v>
      </c>
      <c r="H2250">
        <v>0</v>
      </c>
      <c r="I2250" s="1">
        <v>5.312338824119359</v>
      </c>
    </row>
    <row r="2251" spans="1:9" x14ac:dyDescent="0.3">
      <c r="A2251" t="s">
        <v>41</v>
      </c>
      <c r="B2251">
        <v>2018</v>
      </c>
      <c r="C2251">
        <v>4</v>
      </c>
      <c r="D2251" t="s">
        <v>10</v>
      </c>
      <c r="E2251">
        <v>10752729</v>
      </c>
      <c r="F2251" s="6">
        <v>33578327037.682457</v>
      </c>
      <c r="G2251" s="5">
        <v>69946118</v>
      </c>
      <c r="H2251">
        <v>0</v>
      </c>
      <c r="I2251" s="1">
        <v>480.05990893851259</v>
      </c>
    </row>
    <row r="2252" spans="1:9" x14ac:dyDescent="0.3">
      <c r="A2252" t="s">
        <v>41</v>
      </c>
      <c r="B2252">
        <v>2018</v>
      </c>
      <c r="C2252">
        <v>4</v>
      </c>
      <c r="D2252" t="s">
        <v>9</v>
      </c>
      <c r="E2252">
        <v>7557003</v>
      </c>
      <c r="F2252" s="6">
        <v>2743591538.8320713</v>
      </c>
      <c r="G2252" s="5">
        <v>69946118</v>
      </c>
      <c r="H2252">
        <v>0</v>
      </c>
      <c r="I2252" s="1">
        <v>39.224357509477102</v>
      </c>
    </row>
    <row r="2253" spans="1:9" x14ac:dyDescent="0.3">
      <c r="A2253" t="s">
        <v>41</v>
      </c>
      <c r="B2253">
        <v>2018</v>
      </c>
      <c r="C2253">
        <v>4</v>
      </c>
      <c r="D2253" t="s">
        <v>11</v>
      </c>
      <c r="E2253">
        <v>1985927</v>
      </c>
      <c r="F2253" s="6">
        <v>1172254323.9731452</v>
      </c>
      <c r="G2253" s="5">
        <v>69946118</v>
      </c>
      <c r="H2253">
        <v>0</v>
      </c>
      <c r="I2253" s="1">
        <v>16.759390763804006</v>
      </c>
    </row>
    <row r="2254" spans="1:9" x14ac:dyDescent="0.3">
      <c r="A2254" t="s">
        <v>41</v>
      </c>
      <c r="B2254">
        <v>2018</v>
      </c>
      <c r="C2254">
        <v>4</v>
      </c>
      <c r="D2254" t="s">
        <v>12</v>
      </c>
      <c r="E2254">
        <v>311632</v>
      </c>
      <c r="F2254" s="6">
        <v>40412563.014562674</v>
      </c>
      <c r="G2254" s="5">
        <v>69946118</v>
      </c>
      <c r="H2254">
        <v>0</v>
      </c>
      <c r="I2254" s="1">
        <v>0.57776706084764662</v>
      </c>
    </row>
    <row r="2255" spans="1:9" x14ac:dyDescent="0.3">
      <c r="A2255" t="s">
        <v>41</v>
      </c>
      <c r="B2255">
        <v>2018</v>
      </c>
      <c r="C2255">
        <v>4</v>
      </c>
      <c r="D2255" t="s">
        <v>13</v>
      </c>
      <c r="E2255">
        <v>352432</v>
      </c>
      <c r="F2255" s="6">
        <v>374501619.83643621</v>
      </c>
      <c r="G2255" s="5">
        <v>69946118</v>
      </c>
      <c r="H2255">
        <v>0</v>
      </c>
      <c r="I2255" s="1">
        <v>5.3541444549708421</v>
      </c>
    </row>
    <row r="2256" spans="1:9" x14ac:dyDescent="0.3">
      <c r="A2256" t="s">
        <v>41</v>
      </c>
      <c r="B2256">
        <v>2019</v>
      </c>
      <c r="C2256">
        <v>1</v>
      </c>
      <c r="D2256" t="s">
        <v>10</v>
      </c>
      <c r="E2256">
        <v>27621606</v>
      </c>
      <c r="F2256" s="6">
        <v>55246071722.228561</v>
      </c>
      <c r="G2256" s="5">
        <v>84834244</v>
      </c>
      <c r="H2256">
        <v>0</v>
      </c>
      <c r="I2256" s="1">
        <v>651.22371718463785</v>
      </c>
    </row>
    <row r="2257" spans="1:9" x14ac:dyDescent="0.3">
      <c r="A2257" t="s">
        <v>41</v>
      </c>
      <c r="B2257">
        <v>2019</v>
      </c>
      <c r="C2257">
        <v>1</v>
      </c>
      <c r="D2257" t="s">
        <v>9</v>
      </c>
      <c r="E2257">
        <v>11650961</v>
      </c>
      <c r="F2257" s="6">
        <v>3821181816.6204696</v>
      </c>
      <c r="G2257" s="5">
        <v>84834244</v>
      </c>
      <c r="H2257">
        <v>0</v>
      </c>
      <c r="I2257" s="1">
        <v>45.042917063308415</v>
      </c>
    </row>
    <row r="2258" spans="1:9" x14ac:dyDescent="0.3">
      <c r="A2258" t="s">
        <v>41</v>
      </c>
      <c r="B2258">
        <v>2019</v>
      </c>
      <c r="C2258">
        <v>1</v>
      </c>
      <c r="D2258" t="s">
        <v>11</v>
      </c>
      <c r="E2258">
        <v>3921438</v>
      </c>
      <c r="F2258" s="6">
        <v>1664209334.5681162</v>
      </c>
      <c r="G2258" s="5">
        <v>84834244</v>
      </c>
      <c r="H2258">
        <v>0</v>
      </c>
      <c r="I2258" s="1">
        <v>19.617188249689786</v>
      </c>
    </row>
    <row r="2259" spans="1:9" x14ac:dyDescent="0.3">
      <c r="A2259" t="s">
        <v>41</v>
      </c>
      <c r="B2259">
        <v>2019</v>
      </c>
      <c r="C2259">
        <v>1</v>
      </c>
      <c r="D2259" t="s">
        <v>12</v>
      </c>
      <c r="E2259">
        <v>359993</v>
      </c>
      <c r="F2259" s="6">
        <v>36340412.575384662</v>
      </c>
      <c r="G2259" s="5">
        <v>84834244</v>
      </c>
      <c r="H2259">
        <v>0</v>
      </c>
      <c r="I2259" s="1">
        <v>0.42836961658295275</v>
      </c>
    </row>
    <row r="2260" spans="1:9" x14ac:dyDescent="0.3">
      <c r="A2260" t="s">
        <v>41</v>
      </c>
      <c r="B2260">
        <v>2019</v>
      </c>
      <c r="C2260">
        <v>1</v>
      </c>
      <c r="D2260" t="s">
        <v>13</v>
      </c>
      <c r="E2260">
        <v>402042</v>
      </c>
      <c r="F2260" s="6">
        <v>373355289.5614773</v>
      </c>
      <c r="G2260" s="5">
        <v>84834244</v>
      </c>
      <c r="H2260">
        <v>0</v>
      </c>
      <c r="I2260" s="1">
        <v>4.4009974269526975</v>
      </c>
    </row>
    <row r="2261" spans="1:9" x14ac:dyDescent="0.3">
      <c r="A2261" t="s">
        <v>41</v>
      </c>
      <c r="B2261">
        <v>2019</v>
      </c>
      <c r="C2261">
        <v>2</v>
      </c>
      <c r="D2261" t="s">
        <v>10</v>
      </c>
      <c r="E2261">
        <v>25257679</v>
      </c>
      <c r="F2261" s="6">
        <v>79466464089.340591</v>
      </c>
      <c r="G2261" s="5">
        <v>96623285</v>
      </c>
      <c r="H2261">
        <v>690660696</v>
      </c>
      <c r="I2261" s="1">
        <v>822.43595929636001</v>
      </c>
    </row>
    <row r="2262" spans="1:9" x14ac:dyDescent="0.3">
      <c r="A2262" t="s">
        <v>41</v>
      </c>
      <c r="B2262">
        <v>2019</v>
      </c>
      <c r="C2262">
        <v>2</v>
      </c>
      <c r="D2262" t="s">
        <v>9</v>
      </c>
      <c r="E2262">
        <v>14968290</v>
      </c>
      <c r="F2262" s="6">
        <v>5709279550.8542109</v>
      </c>
      <c r="G2262" s="5">
        <v>96623285</v>
      </c>
      <c r="H2262">
        <v>690660696</v>
      </c>
      <c r="I2262" s="1">
        <v>59.088029876589381</v>
      </c>
    </row>
    <row r="2263" spans="1:9" x14ac:dyDescent="0.3">
      <c r="A2263" t="s">
        <v>41</v>
      </c>
      <c r="B2263">
        <v>2019</v>
      </c>
      <c r="C2263">
        <v>2</v>
      </c>
      <c r="D2263" t="s">
        <v>11</v>
      </c>
      <c r="E2263">
        <v>9026751</v>
      </c>
      <c r="F2263" s="6">
        <v>3435472167.2010689</v>
      </c>
      <c r="G2263" s="5">
        <v>96623285</v>
      </c>
      <c r="H2263">
        <v>690660696</v>
      </c>
      <c r="I2263" s="1">
        <v>35.555323617915377</v>
      </c>
    </row>
    <row r="2264" spans="1:9" x14ac:dyDescent="0.3">
      <c r="A2264" t="s">
        <v>41</v>
      </c>
      <c r="B2264">
        <v>2019</v>
      </c>
      <c r="C2264">
        <v>2</v>
      </c>
      <c r="D2264" t="s">
        <v>12</v>
      </c>
      <c r="E2264">
        <v>182685</v>
      </c>
      <c r="F2264" s="6">
        <v>34134486.762421735</v>
      </c>
      <c r="G2264" s="5">
        <v>96623285</v>
      </c>
      <c r="H2264">
        <v>690660696</v>
      </c>
      <c r="I2264" s="1">
        <v>0.35327392110940686</v>
      </c>
    </row>
    <row r="2265" spans="1:9" x14ac:dyDescent="0.3">
      <c r="A2265" t="s">
        <v>41</v>
      </c>
      <c r="B2265">
        <v>2019</v>
      </c>
      <c r="C2265">
        <v>2</v>
      </c>
      <c r="D2265" t="s">
        <v>13</v>
      </c>
      <c r="E2265">
        <v>573881</v>
      </c>
      <c r="F2265" s="6">
        <v>461962878.50714219</v>
      </c>
      <c r="G2265" s="5">
        <v>96623285</v>
      </c>
      <c r="H2265">
        <v>690660696</v>
      </c>
      <c r="I2265" s="1">
        <v>4.7810719590742767</v>
      </c>
    </row>
    <row r="2266" spans="1:9" x14ac:dyDescent="0.3">
      <c r="A2266" t="s">
        <v>41</v>
      </c>
      <c r="B2266">
        <v>2019</v>
      </c>
      <c r="C2266">
        <v>3</v>
      </c>
      <c r="D2266" t="s">
        <v>10</v>
      </c>
      <c r="E2266">
        <v>29885618</v>
      </c>
      <c r="F2266" s="6">
        <v>97443950786.575806</v>
      </c>
      <c r="G2266" s="5">
        <v>107770344</v>
      </c>
      <c r="H2266">
        <v>2621728989</v>
      </c>
      <c r="I2266" s="1">
        <v>904.18149529684911</v>
      </c>
    </row>
    <row r="2267" spans="1:9" x14ac:dyDescent="0.3">
      <c r="A2267" t="s">
        <v>41</v>
      </c>
      <c r="B2267">
        <v>2019</v>
      </c>
      <c r="C2267">
        <v>3</v>
      </c>
      <c r="D2267" t="s">
        <v>11</v>
      </c>
      <c r="E2267">
        <v>19646612</v>
      </c>
      <c r="F2267" s="6">
        <v>6705923742.5639353</v>
      </c>
      <c r="G2267" s="5">
        <v>107770344</v>
      </c>
      <c r="H2267">
        <v>2621728989</v>
      </c>
      <c r="I2267" s="1">
        <v>62.224202815608862</v>
      </c>
    </row>
    <row r="2268" spans="1:9" x14ac:dyDescent="0.3">
      <c r="A2268" t="s">
        <v>41</v>
      </c>
      <c r="B2268">
        <v>2019</v>
      </c>
      <c r="C2268">
        <v>3</v>
      </c>
      <c r="D2268" t="s">
        <v>9</v>
      </c>
      <c r="E2268">
        <v>16970783</v>
      </c>
      <c r="F2268" s="6">
        <v>7872719571.6020994</v>
      </c>
      <c r="G2268" s="5">
        <v>107770344</v>
      </c>
      <c r="H2268">
        <v>2621728989</v>
      </c>
      <c r="I2268" s="1">
        <v>73.050890248639263</v>
      </c>
    </row>
    <row r="2269" spans="1:9" x14ac:dyDescent="0.3">
      <c r="A2269" t="s">
        <v>41</v>
      </c>
      <c r="B2269">
        <v>2019</v>
      </c>
      <c r="C2269">
        <v>3</v>
      </c>
      <c r="D2269" t="s">
        <v>12</v>
      </c>
      <c r="E2269">
        <v>217029</v>
      </c>
      <c r="F2269" s="6">
        <v>37899900.333661847</v>
      </c>
      <c r="G2269" s="5">
        <v>107770344</v>
      </c>
      <c r="H2269">
        <v>2621728989</v>
      </c>
      <c r="I2269" s="1">
        <v>0.3516728157948707</v>
      </c>
    </row>
    <row r="2270" spans="1:9" x14ac:dyDescent="0.3">
      <c r="A2270" t="s">
        <v>41</v>
      </c>
      <c r="B2270">
        <v>2019</v>
      </c>
      <c r="C2270">
        <v>3</v>
      </c>
      <c r="D2270" t="s">
        <v>13</v>
      </c>
      <c r="E2270">
        <v>583575</v>
      </c>
      <c r="F2270" s="6">
        <v>407796030.85477871</v>
      </c>
      <c r="G2270" s="5">
        <v>107770344</v>
      </c>
      <c r="H2270">
        <v>2621728989</v>
      </c>
      <c r="I2270" s="1">
        <v>3.783935503210222</v>
      </c>
    </row>
    <row r="2271" spans="1:9" x14ac:dyDescent="0.3">
      <c r="A2271" t="s">
        <v>41</v>
      </c>
      <c r="B2271">
        <v>2019</v>
      </c>
      <c r="C2271">
        <v>4</v>
      </c>
      <c r="D2271" t="s">
        <v>10</v>
      </c>
      <c r="E2271">
        <v>43354317</v>
      </c>
      <c r="F2271" s="6">
        <v>140449134717.29099</v>
      </c>
      <c r="G2271" s="5">
        <v>120175341</v>
      </c>
      <c r="H2271">
        <v>3177951623</v>
      </c>
      <c r="I2271" s="1">
        <v>1168.7017781567267</v>
      </c>
    </row>
    <row r="2272" spans="1:9" x14ac:dyDescent="0.3">
      <c r="A2272" t="s">
        <v>41</v>
      </c>
      <c r="B2272">
        <v>2019</v>
      </c>
      <c r="C2272">
        <v>4</v>
      </c>
      <c r="D2272" t="s">
        <v>9</v>
      </c>
      <c r="E2272">
        <v>20604852</v>
      </c>
      <c r="F2272" s="6">
        <v>9028860435.0549946</v>
      </c>
      <c r="G2272" s="5">
        <v>120175341</v>
      </c>
      <c r="H2272">
        <v>3177951623</v>
      </c>
      <c r="I2272" s="1">
        <v>75.130724489102917</v>
      </c>
    </row>
    <row r="2273" spans="1:9" x14ac:dyDescent="0.3">
      <c r="A2273" t="s">
        <v>41</v>
      </c>
      <c r="B2273">
        <v>2019</v>
      </c>
      <c r="C2273">
        <v>4</v>
      </c>
      <c r="D2273" t="s">
        <v>11</v>
      </c>
      <c r="E2273">
        <v>20544791</v>
      </c>
      <c r="F2273" s="6">
        <v>9721826538.3549976</v>
      </c>
      <c r="G2273" s="5">
        <v>120175341</v>
      </c>
      <c r="H2273">
        <v>3177951623</v>
      </c>
      <c r="I2273" s="1">
        <v>80.897016454939774</v>
      </c>
    </row>
    <row r="2274" spans="1:9" x14ac:dyDescent="0.3">
      <c r="A2274" t="s">
        <v>41</v>
      </c>
      <c r="B2274">
        <v>2019</v>
      </c>
      <c r="C2274">
        <v>4</v>
      </c>
      <c r="D2274" t="s">
        <v>12</v>
      </c>
      <c r="E2274">
        <v>101805</v>
      </c>
      <c r="F2274" s="6">
        <v>25014672.38444693</v>
      </c>
      <c r="G2274" s="5">
        <v>120175341</v>
      </c>
      <c r="H2274">
        <v>3177951623</v>
      </c>
      <c r="I2274" s="1">
        <v>0.20815145749781505</v>
      </c>
    </row>
    <row r="2275" spans="1:9" x14ac:dyDescent="0.3">
      <c r="A2275" t="s">
        <v>41</v>
      </c>
      <c r="B2275">
        <v>2019</v>
      </c>
      <c r="C2275">
        <v>4</v>
      </c>
      <c r="D2275" t="s">
        <v>13</v>
      </c>
      <c r="E2275">
        <v>468477</v>
      </c>
      <c r="F2275" s="6">
        <v>227573686.58499068</v>
      </c>
      <c r="G2275" s="5">
        <v>120175341</v>
      </c>
      <c r="H2275">
        <v>3177951623</v>
      </c>
      <c r="I2275" s="1">
        <v>1.8936803897647412</v>
      </c>
    </row>
    <row r="2276" spans="1:9" x14ac:dyDescent="0.3">
      <c r="A2276" t="s">
        <v>41</v>
      </c>
      <c r="B2276">
        <v>2020</v>
      </c>
      <c r="C2276">
        <v>1</v>
      </c>
      <c r="D2276" t="s">
        <v>10</v>
      </c>
      <c r="E2276">
        <v>48269912</v>
      </c>
      <c r="F2276" s="6">
        <v>165468574323.88968</v>
      </c>
      <c r="G2276" s="5">
        <v>133562583</v>
      </c>
      <c r="H2276">
        <v>3759973316</v>
      </c>
      <c r="I2276" s="1">
        <v>1238.8842039981339</v>
      </c>
    </row>
    <row r="2277" spans="1:9" x14ac:dyDescent="0.3">
      <c r="A2277" t="s">
        <v>41</v>
      </c>
      <c r="B2277">
        <v>2020</v>
      </c>
      <c r="C2277">
        <v>1</v>
      </c>
      <c r="D2277" t="s">
        <v>11</v>
      </c>
      <c r="E2277">
        <v>27880848</v>
      </c>
      <c r="F2277" s="6">
        <v>13643061482.355961</v>
      </c>
      <c r="G2277" s="5">
        <v>133562583</v>
      </c>
      <c r="H2277">
        <v>3759973316</v>
      </c>
      <c r="I2277" s="1">
        <v>102.14733180441682</v>
      </c>
    </row>
    <row r="2278" spans="1:9" x14ac:dyDescent="0.3">
      <c r="A2278" t="s">
        <v>41</v>
      </c>
      <c r="B2278">
        <v>2020</v>
      </c>
      <c r="C2278">
        <v>1</v>
      </c>
      <c r="D2278" t="s">
        <v>9</v>
      </c>
      <c r="E2278">
        <v>25631131</v>
      </c>
      <c r="F2278" s="6">
        <v>10961167179.813339</v>
      </c>
      <c r="G2278" s="5">
        <v>133562583</v>
      </c>
      <c r="H2278">
        <v>3759973316</v>
      </c>
      <c r="I2278" s="1">
        <v>82.067648989787358</v>
      </c>
    </row>
    <row r="2279" spans="1:9" x14ac:dyDescent="0.3">
      <c r="A2279" t="s">
        <v>41</v>
      </c>
      <c r="B2279">
        <v>2020</v>
      </c>
      <c r="C2279">
        <v>1</v>
      </c>
      <c r="D2279" t="s">
        <v>12</v>
      </c>
      <c r="E2279">
        <v>72604</v>
      </c>
      <c r="F2279" s="6">
        <v>34466606.253279969</v>
      </c>
      <c r="G2279" s="5">
        <v>133562583</v>
      </c>
      <c r="H2279">
        <v>3759973316</v>
      </c>
      <c r="I2279" s="1">
        <v>0.25805585276289522</v>
      </c>
    </row>
    <row r="2280" spans="1:9" x14ac:dyDescent="0.3">
      <c r="A2280" t="s">
        <v>41</v>
      </c>
      <c r="B2280">
        <v>2020</v>
      </c>
      <c r="C2280">
        <v>1</v>
      </c>
      <c r="D2280" t="s">
        <v>13</v>
      </c>
      <c r="E2280">
        <v>404317</v>
      </c>
      <c r="F2280" s="6">
        <v>200968968.69581181</v>
      </c>
      <c r="G2280" s="5">
        <v>133562583</v>
      </c>
      <c r="H2280">
        <v>3759973316</v>
      </c>
      <c r="I2280" s="1">
        <v>1.5046801595309953</v>
      </c>
    </row>
    <row r="2281" spans="1:9" x14ac:dyDescent="0.3">
      <c r="A2281" t="s">
        <v>41</v>
      </c>
      <c r="B2281">
        <v>2020</v>
      </c>
      <c r="C2281">
        <v>2</v>
      </c>
      <c r="D2281" t="s">
        <v>10</v>
      </c>
      <c r="E2281">
        <v>49160792</v>
      </c>
      <c r="F2281" s="6">
        <v>166176386876.30048</v>
      </c>
      <c r="G2281" s="5">
        <v>149195211</v>
      </c>
      <c r="H2281">
        <v>3629352991</v>
      </c>
      <c r="I2281" s="1">
        <v>1113.8185050477289</v>
      </c>
    </row>
    <row r="2282" spans="1:9" x14ac:dyDescent="0.3">
      <c r="A2282" t="s">
        <v>41</v>
      </c>
      <c r="B2282">
        <v>2020</v>
      </c>
      <c r="C2282">
        <v>2</v>
      </c>
      <c r="D2282" t="s">
        <v>9</v>
      </c>
      <c r="E2282">
        <v>31681776</v>
      </c>
      <c r="F2282" s="6">
        <v>13014051935.536909</v>
      </c>
      <c r="G2282" s="5">
        <v>149195211</v>
      </c>
      <c r="H2282">
        <v>3629352991</v>
      </c>
      <c r="I2282" s="1">
        <v>87.228349008715227</v>
      </c>
    </row>
    <row r="2283" spans="1:9" x14ac:dyDescent="0.3">
      <c r="A2283" t="s">
        <v>41</v>
      </c>
      <c r="B2283">
        <v>2020</v>
      </c>
      <c r="C2283">
        <v>2</v>
      </c>
      <c r="D2283" t="s">
        <v>11</v>
      </c>
      <c r="E2283">
        <v>20756594</v>
      </c>
      <c r="F2283" s="6">
        <v>14354151782.392639</v>
      </c>
      <c r="G2283" s="5">
        <v>149195211</v>
      </c>
      <c r="H2283">
        <v>3629352991</v>
      </c>
      <c r="I2283" s="1">
        <v>96.210539776592682</v>
      </c>
    </row>
    <row r="2284" spans="1:9" x14ac:dyDescent="0.3">
      <c r="A2284" t="s">
        <v>41</v>
      </c>
      <c r="B2284">
        <v>2020</v>
      </c>
      <c r="C2284">
        <v>2</v>
      </c>
      <c r="D2284" t="s">
        <v>12</v>
      </c>
      <c r="E2284">
        <v>92875</v>
      </c>
      <c r="F2284" s="6">
        <v>76662259.205448478</v>
      </c>
      <c r="G2284" s="5">
        <v>149195211</v>
      </c>
      <c r="H2284">
        <v>3629352991</v>
      </c>
      <c r="I2284" s="1">
        <v>0.51383860575423213</v>
      </c>
    </row>
    <row r="2285" spans="1:9" x14ac:dyDescent="0.3">
      <c r="A2285" t="s">
        <v>41</v>
      </c>
      <c r="B2285">
        <v>2020</v>
      </c>
      <c r="C2285">
        <v>2</v>
      </c>
      <c r="D2285" t="s">
        <v>13</v>
      </c>
      <c r="E2285">
        <v>262619</v>
      </c>
      <c r="F2285" s="6">
        <v>142020149.82989299</v>
      </c>
      <c r="G2285" s="5">
        <v>149195211</v>
      </c>
      <c r="H2285">
        <v>3629352991</v>
      </c>
      <c r="I2285" s="1">
        <v>0.95190823403770641</v>
      </c>
    </row>
    <row r="2286" spans="1:9" x14ac:dyDescent="0.3">
      <c r="A2286" t="s">
        <v>41</v>
      </c>
      <c r="B2286">
        <v>2020</v>
      </c>
      <c r="C2286">
        <v>3</v>
      </c>
      <c r="D2286" t="s">
        <v>10</v>
      </c>
      <c r="E2286">
        <v>73247856</v>
      </c>
      <c r="F2286" s="6">
        <v>249006720239.33432</v>
      </c>
      <c r="G2286" s="5">
        <v>164663532</v>
      </c>
      <c r="H2286">
        <v>4803511570</v>
      </c>
      <c r="I2286" s="1">
        <v>1512.2153473504645</v>
      </c>
    </row>
    <row r="2287" spans="1:9" x14ac:dyDescent="0.3">
      <c r="A2287" t="s">
        <v>41</v>
      </c>
      <c r="B2287">
        <v>2020</v>
      </c>
      <c r="C2287">
        <v>3</v>
      </c>
      <c r="D2287" t="s">
        <v>11</v>
      </c>
      <c r="E2287">
        <v>45149210</v>
      </c>
      <c r="F2287" s="6">
        <v>27714680562.343937</v>
      </c>
      <c r="G2287" s="5">
        <v>164663532</v>
      </c>
      <c r="H2287">
        <v>4803511570</v>
      </c>
      <c r="I2287" s="1">
        <v>168.31098073581913</v>
      </c>
    </row>
    <row r="2288" spans="1:9" x14ac:dyDescent="0.3">
      <c r="A2288" t="s">
        <v>41</v>
      </c>
      <c r="B2288">
        <v>2020</v>
      </c>
      <c r="C2288">
        <v>3</v>
      </c>
      <c r="D2288" t="s">
        <v>9</v>
      </c>
      <c r="E2288">
        <v>30148875</v>
      </c>
      <c r="F2288" s="6">
        <v>16650017440.553333</v>
      </c>
      <c r="G2288" s="5">
        <v>164663532</v>
      </c>
      <c r="H2288">
        <v>4803511570</v>
      </c>
      <c r="I2288" s="1">
        <v>101.11539111497579</v>
      </c>
    </row>
    <row r="2289" spans="1:9" x14ac:dyDescent="0.3">
      <c r="A2289" t="s">
        <v>41</v>
      </c>
      <c r="B2289">
        <v>2020</v>
      </c>
      <c r="C2289">
        <v>3</v>
      </c>
      <c r="D2289" t="s">
        <v>12</v>
      </c>
      <c r="E2289">
        <v>146383</v>
      </c>
      <c r="F2289" s="6">
        <v>113675141.51464571</v>
      </c>
      <c r="G2289" s="5">
        <v>164663532</v>
      </c>
      <c r="H2289">
        <v>4803511570</v>
      </c>
      <c r="I2289" s="1">
        <v>0.69034800926440543</v>
      </c>
    </row>
    <row r="2290" spans="1:9" x14ac:dyDescent="0.3">
      <c r="A2290" t="s">
        <v>41</v>
      </c>
      <c r="B2290">
        <v>2020</v>
      </c>
      <c r="C2290">
        <v>3</v>
      </c>
      <c r="D2290" t="s">
        <v>13</v>
      </c>
      <c r="E2290">
        <v>396352</v>
      </c>
      <c r="F2290" s="6">
        <v>193212778.71178639</v>
      </c>
      <c r="G2290" s="5">
        <v>164663532</v>
      </c>
      <c r="H2290">
        <v>4803511570</v>
      </c>
      <c r="I2290" s="1">
        <v>1.1733792927008659</v>
      </c>
    </row>
    <row r="2291" spans="1:9" x14ac:dyDescent="0.3">
      <c r="A2291" t="s">
        <v>41</v>
      </c>
      <c r="B2291">
        <v>2020</v>
      </c>
      <c r="C2291">
        <v>4</v>
      </c>
      <c r="D2291" t="s">
        <v>10</v>
      </c>
      <c r="E2291">
        <v>88730951</v>
      </c>
      <c r="F2291" s="6">
        <v>321280847680.95026</v>
      </c>
      <c r="G2291" s="5">
        <v>179624434</v>
      </c>
      <c r="H2291">
        <v>5621166199</v>
      </c>
      <c r="I2291" s="1">
        <v>1788.6255256395143</v>
      </c>
    </row>
    <row r="2292" spans="1:9" x14ac:dyDescent="0.3">
      <c r="A2292" t="s">
        <v>41</v>
      </c>
      <c r="B2292">
        <v>2020</v>
      </c>
      <c r="C2292">
        <v>4</v>
      </c>
      <c r="D2292" t="s">
        <v>11</v>
      </c>
      <c r="E2292">
        <v>67367264</v>
      </c>
      <c r="F2292" s="6">
        <v>46142484518.082687</v>
      </c>
      <c r="G2292" s="5">
        <v>179624434</v>
      </c>
      <c r="H2292">
        <v>5621166199</v>
      </c>
      <c r="I2292" s="1">
        <v>256.88311712694212</v>
      </c>
    </row>
    <row r="2293" spans="1:9" x14ac:dyDescent="0.3">
      <c r="A2293" t="s">
        <v>41</v>
      </c>
      <c r="B2293">
        <v>2020</v>
      </c>
      <c r="C2293">
        <v>4</v>
      </c>
      <c r="D2293" t="s">
        <v>9</v>
      </c>
      <c r="E2293">
        <v>33455755</v>
      </c>
      <c r="F2293" s="6">
        <v>18123908525.970139</v>
      </c>
      <c r="G2293" s="5">
        <v>179624434</v>
      </c>
      <c r="H2293">
        <v>5621166199</v>
      </c>
      <c r="I2293" s="1">
        <v>100.89890402087579</v>
      </c>
    </row>
    <row r="2294" spans="1:9" x14ac:dyDescent="0.3">
      <c r="A2294" t="s">
        <v>41</v>
      </c>
      <c r="B2294">
        <v>2020</v>
      </c>
      <c r="C2294">
        <v>4</v>
      </c>
      <c r="D2294" t="s">
        <v>12</v>
      </c>
      <c r="E2294">
        <v>169294</v>
      </c>
      <c r="F2294" s="6">
        <v>136058685.85299307</v>
      </c>
      <c r="G2294" s="5">
        <v>179624434</v>
      </c>
      <c r="H2294">
        <v>5621166199</v>
      </c>
      <c r="I2294" s="1">
        <v>0.75746201573552663</v>
      </c>
    </row>
    <row r="2295" spans="1:9" x14ac:dyDescent="0.3">
      <c r="A2295" t="s">
        <v>41</v>
      </c>
      <c r="B2295">
        <v>2020</v>
      </c>
      <c r="C2295">
        <v>4</v>
      </c>
      <c r="D2295" t="s">
        <v>13</v>
      </c>
      <c r="E2295">
        <v>560171</v>
      </c>
      <c r="F2295" s="6">
        <v>351480425.64826149</v>
      </c>
      <c r="G2295" s="5">
        <v>179624434</v>
      </c>
      <c r="H2295">
        <v>5621166199</v>
      </c>
      <c r="I2295" s="1">
        <v>1.956751750423116</v>
      </c>
    </row>
    <row r="2296" spans="1:9" x14ac:dyDescent="0.3">
      <c r="A2296" t="s">
        <v>41</v>
      </c>
      <c r="B2296">
        <v>2021</v>
      </c>
      <c r="C2296">
        <v>1</v>
      </c>
      <c r="D2296" t="s">
        <v>10</v>
      </c>
      <c r="E2296">
        <v>116733195</v>
      </c>
      <c r="F2296" s="6">
        <v>408190388154.22742</v>
      </c>
      <c r="G2296" s="5">
        <v>194271968</v>
      </c>
      <c r="H2296">
        <v>6957885649</v>
      </c>
      <c r="I2296" s="1">
        <v>2101.1286000573559</v>
      </c>
    </row>
    <row r="2297" spans="1:9" x14ac:dyDescent="0.3">
      <c r="A2297" t="s">
        <v>41</v>
      </c>
      <c r="B2297">
        <v>2021</v>
      </c>
      <c r="C2297">
        <v>1</v>
      </c>
      <c r="D2297" t="s">
        <v>11</v>
      </c>
      <c r="E2297">
        <v>96394132</v>
      </c>
      <c r="F2297" s="6">
        <v>61936457709.223076</v>
      </c>
      <c r="G2297" s="5">
        <v>194271968</v>
      </c>
      <c r="H2297">
        <v>6957885649</v>
      </c>
      <c r="I2297" s="1">
        <v>318.813148118328</v>
      </c>
    </row>
    <row r="2298" spans="1:9" x14ac:dyDescent="0.3">
      <c r="A2298" t="s">
        <v>41</v>
      </c>
      <c r="B2298">
        <v>2021</v>
      </c>
      <c r="C2298">
        <v>1</v>
      </c>
      <c r="D2298" t="s">
        <v>9</v>
      </c>
      <c r="E2298">
        <v>38919519</v>
      </c>
      <c r="F2298" s="6">
        <v>20855464604.344055</v>
      </c>
      <c r="G2298" s="5">
        <v>194271968</v>
      </c>
      <c r="H2298">
        <v>6957885649</v>
      </c>
      <c r="I2298" s="1">
        <v>107.35189857315933</v>
      </c>
    </row>
    <row r="2299" spans="1:9" x14ac:dyDescent="0.3">
      <c r="A2299" t="s">
        <v>41</v>
      </c>
      <c r="B2299">
        <v>2021</v>
      </c>
      <c r="C2299">
        <v>1</v>
      </c>
      <c r="D2299" t="s">
        <v>12</v>
      </c>
      <c r="E2299">
        <v>192936</v>
      </c>
      <c r="F2299" s="6">
        <v>162581466.93308985</v>
      </c>
      <c r="G2299" s="5">
        <v>194271968</v>
      </c>
      <c r="H2299">
        <v>6957885649</v>
      </c>
      <c r="I2299" s="1">
        <v>0.83687558532937623</v>
      </c>
    </row>
    <row r="2300" spans="1:9" x14ac:dyDescent="0.3">
      <c r="A2300" t="s">
        <v>41</v>
      </c>
      <c r="B2300">
        <v>2021</v>
      </c>
      <c r="C2300">
        <v>1</v>
      </c>
      <c r="D2300" t="s">
        <v>13</v>
      </c>
      <c r="E2300">
        <v>491137</v>
      </c>
      <c r="F2300" s="6">
        <v>347689722.9177618</v>
      </c>
      <c r="G2300" s="5">
        <v>194271968</v>
      </c>
      <c r="H2300">
        <v>6957885649</v>
      </c>
      <c r="I2300" s="1">
        <v>1.7897060831635874</v>
      </c>
    </row>
    <row r="2301" spans="1:9" x14ac:dyDescent="0.3">
      <c r="A2301" t="s">
        <v>41</v>
      </c>
      <c r="B2301">
        <v>2021</v>
      </c>
      <c r="C2301">
        <v>2</v>
      </c>
      <c r="D2301" t="s">
        <v>10</v>
      </c>
      <c r="E2301">
        <v>139277445</v>
      </c>
      <c r="F2301" s="6">
        <v>467784146764.74719</v>
      </c>
      <c r="G2301" s="5">
        <v>208790835</v>
      </c>
      <c r="H2301">
        <v>11793003552</v>
      </c>
      <c r="I2301" s="1">
        <v>2240.4438718047522</v>
      </c>
    </row>
    <row r="2302" spans="1:9" x14ac:dyDescent="0.3">
      <c r="A2302" t="s">
        <v>41</v>
      </c>
      <c r="B2302">
        <v>2021</v>
      </c>
      <c r="C2302">
        <v>2</v>
      </c>
      <c r="D2302" t="s">
        <v>11</v>
      </c>
      <c r="E2302">
        <v>97860493</v>
      </c>
      <c r="F2302" s="6">
        <v>69922875807.46701</v>
      </c>
      <c r="G2302" s="5">
        <v>208790835</v>
      </c>
      <c r="H2302">
        <v>11793003552</v>
      </c>
      <c r="I2302" s="1">
        <v>334.89437315324216</v>
      </c>
    </row>
    <row r="2303" spans="1:9" x14ac:dyDescent="0.3">
      <c r="A2303" t="s">
        <v>41</v>
      </c>
      <c r="B2303">
        <v>2021</v>
      </c>
      <c r="C2303">
        <v>2</v>
      </c>
      <c r="D2303" t="s">
        <v>9</v>
      </c>
      <c r="E2303">
        <v>49501703</v>
      </c>
      <c r="F2303" s="6">
        <v>23387103755.819714</v>
      </c>
      <c r="G2303" s="5">
        <v>208790835</v>
      </c>
      <c r="H2303">
        <v>11793003552</v>
      </c>
      <c r="I2303" s="1">
        <v>112.0121185195687</v>
      </c>
    </row>
    <row r="2304" spans="1:9" x14ac:dyDescent="0.3">
      <c r="A2304" t="s">
        <v>41</v>
      </c>
      <c r="B2304">
        <v>2021</v>
      </c>
      <c r="C2304">
        <v>2</v>
      </c>
      <c r="D2304" t="s">
        <v>12</v>
      </c>
      <c r="E2304">
        <v>216441</v>
      </c>
      <c r="F2304" s="6">
        <v>186606893.61035594</v>
      </c>
      <c r="G2304" s="5">
        <v>208790835</v>
      </c>
      <c r="H2304">
        <v>11793003552</v>
      </c>
      <c r="I2304" s="1">
        <v>0.89375040628749791</v>
      </c>
    </row>
    <row r="2305" spans="1:9" x14ac:dyDescent="0.3">
      <c r="A2305" t="s">
        <v>41</v>
      </c>
      <c r="B2305">
        <v>2021</v>
      </c>
      <c r="C2305">
        <v>2</v>
      </c>
      <c r="D2305" t="s">
        <v>13</v>
      </c>
      <c r="E2305">
        <v>620957</v>
      </c>
      <c r="F2305" s="6">
        <v>422031947.60023904</v>
      </c>
      <c r="G2305" s="5">
        <v>208790835</v>
      </c>
      <c r="H2305">
        <v>11793003552</v>
      </c>
      <c r="I2305" s="1">
        <v>2.0213145256123863</v>
      </c>
    </row>
    <row r="2306" spans="1:9" x14ac:dyDescent="0.3">
      <c r="A2306" t="s">
        <v>41</v>
      </c>
      <c r="B2306">
        <v>2021</v>
      </c>
      <c r="C2306">
        <v>3</v>
      </c>
      <c r="D2306" t="s">
        <v>10</v>
      </c>
      <c r="E2306">
        <v>181742972</v>
      </c>
      <c r="F2306" s="6">
        <v>575912799217.89648</v>
      </c>
      <c r="G2306" s="5">
        <v>225494115</v>
      </c>
      <c r="H2306">
        <v>15725092075</v>
      </c>
      <c r="I2306" s="1">
        <v>2554.0036786232604</v>
      </c>
    </row>
    <row r="2307" spans="1:9" x14ac:dyDescent="0.3">
      <c r="A2307" t="s">
        <v>41</v>
      </c>
      <c r="B2307">
        <v>2021</v>
      </c>
      <c r="C2307">
        <v>3</v>
      </c>
      <c r="D2307" t="s">
        <v>11</v>
      </c>
      <c r="E2307">
        <v>167819345</v>
      </c>
      <c r="F2307" s="6">
        <v>105548321875.05884</v>
      </c>
      <c r="G2307" s="5">
        <v>225494115</v>
      </c>
      <c r="H2307">
        <v>15725092075</v>
      </c>
      <c r="I2307" s="1">
        <v>468.07572727589292</v>
      </c>
    </row>
    <row r="2308" spans="1:9" x14ac:dyDescent="0.3">
      <c r="A2308" t="s">
        <v>41</v>
      </c>
      <c r="B2308">
        <v>2021</v>
      </c>
      <c r="C2308">
        <v>3</v>
      </c>
      <c r="D2308" t="s">
        <v>9</v>
      </c>
      <c r="E2308">
        <v>49709657</v>
      </c>
      <c r="F2308" s="6">
        <v>28335516739.417709</v>
      </c>
      <c r="G2308" s="5">
        <v>225494115</v>
      </c>
      <c r="H2308">
        <v>15725092075</v>
      </c>
      <c r="I2308" s="1">
        <v>125.65967293389323</v>
      </c>
    </row>
    <row r="2309" spans="1:9" x14ac:dyDescent="0.3">
      <c r="A2309" t="s">
        <v>41</v>
      </c>
      <c r="B2309">
        <v>2021</v>
      </c>
      <c r="C2309">
        <v>3</v>
      </c>
      <c r="D2309" t="s">
        <v>12</v>
      </c>
      <c r="E2309">
        <v>197211</v>
      </c>
      <c r="F2309" s="6">
        <v>190362135.86135098</v>
      </c>
      <c r="G2309" s="5">
        <v>225494115</v>
      </c>
      <c r="H2309">
        <v>15725092075</v>
      </c>
      <c r="I2309" s="1">
        <v>0.84420001764281516</v>
      </c>
    </row>
    <row r="2310" spans="1:9" x14ac:dyDescent="0.3">
      <c r="A2310" t="s">
        <v>41</v>
      </c>
      <c r="B2310">
        <v>2021</v>
      </c>
      <c r="C2310">
        <v>3</v>
      </c>
      <c r="D2310" t="s">
        <v>13</v>
      </c>
      <c r="E2310">
        <v>815568</v>
      </c>
      <c r="F2310" s="6">
        <v>524328574.25040925</v>
      </c>
      <c r="G2310" s="5">
        <v>225494115</v>
      </c>
      <c r="H2310">
        <v>15725092075</v>
      </c>
      <c r="I2310" s="1">
        <v>2.3252428306184809</v>
      </c>
    </row>
    <row r="2311" spans="1:9" x14ac:dyDescent="0.3">
      <c r="A2311" t="s">
        <v>41</v>
      </c>
      <c r="B2311">
        <v>2021</v>
      </c>
      <c r="C2311">
        <v>4</v>
      </c>
      <c r="D2311" t="s">
        <v>11</v>
      </c>
      <c r="E2311">
        <v>221774624</v>
      </c>
      <c r="F2311" s="6">
        <v>151967969235.0213</v>
      </c>
      <c r="G2311" s="5">
        <v>241749222</v>
      </c>
      <c r="H2311">
        <v>13036364341</v>
      </c>
      <c r="I2311" s="1">
        <v>628.61823495349779</v>
      </c>
    </row>
    <row r="2312" spans="1:9" x14ac:dyDescent="0.3">
      <c r="A2312" t="s">
        <v>41</v>
      </c>
      <c r="B2312">
        <v>2021</v>
      </c>
      <c r="C2312">
        <v>4</v>
      </c>
      <c r="D2312" t="s">
        <v>10</v>
      </c>
      <c r="E2312">
        <v>212937264</v>
      </c>
      <c r="F2312" s="6">
        <v>718215327365.9165</v>
      </c>
      <c r="G2312" s="5">
        <v>241749222</v>
      </c>
      <c r="H2312">
        <v>13036364341</v>
      </c>
      <c r="I2312" s="1">
        <v>2970.9106048991403</v>
      </c>
    </row>
    <row r="2313" spans="1:9" x14ac:dyDescent="0.3">
      <c r="A2313" t="s">
        <v>41</v>
      </c>
      <c r="B2313">
        <v>2021</v>
      </c>
      <c r="C2313">
        <v>4</v>
      </c>
      <c r="D2313" t="s">
        <v>9</v>
      </c>
      <c r="E2313">
        <v>51610607</v>
      </c>
      <c r="F2313" s="6">
        <v>32831163302.92643</v>
      </c>
      <c r="G2313" s="5">
        <v>241749222</v>
      </c>
      <c r="H2313">
        <v>13036364341</v>
      </c>
      <c r="I2313" s="1">
        <v>135.80669683779345</v>
      </c>
    </row>
    <row r="2314" spans="1:9" x14ac:dyDescent="0.3">
      <c r="A2314" t="s">
        <v>41</v>
      </c>
      <c r="B2314">
        <v>2021</v>
      </c>
      <c r="C2314">
        <v>4</v>
      </c>
      <c r="D2314" t="s">
        <v>12</v>
      </c>
      <c r="E2314">
        <v>265091</v>
      </c>
      <c r="F2314" s="6">
        <v>263180819.69321251</v>
      </c>
      <c r="G2314" s="5">
        <v>241749222</v>
      </c>
      <c r="H2314">
        <v>13036364341</v>
      </c>
      <c r="I2314" s="1">
        <v>1.0886521888918943</v>
      </c>
    </row>
    <row r="2315" spans="1:9" x14ac:dyDescent="0.3">
      <c r="A2315" t="s">
        <v>41</v>
      </c>
      <c r="B2315">
        <v>2021</v>
      </c>
      <c r="C2315">
        <v>4</v>
      </c>
      <c r="D2315" t="s">
        <v>13</v>
      </c>
      <c r="E2315">
        <v>1034011</v>
      </c>
      <c r="F2315" s="6">
        <v>656777820.7586894</v>
      </c>
      <c r="G2315" s="5">
        <v>241749222</v>
      </c>
      <c r="H2315">
        <v>13036364341</v>
      </c>
      <c r="I2315" s="1">
        <v>2.7167732550497696</v>
      </c>
    </row>
    <row r="2316" spans="1:9" x14ac:dyDescent="0.3">
      <c r="A2316" t="s">
        <v>42</v>
      </c>
      <c r="B2316">
        <v>2018</v>
      </c>
      <c r="C2316">
        <v>1</v>
      </c>
      <c r="D2316" t="s">
        <v>9</v>
      </c>
      <c r="E2316">
        <v>26965</v>
      </c>
      <c r="F2316" s="6">
        <v>4823943.542263939</v>
      </c>
      <c r="G2316" s="5">
        <v>220561</v>
      </c>
      <c r="H2316">
        <v>0</v>
      </c>
      <c r="I2316" s="1">
        <v>21.871244427908557</v>
      </c>
    </row>
    <row r="2317" spans="1:9" x14ac:dyDescent="0.3">
      <c r="A2317" t="s">
        <v>42</v>
      </c>
      <c r="B2317">
        <v>2018</v>
      </c>
      <c r="C2317">
        <v>1</v>
      </c>
      <c r="D2317" t="s">
        <v>10</v>
      </c>
      <c r="E2317">
        <v>13559</v>
      </c>
      <c r="F2317" s="6">
        <v>56334584.632872</v>
      </c>
      <c r="G2317" s="5">
        <v>220561</v>
      </c>
      <c r="H2317">
        <v>0</v>
      </c>
      <c r="I2317" s="1">
        <v>255.41498557257177</v>
      </c>
    </row>
    <row r="2318" spans="1:9" x14ac:dyDescent="0.3">
      <c r="A2318" t="s">
        <v>42</v>
      </c>
      <c r="B2318">
        <v>2018</v>
      </c>
      <c r="C2318">
        <v>1</v>
      </c>
      <c r="D2318" t="s">
        <v>11</v>
      </c>
      <c r="E2318">
        <v>1349</v>
      </c>
      <c r="F2318" s="6">
        <v>1677583.1440411464</v>
      </c>
      <c r="G2318" s="5">
        <v>220561</v>
      </c>
      <c r="H2318">
        <v>0</v>
      </c>
      <c r="I2318" s="1">
        <v>7.6059826716470562</v>
      </c>
    </row>
    <row r="2319" spans="1:9" x14ac:dyDescent="0.3">
      <c r="A2319" t="s">
        <v>42</v>
      </c>
      <c r="B2319">
        <v>2018</v>
      </c>
      <c r="C2319">
        <v>1</v>
      </c>
      <c r="D2319" t="s">
        <v>12</v>
      </c>
      <c r="E2319">
        <v>608</v>
      </c>
      <c r="F2319" s="6">
        <v>86906.819581013828</v>
      </c>
      <c r="G2319" s="5">
        <v>220561</v>
      </c>
      <c r="H2319">
        <v>0</v>
      </c>
      <c r="I2319" s="1">
        <v>0.39402623120594227</v>
      </c>
    </row>
    <row r="2320" spans="1:9" x14ac:dyDescent="0.3">
      <c r="A2320" t="s">
        <v>42</v>
      </c>
      <c r="B2320">
        <v>2018</v>
      </c>
      <c r="C2320">
        <v>1</v>
      </c>
      <c r="D2320" t="s">
        <v>13</v>
      </c>
      <c r="E2320">
        <v>1597</v>
      </c>
      <c r="F2320" s="6">
        <v>1727920.8016103164</v>
      </c>
      <c r="G2320" s="5">
        <v>220561</v>
      </c>
      <c r="H2320">
        <v>0</v>
      </c>
      <c r="I2320" s="1">
        <v>7.8342082308763397</v>
      </c>
    </row>
    <row r="2321" spans="1:9" x14ac:dyDescent="0.3">
      <c r="A2321" t="s">
        <v>42</v>
      </c>
      <c r="B2321">
        <v>2018</v>
      </c>
      <c r="C2321">
        <v>2</v>
      </c>
      <c r="D2321" t="s">
        <v>9</v>
      </c>
      <c r="E2321">
        <v>45435</v>
      </c>
      <c r="F2321" s="6">
        <v>9465769.8560515847</v>
      </c>
      <c r="G2321" s="5">
        <v>309067</v>
      </c>
      <c r="H2321">
        <v>0</v>
      </c>
      <c r="I2321" s="1">
        <v>30.626918616518697</v>
      </c>
    </row>
    <row r="2322" spans="1:9" x14ac:dyDescent="0.3">
      <c r="A2322" t="s">
        <v>42</v>
      </c>
      <c r="B2322">
        <v>2018</v>
      </c>
      <c r="C2322">
        <v>2</v>
      </c>
      <c r="D2322" t="s">
        <v>10</v>
      </c>
      <c r="E2322">
        <v>24237</v>
      </c>
      <c r="F2322" s="6">
        <v>127051984.3879841</v>
      </c>
      <c r="G2322" s="5">
        <v>309067</v>
      </c>
      <c r="H2322">
        <v>0</v>
      </c>
      <c r="I2322" s="1">
        <v>411.08233615359808</v>
      </c>
    </row>
    <row r="2323" spans="1:9" x14ac:dyDescent="0.3">
      <c r="A2323" t="s">
        <v>42</v>
      </c>
      <c r="B2323">
        <v>2018</v>
      </c>
      <c r="C2323">
        <v>2</v>
      </c>
      <c r="D2323" t="s">
        <v>11</v>
      </c>
      <c r="E2323">
        <v>2556</v>
      </c>
      <c r="F2323" s="6">
        <v>4713227.1481359731</v>
      </c>
      <c r="G2323" s="5">
        <v>309067</v>
      </c>
      <c r="H2323">
        <v>0</v>
      </c>
      <c r="I2323" s="1">
        <v>15.249855688688774</v>
      </c>
    </row>
    <row r="2324" spans="1:9" x14ac:dyDescent="0.3">
      <c r="A2324" t="s">
        <v>42</v>
      </c>
      <c r="B2324">
        <v>2018</v>
      </c>
      <c r="C2324">
        <v>2</v>
      </c>
      <c r="D2324" t="s">
        <v>12</v>
      </c>
      <c r="E2324">
        <v>562</v>
      </c>
      <c r="F2324" s="6">
        <v>218130.12995975127</v>
      </c>
      <c r="G2324" s="5">
        <v>309067</v>
      </c>
      <c r="H2324">
        <v>0</v>
      </c>
      <c r="I2324" s="1">
        <v>0.70576971970398417</v>
      </c>
    </row>
    <row r="2325" spans="1:9" x14ac:dyDescent="0.3">
      <c r="A2325" t="s">
        <v>42</v>
      </c>
      <c r="B2325">
        <v>2018</v>
      </c>
      <c r="C2325">
        <v>2</v>
      </c>
      <c r="D2325" t="s">
        <v>13</v>
      </c>
      <c r="E2325">
        <v>1788</v>
      </c>
      <c r="F2325" s="6">
        <v>2243974.0076642134</v>
      </c>
      <c r="G2325" s="5">
        <v>309067</v>
      </c>
      <c r="H2325">
        <v>0</v>
      </c>
      <c r="I2325" s="1">
        <v>7.2604775264399413</v>
      </c>
    </row>
    <row r="2326" spans="1:9" x14ac:dyDescent="0.3">
      <c r="A2326" t="s">
        <v>42</v>
      </c>
      <c r="B2326">
        <v>2018</v>
      </c>
      <c r="C2326">
        <v>3</v>
      </c>
      <c r="D2326" t="s">
        <v>9</v>
      </c>
      <c r="E2326">
        <v>58421</v>
      </c>
      <c r="F2326" s="6">
        <v>12221506.18938216</v>
      </c>
      <c r="G2326" s="5">
        <v>414007</v>
      </c>
      <c r="H2326">
        <v>0</v>
      </c>
      <c r="I2326" s="1">
        <v>29.520047219931449</v>
      </c>
    </row>
    <row r="2327" spans="1:9" x14ac:dyDescent="0.3">
      <c r="A2327" t="s">
        <v>42</v>
      </c>
      <c r="B2327">
        <v>2018</v>
      </c>
      <c r="C2327">
        <v>3</v>
      </c>
      <c r="D2327" t="s">
        <v>10</v>
      </c>
      <c r="E2327">
        <v>43195</v>
      </c>
      <c r="F2327" s="6">
        <v>215547415.4557628</v>
      </c>
      <c r="G2327" s="5">
        <v>414007</v>
      </c>
      <c r="H2327">
        <v>0</v>
      </c>
      <c r="I2327" s="1">
        <v>520.6371280093399</v>
      </c>
    </row>
    <row r="2328" spans="1:9" x14ac:dyDescent="0.3">
      <c r="A2328" t="s">
        <v>42</v>
      </c>
      <c r="B2328">
        <v>2018</v>
      </c>
      <c r="C2328">
        <v>3</v>
      </c>
      <c r="D2328" t="s">
        <v>11</v>
      </c>
      <c r="E2328">
        <v>4521</v>
      </c>
      <c r="F2328" s="6">
        <v>5322296.7479545139</v>
      </c>
      <c r="G2328" s="5">
        <v>414007</v>
      </c>
      <c r="H2328">
        <v>0</v>
      </c>
      <c r="I2328" s="1">
        <v>12.855571881524984</v>
      </c>
    </row>
    <row r="2329" spans="1:9" x14ac:dyDescent="0.3">
      <c r="A2329" t="s">
        <v>42</v>
      </c>
      <c r="B2329">
        <v>2018</v>
      </c>
      <c r="C2329">
        <v>3</v>
      </c>
      <c r="D2329" t="s">
        <v>12</v>
      </c>
      <c r="E2329">
        <v>562</v>
      </c>
      <c r="F2329" s="6">
        <v>261766.80217056011</v>
      </c>
      <c r="G2329" s="5">
        <v>414007</v>
      </c>
      <c r="H2329">
        <v>0</v>
      </c>
      <c r="I2329" s="1">
        <v>0.63227627110304929</v>
      </c>
    </row>
    <row r="2330" spans="1:9" x14ac:dyDescent="0.3">
      <c r="A2330" t="s">
        <v>42</v>
      </c>
      <c r="B2330">
        <v>2018</v>
      </c>
      <c r="C2330">
        <v>3</v>
      </c>
      <c r="D2330" t="s">
        <v>13</v>
      </c>
      <c r="E2330">
        <v>1801</v>
      </c>
      <c r="F2330" s="6">
        <v>1727241.758047811</v>
      </c>
      <c r="G2330" s="5">
        <v>414007</v>
      </c>
      <c r="H2330">
        <v>0</v>
      </c>
      <c r="I2330" s="1">
        <v>4.1720109999294968</v>
      </c>
    </row>
    <row r="2331" spans="1:9" x14ac:dyDescent="0.3">
      <c r="A2331" t="s">
        <v>42</v>
      </c>
      <c r="B2331">
        <v>2018</v>
      </c>
      <c r="C2331">
        <v>4</v>
      </c>
      <c r="D2331" t="s">
        <v>9</v>
      </c>
      <c r="E2331">
        <v>79232</v>
      </c>
      <c r="F2331" s="6">
        <v>16713780.628117373</v>
      </c>
      <c r="G2331" s="5">
        <v>533918</v>
      </c>
      <c r="H2331">
        <v>0</v>
      </c>
      <c r="I2331" s="1">
        <v>31.304021643992847</v>
      </c>
    </row>
    <row r="2332" spans="1:9" x14ac:dyDescent="0.3">
      <c r="A2332" t="s">
        <v>42</v>
      </c>
      <c r="B2332">
        <v>2018</v>
      </c>
      <c r="C2332">
        <v>4</v>
      </c>
      <c r="D2332" t="s">
        <v>10</v>
      </c>
      <c r="E2332">
        <v>65451</v>
      </c>
      <c r="F2332" s="6">
        <v>351253329.74205655</v>
      </c>
      <c r="G2332" s="5">
        <v>533918</v>
      </c>
      <c r="H2332">
        <v>0</v>
      </c>
      <c r="I2332" s="1">
        <v>657.87879363882951</v>
      </c>
    </row>
    <row r="2333" spans="1:9" x14ac:dyDescent="0.3">
      <c r="A2333" t="s">
        <v>42</v>
      </c>
      <c r="B2333">
        <v>2018</v>
      </c>
      <c r="C2333">
        <v>4</v>
      </c>
      <c r="D2333" t="s">
        <v>11</v>
      </c>
      <c r="E2333">
        <v>7452</v>
      </c>
      <c r="F2333" s="6">
        <v>12637809.239460425</v>
      </c>
      <c r="G2333" s="5">
        <v>533918</v>
      </c>
      <c r="H2333">
        <v>0</v>
      </c>
      <c r="I2333" s="1">
        <v>23.669944147716365</v>
      </c>
    </row>
    <row r="2334" spans="1:9" x14ac:dyDescent="0.3">
      <c r="A2334" t="s">
        <v>42</v>
      </c>
      <c r="B2334">
        <v>2018</v>
      </c>
      <c r="C2334">
        <v>4</v>
      </c>
      <c r="D2334" t="s">
        <v>12</v>
      </c>
      <c r="E2334">
        <v>717</v>
      </c>
      <c r="F2334" s="6">
        <v>596472.71457903984</v>
      </c>
      <c r="G2334" s="5">
        <v>533918</v>
      </c>
      <c r="H2334">
        <v>0</v>
      </c>
      <c r="I2334" s="1">
        <v>1.1171616513753795</v>
      </c>
    </row>
    <row r="2335" spans="1:9" x14ac:dyDescent="0.3">
      <c r="A2335" t="s">
        <v>42</v>
      </c>
      <c r="B2335">
        <v>2018</v>
      </c>
      <c r="C2335">
        <v>4</v>
      </c>
      <c r="D2335" t="s">
        <v>13</v>
      </c>
      <c r="E2335">
        <v>1681</v>
      </c>
      <c r="F2335" s="6">
        <v>1939965.7540404093</v>
      </c>
      <c r="G2335" s="5">
        <v>533918</v>
      </c>
      <c r="H2335">
        <v>0</v>
      </c>
      <c r="I2335" s="1">
        <v>3.6334526163950445</v>
      </c>
    </row>
    <row r="2336" spans="1:9" x14ac:dyDescent="0.3">
      <c r="A2336" t="s">
        <v>42</v>
      </c>
      <c r="B2336">
        <v>2019</v>
      </c>
      <c r="C2336">
        <v>1</v>
      </c>
      <c r="D2336" t="s">
        <v>10</v>
      </c>
      <c r="E2336">
        <v>121984</v>
      </c>
      <c r="F2336" s="6">
        <v>422987999.89472675</v>
      </c>
      <c r="G2336" s="5">
        <v>648516</v>
      </c>
      <c r="H2336">
        <v>0</v>
      </c>
      <c r="I2336" s="1">
        <v>652.23988289375552</v>
      </c>
    </row>
    <row r="2337" spans="1:9" x14ac:dyDescent="0.3">
      <c r="A2337" t="s">
        <v>42</v>
      </c>
      <c r="B2337">
        <v>2019</v>
      </c>
      <c r="C2337">
        <v>1</v>
      </c>
      <c r="D2337" t="s">
        <v>9</v>
      </c>
      <c r="E2337">
        <v>96878</v>
      </c>
      <c r="F2337" s="6">
        <v>20711589.874598008</v>
      </c>
      <c r="G2337" s="5">
        <v>648516</v>
      </c>
      <c r="H2337">
        <v>0</v>
      </c>
      <c r="I2337" s="1">
        <v>31.93689881914711</v>
      </c>
    </row>
    <row r="2338" spans="1:9" x14ac:dyDescent="0.3">
      <c r="A2338" t="s">
        <v>42</v>
      </c>
      <c r="B2338">
        <v>2019</v>
      </c>
      <c r="C2338">
        <v>1</v>
      </c>
      <c r="D2338" t="s">
        <v>11</v>
      </c>
      <c r="E2338">
        <v>18346</v>
      </c>
      <c r="F2338" s="6">
        <v>11837344.846847566</v>
      </c>
      <c r="G2338" s="5">
        <v>648516</v>
      </c>
      <c r="H2338">
        <v>0</v>
      </c>
      <c r="I2338" s="1">
        <v>18.252972705141531</v>
      </c>
    </row>
    <row r="2339" spans="1:9" x14ac:dyDescent="0.3">
      <c r="A2339" t="s">
        <v>42</v>
      </c>
      <c r="B2339">
        <v>2019</v>
      </c>
      <c r="C2339">
        <v>1</v>
      </c>
      <c r="D2339" t="s">
        <v>12</v>
      </c>
      <c r="E2339">
        <v>1225</v>
      </c>
      <c r="F2339" s="6">
        <v>191594.23340424805</v>
      </c>
      <c r="G2339" s="5">
        <v>648516</v>
      </c>
      <c r="H2339">
        <v>0</v>
      </c>
      <c r="I2339" s="1">
        <v>0.29543485959366933</v>
      </c>
    </row>
    <row r="2340" spans="1:9" x14ac:dyDescent="0.3">
      <c r="A2340" t="s">
        <v>42</v>
      </c>
      <c r="B2340">
        <v>2019</v>
      </c>
      <c r="C2340">
        <v>1</v>
      </c>
      <c r="D2340" t="s">
        <v>13</v>
      </c>
      <c r="E2340">
        <v>1854</v>
      </c>
      <c r="F2340" s="6">
        <v>2265105.5345173199</v>
      </c>
      <c r="G2340" s="5">
        <v>648516</v>
      </c>
      <c r="H2340">
        <v>0</v>
      </c>
      <c r="I2340" s="1">
        <v>3.4927519668247506</v>
      </c>
    </row>
    <row r="2341" spans="1:9" x14ac:dyDescent="0.3">
      <c r="A2341" t="s">
        <v>42</v>
      </c>
      <c r="B2341">
        <v>2019</v>
      </c>
      <c r="C2341">
        <v>2</v>
      </c>
      <c r="D2341" t="s">
        <v>10</v>
      </c>
      <c r="E2341">
        <v>172125</v>
      </c>
      <c r="F2341" s="6">
        <v>674044301.8399961</v>
      </c>
      <c r="G2341" s="5">
        <v>780989</v>
      </c>
      <c r="H2341">
        <v>4383720</v>
      </c>
      <c r="I2341" s="1">
        <v>863.06503912346534</v>
      </c>
    </row>
    <row r="2342" spans="1:9" x14ac:dyDescent="0.3">
      <c r="A2342" t="s">
        <v>42</v>
      </c>
      <c r="B2342">
        <v>2019</v>
      </c>
      <c r="C2342">
        <v>2</v>
      </c>
      <c r="D2342" t="s">
        <v>9</v>
      </c>
      <c r="E2342">
        <v>142582</v>
      </c>
      <c r="F2342" s="6">
        <v>32535297.489453897</v>
      </c>
      <c r="G2342" s="5">
        <v>780989</v>
      </c>
      <c r="H2342">
        <v>4383720</v>
      </c>
      <c r="I2342" s="1">
        <v>41.659098258047038</v>
      </c>
    </row>
    <row r="2343" spans="1:9" x14ac:dyDescent="0.3">
      <c r="A2343" t="s">
        <v>42</v>
      </c>
      <c r="B2343">
        <v>2019</v>
      </c>
      <c r="C2343">
        <v>2</v>
      </c>
      <c r="D2343" t="s">
        <v>11</v>
      </c>
      <c r="E2343">
        <v>66722</v>
      </c>
      <c r="F2343" s="6">
        <v>28248001.026472859</v>
      </c>
      <c r="G2343" s="5">
        <v>780989</v>
      </c>
      <c r="H2343">
        <v>4383720</v>
      </c>
      <c r="I2343" s="1">
        <v>36.169524828740045</v>
      </c>
    </row>
    <row r="2344" spans="1:9" x14ac:dyDescent="0.3">
      <c r="A2344" t="s">
        <v>42</v>
      </c>
      <c r="B2344">
        <v>2019</v>
      </c>
      <c r="C2344">
        <v>2</v>
      </c>
      <c r="D2344" t="s">
        <v>12</v>
      </c>
      <c r="E2344">
        <v>2294</v>
      </c>
      <c r="F2344" s="6">
        <v>310197.54774877685</v>
      </c>
      <c r="G2344" s="5">
        <v>780989</v>
      </c>
      <c r="H2344">
        <v>4383720</v>
      </c>
      <c r="I2344" s="1">
        <v>0.3971855528679365</v>
      </c>
    </row>
    <row r="2345" spans="1:9" x14ac:dyDescent="0.3">
      <c r="A2345" t="s">
        <v>42</v>
      </c>
      <c r="B2345">
        <v>2019</v>
      </c>
      <c r="C2345">
        <v>2</v>
      </c>
      <c r="D2345" t="s">
        <v>13</v>
      </c>
      <c r="E2345">
        <v>4521</v>
      </c>
      <c r="F2345" s="6">
        <v>3756445.5322695798</v>
      </c>
      <c r="G2345" s="5">
        <v>780989</v>
      </c>
      <c r="H2345">
        <v>4383720</v>
      </c>
      <c r="I2345" s="1">
        <v>4.8098571583845349</v>
      </c>
    </row>
    <row r="2346" spans="1:9" x14ac:dyDescent="0.3">
      <c r="A2346" t="s">
        <v>42</v>
      </c>
      <c r="B2346">
        <v>2019</v>
      </c>
      <c r="C2346">
        <v>3</v>
      </c>
      <c r="D2346" t="s">
        <v>10</v>
      </c>
      <c r="E2346">
        <v>203052</v>
      </c>
      <c r="F2346" s="6">
        <v>794235862.63173568</v>
      </c>
      <c r="G2346" s="5">
        <v>903408</v>
      </c>
      <c r="H2346">
        <v>14484844</v>
      </c>
      <c r="I2346" s="1">
        <v>879.15522403137413</v>
      </c>
    </row>
    <row r="2347" spans="1:9" x14ac:dyDescent="0.3">
      <c r="A2347" t="s">
        <v>42</v>
      </c>
      <c r="B2347">
        <v>2019</v>
      </c>
      <c r="C2347">
        <v>3</v>
      </c>
      <c r="D2347" t="s">
        <v>11</v>
      </c>
      <c r="E2347">
        <v>188753</v>
      </c>
      <c r="F2347" s="6">
        <v>52337322.526296102</v>
      </c>
      <c r="G2347" s="5">
        <v>903408</v>
      </c>
      <c r="H2347">
        <v>14484844</v>
      </c>
      <c r="I2347" s="1">
        <v>57.933206841533504</v>
      </c>
    </row>
    <row r="2348" spans="1:9" x14ac:dyDescent="0.3">
      <c r="A2348" t="s">
        <v>42</v>
      </c>
      <c r="B2348">
        <v>2019</v>
      </c>
      <c r="C2348">
        <v>3</v>
      </c>
      <c r="D2348" t="s">
        <v>9</v>
      </c>
      <c r="E2348">
        <v>156125</v>
      </c>
      <c r="F2348" s="6">
        <v>33922224.892257094</v>
      </c>
      <c r="G2348" s="5">
        <v>903408</v>
      </c>
      <c r="H2348">
        <v>14484844</v>
      </c>
      <c r="I2348" s="1">
        <v>37.549174782885579</v>
      </c>
    </row>
    <row r="2349" spans="1:9" x14ac:dyDescent="0.3">
      <c r="A2349" t="s">
        <v>42</v>
      </c>
      <c r="B2349">
        <v>2019</v>
      </c>
      <c r="C2349">
        <v>3</v>
      </c>
      <c r="D2349" t="s">
        <v>12</v>
      </c>
      <c r="E2349">
        <v>288</v>
      </c>
      <c r="F2349" s="6">
        <v>548142.89998444414</v>
      </c>
      <c r="G2349" s="5">
        <v>903408</v>
      </c>
      <c r="H2349">
        <v>14484844</v>
      </c>
      <c r="I2349" s="1">
        <v>0.60675010624706016</v>
      </c>
    </row>
    <row r="2350" spans="1:9" x14ac:dyDescent="0.3">
      <c r="A2350" t="s">
        <v>42</v>
      </c>
      <c r="B2350">
        <v>2019</v>
      </c>
      <c r="C2350">
        <v>3</v>
      </c>
      <c r="D2350" t="s">
        <v>13</v>
      </c>
      <c r="E2350">
        <v>4218</v>
      </c>
      <c r="F2350" s="6">
        <v>3672895.4901549704</v>
      </c>
      <c r="G2350" s="5">
        <v>903408</v>
      </c>
      <c r="H2350">
        <v>14484844</v>
      </c>
      <c r="I2350" s="1">
        <v>4.0655999173739552</v>
      </c>
    </row>
    <row r="2351" spans="1:9" x14ac:dyDescent="0.3">
      <c r="A2351" t="s">
        <v>42</v>
      </c>
      <c r="B2351">
        <v>2019</v>
      </c>
      <c r="C2351">
        <v>4</v>
      </c>
      <c r="D2351" t="s">
        <v>10</v>
      </c>
      <c r="E2351">
        <v>508471</v>
      </c>
      <c r="F2351" s="6">
        <v>1086457147.940953</v>
      </c>
      <c r="G2351" s="5">
        <v>1022692</v>
      </c>
      <c r="H2351">
        <v>17072044</v>
      </c>
      <c r="I2351" s="1">
        <v>1062.3502950457744</v>
      </c>
    </row>
    <row r="2352" spans="1:9" x14ac:dyDescent="0.3">
      <c r="A2352" t="s">
        <v>42</v>
      </c>
      <c r="B2352">
        <v>2019</v>
      </c>
      <c r="C2352">
        <v>4</v>
      </c>
      <c r="D2352" t="s">
        <v>9</v>
      </c>
      <c r="E2352">
        <v>181287</v>
      </c>
      <c r="F2352" s="6">
        <v>42705664.086257368</v>
      </c>
      <c r="G2352" s="5">
        <v>1022692</v>
      </c>
      <c r="H2352">
        <v>17072044</v>
      </c>
      <c r="I2352" s="1">
        <v>41.758089518894614</v>
      </c>
    </row>
    <row r="2353" spans="1:9" x14ac:dyDescent="0.3">
      <c r="A2353" t="s">
        <v>42</v>
      </c>
      <c r="B2353">
        <v>2019</v>
      </c>
      <c r="C2353">
        <v>4</v>
      </c>
      <c r="D2353" t="s">
        <v>11</v>
      </c>
      <c r="E2353">
        <v>73992</v>
      </c>
      <c r="F2353" s="6">
        <v>43954548.804204434</v>
      </c>
      <c r="G2353" s="5">
        <v>1022692</v>
      </c>
      <c r="H2353">
        <v>17072044</v>
      </c>
      <c r="I2353" s="1">
        <v>42.979263360038445</v>
      </c>
    </row>
    <row r="2354" spans="1:9" x14ac:dyDescent="0.3">
      <c r="A2354" t="s">
        <v>42</v>
      </c>
      <c r="B2354">
        <v>2019</v>
      </c>
      <c r="C2354">
        <v>4</v>
      </c>
      <c r="D2354" t="s">
        <v>12</v>
      </c>
      <c r="E2354">
        <v>373</v>
      </c>
      <c r="F2354" s="6">
        <v>494076.34508290561</v>
      </c>
      <c r="G2354" s="5">
        <v>1022692</v>
      </c>
      <c r="H2354">
        <v>17072044</v>
      </c>
      <c r="I2354" s="1">
        <v>0.48311353279668329</v>
      </c>
    </row>
    <row r="2355" spans="1:9" x14ac:dyDescent="0.3">
      <c r="A2355" t="s">
        <v>42</v>
      </c>
      <c r="B2355">
        <v>2019</v>
      </c>
      <c r="C2355">
        <v>4</v>
      </c>
      <c r="D2355" t="s">
        <v>13</v>
      </c>
      <c r="E2355">
        <v>2947</v>
      </c>
      <c r="F2355" s="6">
        <v>2898164.4797200123</v>
      </c>
      <c r="G2355" s="5">
        <v>1022692</v>
      </c>
      <c r="H2355">
        <v>17072044</v>
      </c>
      <c r="I2355" s="1">
        <v>2.833858561248169</v>
      </c>
    </row>
    <row r="2356" spans="1:9" x14ac:dyDescent="0.3">
      <c r="A2356" t="s">
        <v>42</v>
      </c>
      <c r="B2356">
        <v>2020</v>
      </c>
      <c r="C2356">
        <v>1</v>
      </c>
      <c r="D2356" t="s">
        <v>10</v>
      </c>
      <c r="E2356">
        <v>230413</v>
      </c>
      <c r="F2356" s="6">
        <v>954765350.18567824</v>
      </c>
      <c r="G2356" s="5">
        <v>1150941</v>
      </c>
      <c r="H2356">
        <v>18668793</v>
      </c>
      <c r="I2356" s="1">
        <v>829.55194939243472</v>
      </c>
    </row>
    <row r="2357" spans="1:9" x14ac:dyDescent="0.3">
      <c r="A2357" t="s">
        <v>42</v>
      </c>
      <c r="B2357">
        <v>2020</v>
      </c>
      <c r="C2357">
        <v>1</v>
      </c>
      <c r="D2357" t="s">
        <v>9</v>
      </c>
      <c r="E2357">
        <v>215586</v>
      </c>
      <c r="F2357" s="6">
        <v>53588505.838823974</v>
      </c>
      <c r="G2357" s="5">
        <v>1150941</v>
      </c>
      <c r="H2357">
        <v>18668793</v>
      </c>
      <c r="I2357" s="1">
        <v>46.560602010723379</v>
      </c>
    </row>
    <row r="2358" spans="1:9" x14ac:dyDescent="0.3">
      <c r="A2358" t="s">
        <v>42</v>
      </c>
      <c r="B2358">
        <v>2020</v>
      </c>
      <c r="C2358">
        <v>1</v>
      </c>
      <c r="D2358" t="s">
        <v>11</v>
      </c>
      <c r="E2358">
        <v>79881</v>
      </c>
      <c r="F2358" s="6">
        <v>43201695.389372639</v>
      </c>
      <c r="G2358" s="5">
        <v>1150941</v>
      </c>
      <c r="H2358">
        <v>18668793</v>
      </c>
      <c r="I2358" s="1">
        <v>37.535977421407907</v>
      </c>
    </row>
    <row r="2359" spans="1:9" x14ac:dyDescent="0.3">
      <c r="A2359" t="s">
        <v>42</v>
      </c>
      <c r="B2359">
        <v>2020</v>
      </c>
      <c r="C2359">
        <v>1</v>
      </c>
      <c r="D2359" t="s">
        <v>12</v>
      </c>
      <c r="E2359">
        <v>345</v>
      </c>
      <c r="F2359" s="6">
        <v>175569.53933206247</v>
      </c>
      <c r="G2359" s="5">
        <v>1150941</v>
      </c>
      <c r="H2359">
        <v>18668793</v>
      </c>
      <c r="I2359" s="1">
        <v>0.15254434356935975</v>
      </c>
    </row>
    <row r="2360" spans="1:9" x14ac:dyDescent="0.3">
      <c r="A2360" t="s">
        <v>42</v>
      </c>
      <c r="B2360">
        <v>2020</v>
      </c>
      <c r="C2360">
        <v>1</v>
      </c>
      <c r="D2360" t="s">
        <v>13</v>
      </c>
      <c r="E2360">
        <v>1893</v>
      </c>
      <c r="F2360" s="6">
        <v>1745150.9911952191</v>
      </c>
      <c r="G2360" s="5">
        <v>1150941</v>
      </c>
      <c r="H2360">
        <v>18668793</v>
      </c>
      <c r="I2360" s="1">
        <v>1.5162818869040369</v>
      </c>
    </row>
    <row r="2361" spans="1:9" x14ac:dyDescent="0.3">
      <c r="A2361" t="s">
        <v>42</v>
      </c>
      <c r="B2361">
        <v>2020</v>
      </c>
      <c r="C2361">
        <v>2</v>
      </c>
      <c r="D2361" t="s">
        <v>9</v>
      </c>
      <c r="E2361">
        <v>297620</v>
      </c>
      <c r="F2361" s="6">
        <v>78397187.109359935</v>
      </c>
      <c r="G2361" s="5">
        <v>1319131</v>
      </c>
      <c r="H2361">
        <v>21035685</v>
      </c>
      <c r="I2361" s="1">
        <v>59.430933780920874</v>
      </c>
    </row>
    <row r="2362" spans="1:9" x14ac:dyDescent="0.3">
      <c r="A2362" t="s">
        <v>42</v>
      </c>
      <c r="B2362">
        <v>2020</v>
      </c>
      <c r="C2362">
        <v>2</v>
      </c>
      <c r="D2362" t="s">
        <v>10</v>
      </c>
      <c r="E2362">
        <v>186495</v>
      </c>
      <c r="F2362" s="6">
        <v>939900165.94224119</v>
      </c>
      <c r="G2362" s="5">
        <v>1319131</v>
      </c>
      <c r="H2362">
        <v>21035685</v>
      </c>
      <c r="I2362" s="1">
        <v>712.51465240544053</v>
      </c>
    </row>
    <row r="2363" spans="1:9" x14ac:dyDescent="0.3">
      <c r="A2363" t="s">
        <v>42</v>
      </c>
      <c r="B2363">
        <v>2020</v>
      </c>
      <c r="C2363">
        <v>2</v>
      </c>
      <c r="D2363" t="s">
        <v>11</v>
      </c>
      <c r="E2363">
        <v>31442</v>
      </c>
      <c r="F2363" s="6">
        <v>34385184.657177508</v>
      </c>
      <c r="G2363" s="5">
        <v>1319131</v>
      </c>
      <c r="H2363">
        <v>21035685</v>
      </c>
      <c r="I2363" s="1">
        <v>26.066542790047013</v>
      </c>
    </row>
    <row r="2364" spans="1:9" x14ac:dyDescent="0.3">
      <c r="A2364" t="s">
        <v>42</v>
      </c>
      <c r="B2364">
        <v>2020</v>
      </c>
      <c r="C2364">
        <v>2</v>
      </c>
      <c r="D2364" t="s">
        <v>12</v>
      </c>
      <c r="E2364">
        <v>883</v>
      </c>
      <c r="F2364" s="6">
        <v>999656.07220476726</v>
      </c>
      <c r="G2364" s="5">
        <v>1319131</v>
      </c>
      <c r="H2364">
        <v>21035685</v>
      </c>
      <c r="I2364" s="1">
        <v>0.75781410049856102</v>
      </c>
    </row>
    <row r="2365" spans="1:9" x14ac:dyDescent="0.3">
      <c r="A2365" t="s">
        <v>42</v>
      </c>
      <c r="B2365">
        <v>2020</v>
      </c>
      <c r="C2365">
        <v>2</v>
      </c>
      <c r="D2365" t="s">
        <v>13</v>
      </c>
      <c r="E2365">
        <v>1291</v>
      </c>
      <c r="F2365" s="6">
        <v>936594.48028303799</v>
      </c>
      <c r="G2365" s="5">
        <v>1319131</v>
      </c>
      <c r="H2365">
        <v>21035685</v>
      </c>
      <c r="I2365" s="1">
        <v>0.71000869533278954</v>
      </c>
    </row>
    <row r="2366" spans="1:9" x14ac:dyDescent="0.3">
      <c r="A2366" t="s">
        <v>42</v>
      </c>
      <c r="B2366">
        <v>2020</v>
      </c>
      <c r="C2366">
        <v>3</v>
      </c>
      <c r="D2366" t="s">
        <v>9</v>
      </c>
      <c r="E2366">
        <v>298885</v>
      </c>
      <c r="F2366" s="6">
        <v>83894642.670911193</v>
      </c>
      <c r="G2366" s="5">
        <v>1482503</v>
      </c>
      <c r="H2366">
        <v>23721170</v>
      </c>
      <c r="I2366" s="1">
        <v>56.589863677113094</v>
      </c>
    </row>
    <row r="2367" spans="1:9" x14ac:dyDescent="0.3">
      <c r="A2367" t="s">
        <v>42</v>
      </c>
      <c r="B2367">
        <v>2020</v>
      </c>
      <c r="C2367">
        <v>3</v>
      </c>
      <c r="D2367" t="s">
        <v>10</v>
      </c>
      <c r="E2367">
        <v>245087</v>
      </c>
      <c r="F2367" s="6">
        <v>1255521152.9665141</v>
      </c>
      <c r="G2367" s="5">
        <v>1482503</v>
      </c>
      <c r="H2367">
        <v>23721170</v>
      </c>
      <c r="I2367" s="1">
        <v>846.89282447759911</v>
      </c>
    </row>
    <row r="2368" spans="1:9" x14ac:dyDescent="0.3">
      <c r="A2368" t="s">
        <v>42</v>
      </c>
      <c r="B2368">
        <v>2020</v>
      </c>
      <c r="C2368">
        <v>3</v>
      </c>
      <c r="D2368" t="s">
        <v>11</v>
      </c>
      <c r="E2368">
        <v>49299</v>
      </c>
      <c r="F2368" s="6">
        <v>58337178.67223759</v>
      </c>
      <c r="G2368" s="5">
        <v>1482503</v>
      </c>
      <c r="H2368">
        <v>23721170</v>
      </c>
      <c r="I2368" s="1">
        <v>39.350462476121528</v>
      </c>
    </row>
    <row r="2369" spans="1:9" x14ac:dyDescent="0.3">
      <c r="A2369" t="s">
        <v>42</v>
      </c>
      <c r="B2369">
        <v>2020</v>
      </c>
      <c r="C2369">
        <v>3</v>
      </c>
      <c r="D2369" t="s">
        <v>12</v>
      </c>
      <c r="E2369">
        <v>1252</v>
      </c>
      <c r="F2369" s="6">
        <v>1795366.733436462</v>
      </c>
      <c r="G2369" s="5">
        <v>1482503</v>
      </c>
      <c r="H2369">
        <v>23721170</v>
      </c>
      <c r="I2369" s="1">
        <v>1.2110375044343666</v>
      </c>
    </row>
    <row r="2370" spans="1:9" x14ac:dyDescent="0.3">
      <c r="A2370" t="s">
        <v>42</v>
      </c>
      <c r="B2370">
        <v>2020</v>
      </c>
      <c r="C2370">
        <v>3</v>
      </c>
      <c r="D2370" t="s">
        <v>13</v>
      </c>
      <c r="E2370">
        <v>1912</v>
      </c>
      <c r="F2370" s="6">
        <v>1378387.6172995246</v>
      </c>
      <c r="G2370" s="5">
        <v>1482503</v>
      </c>
      <c r="H2370">
        <v>23721170</v>
      </c>
      <c r="I2370" s="1">
        <v>0.92977054164445172</v>
      </c>
    </row>
    <row r="2371" spans="1:9" x14ac:dyDescent="0.3">
      <c r="A2371" t="s">
        <v>42</v>
      </c>
      <c r="B2371">
        <v>2020</v>
      </c>
      <c r="C2371">
        <v>4</v>
      </c>
      <c r="D2371" t="s">
        <v>10</v>
      </c>
      <c r="E2371">
        <v>334069</v>
      </c>
      <c r="F2371" s="6">
        <v>1711730126.5845411</v>
      </c>
      <c r="G2371" s="5">
        <v>1633973</v>
      </c>
      <c r="H2371">
        <v>27265370</v>
      </c>
      <c r="I2371" s="1">
        <v>1047.5877671078661</v>
      </c>
    </row>
    <row r="2372" spans="1:9" x14ac:dyDescent="0.3">
      <c r="A2372" t="s">
        <v>42</v>
      </c>
      <c r="B2372">
        <v>2020</v>
      </c>
      <c r="C2372">
        <v>4</v>
      </c>
      <c r="D2372" t="s">
        <v>9</v>
      </c>
      <c r="E2372">
        <v>301382</v>
      </c>
      <c r="F2372" s="6">
        <v>90168624.054155409</v>
      </c>
      <c r="G2372" s="5">
        <v>1633973</v>
      </c>
      <c r="H2372">
        <v>27265370</v>
      </c>
      <c r="I2372" s="1">
        <v>55.183668306731754</v>
      </c>
    </row>
    <row r="2373" spans="1:9" x14ac:dyDescent="0.3">
      <c r="A2373" t="s">
        <v>42</v>
      </c>
      <c r="B2373">
        <v>2020</v>
      </c>
      <c r="C2373">
        <v>4</v>
      </c>
      <c r="D2373" t="s">
        <v>11</v>
      </c>
      <c r="E2373">
        <v>95503</v>
      </c>
      <c r="F2373" s="6">
        <v>112478003.86391157</v>
      </c>
      <c r="G2373" s="5">
        <v>1633973</v>
      </c>
      <c r="H2373">
        <v>27265370</v>
      </c>
      <c r="I2373" s="1">
        <v>68.837125132368513</v>
      </c>
    </row>
    <row r="2374" spans="1:9" x14ac:dyDescent="0.3">
      <c r="A2374" t="s">
        <v>42</v>
      </c>
      <c r="B2374">
        <v>2020</v>
      </c>
      <c r="C2374">
        <v>4</v>
      </c>
      <c r="D2374" t="s">
        <v>12</v>
      </c>
      <c r="E2374">
        <v>1427</v>
      </c>
      <c r="F2374" s="6">
        <v>2361187.5923923948</v>
      </c>
      <c r="G2374" s="5">
        <v>1633973</v>
      </c>
      <c r="H2374">
        <v>27265370</v>
      </c>
      <c r="I2374" s="1">
        <v>1.4450591242281206</v>
      </c>
    </row>
    <row r="2375" spans="1:9" x14ac:dyDescent="0.3">
      <c r="A2375" t="s">
        <v>42</v>
      </c>
      <c r="B2375">
        <v>2020</v>
      </c>
      <c r="C2375">
        <v>4</v>
      </c>
      <c r="D2375" t="s">
        <v>13</v>
      </c>
      <c r="E2375">
        <v>2654</v>
      </c>
      <c r="F2375" s="6">
        <v>2537863.0279230541</v>
      </c>
      <c r="G2375" s="5">
        <v>1633973</v>
      </c>
      <c r="H2375">
        <v>27265370</v>
      </c>
      <c r="I2375" s="1">
        <v>1.5531854124413647</v>
      </c>
    </row>
    <row r="2376" spans="1:9" x14ac:dyDescent="0.3">
      <c r="A2376" t="s">
        <v>42</v>
      </c>
      <c r="B2376">
        <v>2021</v>
      </c>
      <c r="C2376">
        <v>1</v>
      </c>
      <c r="D2376" t="s">
        <v>10</v>
      </c>
      <c r="E2376">
        <v>403703</v>
      </c>
      <c r="F2376" s="6">
        <v>1965492629.578867</v>
      </c>
      <c r="G2376" s="5">
        <v>1762343</v>
      </c>
      <c r="H2376">
        <v>30748641</v>
      </c>
      <c r="I2376" s="1">
        <v>1115.2724694221652</v>
      </c>
    </row>
    <row r="2377" spans="1:9" x14ac:dyDescent="0.3">
      <c r="A2377" t="s">
        <v>42</v>
      </c>
      <c r="B2377">
        <v>2021</v>
      </c>
      <c r="C2377">
        <v>1</v>
      </c>
      <c r="D2377" t="s">
        <v>9</v>
      </c>
      <c r="E2377">
        <v>279679</v>
      </c>
      <c r="F2377" s="6">
        <v>93174110.112333998</v>
      </c>
      <c r="G2377" s="5">
        <v>1762343</v>
      </c>
      <c r="H2377">
        <v>30748641</v>
      </c>
      <c r="I2377" s="1">
        <v>52.869452832016243</v>
      </c>
    </row>
    <row r="2378" spans="1:9" x14ac:dyDescent="0.3">
      <c r="A2378" t="s">
        <v>42</v>
      </c>
      <c r="B2378">
        <v>2021</v>
      </c>
      <c r="C2378">
        <v>1</v>
      </c>
      <c r="D2378" t="s">
        <v>11</v>
      </c>
      <c r="E2378">
        <v>112925</v>
      </c>
      <c r="F2378" s="6">
        <v>154183320.1372872</v>
      </c>
      <c r="G2378" s="5">
        <v>1762343</v>
      </c>
      <c r="H2378">
        <v>30748641</v>
      </c>
      <c r="I2378" s="1">
        <v>87.487691180029771</v>
      </c>
    </row>
    <row r="2379" spans="1:9" x14ac:dyDescent="0.3">
      <c r="A2379" t="s">
        <v>42</v>
      </c>
      <c r="B2379">
        <v>2021</v>
      </c>
      <c r="C2379">
        <v>1</v>
      </c>
      <c r="D2379" t="s">
        <v>12</v>
      </c>
      <c r="E2379">
        <v>1844</v>
      </c>
      <c r="F2379" s="6">
        <v>3027799.2784099854</v>
      </c>
      <c r="G2379" s="5">
        <v>1762343</v>
      </c>
      <c r="H2379">
        <v>30748641</v>
      </c>
      <c r="I2379" s="1">
        <v>1.7180533405869263</v>
      </c>
    </row>
    <row r="2380" spans="1:9" x14ac:dyDescent="0.3">
      <c r="A2380" t="s">
        <v>42</v>
      </c>
      <c r="B2380">
        <v>2021</v>
      </c>
      <c r="C2380">
        <v>1</v>
      </c>
      <c r="D2380" t="s">
        <v>13</v>
      </c>
      <c r="E2380">
        <v>2038</v>
      </c>
      <c r="F2380" s="6">
        <v>1789867.7338266163</v>
      </c>
      <c r="G2380" s="5">
        <v>1762343</v>
      </c>
      <c r="H2380">
        <v>30748641</v>
      </c>
      <c r="I2380" s="1">
        <v>1.0156182614999556</v>
      </c>
    </row>
    <row r="2381" spans="1:9" x14ac:dyDescent="0.3">
      <c r="A2381" t="s">
        <v>42</v>
      </c>
      <c r="B2381">
        <v>2021</v>
      </c>
      <c r="C2381">
        <v>2</v>
      </c>
      <c r="D2381" t="s">
        <v>10</v>
      </c>
      <c r="E2381">
        <v>473141</v>
      </c>
      <c r="F2381" s="6">
        <v>2125758496.616091</v>
      </c>
      <c r="G2381" s="5">
        <v>1889140</v>
      </c>
      <c r="H2381">
        <v>49952331</v>
      </c>
      <c r="I2381" s="1">
        <v>1125.2519647120334</v>
      </c>
    </row>
    <row r="2382" spans="1:9" x14ac:dyDescent="0.3">
      <c r="A2382" t="s">
        <v>42</v>
      </c>
      <c r="B2382">
        <v>2021</v>
      </c>
      <c r="C2382">
        <v>2</v>
      </c>
      <c r="D2382" t="s">
        <v>9</v>
      </c>
      <c r="E2382">
        <v>345495</v>
      </c>
      <c r="F2382" s="6">
        <v>103846501.52404109</v>
      </c>
      <c r="G2382" s="5">
        <v>1889140</v>
      </c>
      <c r="H2382">
        <v>49952331</v>
      </c>
      <c r="I2382" s="1">
        <v>54.970251820426803</v>
      </c>
    </row>
    <row r="2383" spans="1:9" x14ac:dyDescent="0.3">
      <c r="A2383" t="s">
        <v>42</v>
      </c>
      <c r="B2383">
        <v>2021</v>
      </c>
      <c r="C2383">
        <v>2</v>
      </c>
      <c r="D2383" t="s">
        <v>11</v>
      </c>
      <c r="E2383">
        <v>153671</v>
      </c>
      <c r="F2383" s="6">
        <v>190473176.21848944</v>
      </c>
      <c r="G2383" s="5">
        <v>1889140</v>
      </c>
      <c r="H2383">
        <v>49952331</v>
      </c>
      <c r="I2383" s="1">
        <v>100.82533651211104</v>
      </c>
    </row>
    <row r="2384" spans="1:9" x14ac:dyDescent="0.3">
      <c r="A2384" t="s">
        <v>42</v>
      </c>
      <c r="B2384">
        <v>2021</v>
      </c>
      <c r="C2384">
        <v>2</v>
      </c>
      <c r="D2384" t="s">
        <v>12</v>
      </c>
      <c r="E2384">
        <v>1865</v>
      </c>
      <c r="F2384" s="6">
        <v>2851874.2874650131</v>
      </c>
      <c r="G2384" s="5">
        <v>1889140</v>
      </c>
      <c r="H2384">
        <v>49952331</v>
      </c>
      <c r="I2384" s="1">
        <v>1.5096151092375436</v>
      </c>
    </row>
    <row r="2385" spans="1:9" x14ac:dyDescent="0.3">
      <c r="A2385" t="s">
        <v>42</v>
      </c>
      <c r="B2385">
        <v>2021</v>
      </c>
      <c r="C2385">
        <v>2</v>
      </c>
      <c r="D2385" t="s">
        <v>13</v>
      </c>
      <c r="E2385">
        <v>2542</v>
      </c>
      <c r="F2385" s="6">
        <v>1969531.0292125773</v>
      </c>
      <c r="G2385" s="5">
        <v>1889140</v>
      </c>
      <c r="H2385">
        <v>49952331</v>
      </c>
      <c r="I2385" s="1">
        <v>1.0425542994233234</v>
      </c>
    </row>
    <row r="2386" spans="1:9" x14ac:dyDescent="0.3">
      <c r="A2386" t="s">
        <v>42</v>
      </c>
      <c r="B2386">
        <v>2021</v>
      </c>
      <c r="C2386">
        <v>3</v>
      </c>
      <c r="D2386" t="s">
        <v>10</v>
      </c>
      <c r="E2386">
        <v>595826</v>
      </c>
      <c r="F2386" s="6">
        <v>2582075089.383399</v>
      </c>
      <c r="G2386" s="5">
        <v>2031623</v>
      </c>
      <c r="H2386">
        <v>62860215</v>
      </c>
      <c r="I2386" s="1">
        <v>1270.9420445542303</v>
      </c>
    </row>
    <row r="2387" spans="1:9" x14ac:dyDescent="0.3">
      <c r="A2387" t="s">
        <v>42</v>
      </c>
      <c r="B2387">
        <v>2021</v>
      </c>
      <c r="C2387">
        <v>3</v>
      </c>
      <c r="D2387" t="s">
        <v>9</v>
      </c>
      <c r="E2387">
        <v>346173</v>
      </c>
      <c r="F2387" s="6">
        <v>111613776.75942023</v>
      </c>
      <c r="G2387" s="5">
        <v>2031623</v>
      </c>
      <c r="H2387">
        <v>62860215</v>
      </c>
      <c r="I2387" s="1">
        <v>54.938232516278973</v>
      </c>
    </row>
    <row r="2388" spans="1:9" x14ac:dyDescent="0.3">
      <c r="A2388" t="s">
        <v>42</v>
      </c>
      <c r="B2388">
        <v>2021</v>
      </c>
      <c r="C2388">
        <v>3</v>
      </c>
      <c r="D2388" t="s">
        <v>11</v>
      </c>
      <c r="E2388">
        <v>213808</v>
      </c>
      <c r="F2388" s="6">
        <v>290732930.46291006</v>
      </c>
      <c r="G2388" s="5">
        <v>2031623</v>
      </c>
      <c r="H2388">
        <v>62860215</v>
      </c>
      <c r="I2388" s="1">
        <v>143.10377981688043</v>
      </c>
    </row>
    <row r="2389" spans="1:9" x14ac:dyDescent="0.3">
      <c r="A2389" t="s">
        <v>42</v>
      </c>
      <c r="B2389">
        <v>2021</v>
      </c>
      <c r="C2389">
        <v>3</v>
      </c>
      <c r="D2389" t="s">
        <v>12</v>
      </c>
      <c r="E2389">
        <v>1689</v>
      </c>
      <c r="F2389" s="6">
        <v>2624558.3857180667</v>
      </c>
      <c r="G2389" s="5">
        <v>2031623</v>
      </c>
      <c r="H2389">
        <v>62860215</v>
      </c>
      <c r="I2389" s="1">
        <v>1.2918530582288479</v>
      </c>
    </row>
    <row r="2390" spans="1:9" x14ac:dyDescent="0.3">
      <c r="A2390" t="s">
        <v>42</v>
      </c>
      <c r="B2390">
        <v>2021</v>
      </c>
      <c r="C2390">
        <v>3</v>
      </c>
      <c r="D2390" t="s">
        <v>13</v>
      </c>
      <c r="E2390">
        <v>3098</v>
      </c>
      <c r="F2390" s="6">
        <v>2290508.8169457563</v>
      </c>
      <c r="G2390" s="5">
        <v>2031623</v>
      </c>
      <c r="H2390">
        <v>62860215</v>
      </c>
      <c r="I2390" s="1">
        <v>1.127428079395516</v>
      </c>
    </row>
    <row r="2391" spans="1:9" x14ac:dyDescent="0.3">
      <c r="A2391" t="s">
        <v>42</v>
      </c>
      <c r="B2391">
        <v>2021</v>
      </c>
      <c r="C2391">
        <v>4</v>
      </c>
      <c r="D2391" t="s">
        <v>10</v>
      </c>
      <c r="E2391">
        <v>831597</v>
      </c>
      <c r="F2391" s="6">
        <v>3548508409.6561251</v>
      </c>
      <c r="G2391" s="5">
        <v>2171477</v>
      </c>
      <c r="H2391">
        <v>60781072</v>
      </c>
      <c r="I2391" s="1">
        <v>1634.1450587117088</v>
      </c>
    </row>
    <row r="2392" spans="1:9" x14ac:dyDescent="0.3">
      <c r="A2392" t="s">
        <v>42</v>
      </c>
      <c r="B2392">
        <v>2021</v>
      </c>
      <c r="C2392">
        <v>4</v>
      </c>
      <c r="D2392" t="s">
        <v>9</v>
      </c>
      <c r="E2392">
        <v>376078</v>
      </c>
      <c r="F2392" s="6">
        <v>136473754.40071422</v>
      </c>
      <c r="G2392" s="5">
        <v>2171477</v>
      </c>
      <c r="H2392">
        <v>60781072</v>
      </c>
      <c r="I2392" s="1">
        <v>62.848353632441984</v>
      </c>
    </row>
    <row r="2393" spans="1:9" x14ac:dyDescent="0.3">
      <c r="A2393" t="s">
        <v>42</v>
      </c>
      <c r="B2393">
        <v>2021</v>
      </c>
      <c r="C2393">
        <v>4</v>
      </c>
      <c r="D2393" t="s">
        <v>11</v>
      </c>
      <c r="E2393">
        <v>369343</v>
      </c>
      <c r="F2393" s="6">
        <v>504586163.55697852</v>
      </c>
      <c r="G2393" s="5">
        <v>2171477</v>
      </c>
      <c r="H2393">
        <v>60781072</v>
      </c>
      <c r="I2393" s="1">
        <v>232.37002443819506</v>
      </c>
    </row>
    <row r="2394" spans="1:9" x14ac:dyDescent="0.3">
      <c r="A2394" t="s">
        <v>42</v>
      </c>
      <c r="B2394">
        <v>2021</v>
      </c>
      <c r="C2394">
        <v>4</v>
      </c>
      <c r="D2394" t="s">
        <v>12</v>
      </c>
      <c r="E2394">
        <v>2269</v>
      </c>
      <c r="F2394" s="6">
        <v>3162023.7210206646</v>
      </c>
      <c r="G2394" s="5">
        <v>2171477</v>
      </c>
      <c r="H2394">
        <v>60781072</v>
      </c>
      <c r="I2394" s="1">
        <v>1.4561626584212795</v>
      </c>
    </row>
    <row r="2395" spans="1:9" x14ac:dyDescent="0.3">
      <c r="A2395" t="s">
        <v>42</v>
      </c>
      <c r="B2395">
        <v>2021</v>
      </c>
      <c r="C2395">
        <v>4</v>
      </c>
      <c r="D2395" t="s">
        <v>13</v>
      </c>
      <c r="E2395">
        <v>5058</v>
      </c>
      <c r="F2395" s="6">
        <v>4052910.300969372</v>
      </c>
      <c r="G2395" s="5">
        <v>2171477</v>
      </c>
      <c r="H2395">
        <v>60781072</v>
      </c>
      <c r="I2395" s="1">
        <v>1.8664302228250045</v>
      </c>
    </row>
    <row r="2396" spans="1:9" x14ac:dyDescent="0.3">
      <c r="A2396" t="s">
        <v>43</v>
      </c>
      <c r="B2396">
        <v>2018</v>
      </c>
      <c r="C2396">
        <v>1</v>
      </c>
      <c r="D2396" t="s">
        <v>9</v>
      </c>
      <c r="E2396">
        <v>3308548</v>
      </c>
      <c r="F2396" s="6">
        <v>646028338.39515328</v>
      </c>
      <c r="G2396" s="5">
        <v>23152294</v>
      </c>
      <c r="H2396">
        <v>0</v>
      </c>
      <c r="I2396" s="1">
        <v>27.903426692627232</v>
      </c>
    </row>
    <row r="2397" spans="1:9" x14ac:dyDescent="0.3">
      <c r="A2397" t="s">
        <v>43</v>
      </c>
      <c r="B2397">
        <v>2018</v>
      </c>
      <c r="C2397">
        <v>1</v>
      </c>
      <c r="D2397" t="s">
        <v>10</v>
      </c>
      <c r="E2397">
        <v>2670613</v>
      </c>
      <c r="F2397" s="6">
        <v>10031518934.085688</v>
      </c>
      <c r="G2397" s="5">
        <v>23152294</v>
      </c>
      <c r="H2397">
        <v>0</v>
      </c>
      <c r="I2397" s="1">
        <v>433.28401643853033</v>
      </c>
    </row>
    <row r="2398" spans="1:9" x14ac:dyDescent="0.3">
      <c r="A2398" t="s">
        <v>43</v>
      </c>
      <c r="B2398">
        <v>2018</v>
      </c>
      <c r="C2398">
        <v>1</v>
      </c>
      <c r="D2398" t="s">
        <v>11</v>
      </c>
      <c r="E2398">
        <v>326510</v>
      </c>
      <c r="F2398" s="6">
        <v>272002057.1736871</v>
      </c>
      <c r="G2398" s="5">
        <v>23152294</v>
      </c>
      <c r="H2398">
        <v>0</v>
      </c>
      <c r="I2398" s="1">
        <v>11.748384724800363</v>
      </c>
    </row>
    <row r="2399" spans="1:9" x14ac:dyDescent="0.3">
      <c r="A2399" t="s">
        <v>43</v>
      </c>
      <c r="B2399">
        <v>2018</v>
      </c>
      <c r="C2399">
        <v>1</v>
      </c>
      <c r="D2399" t="s">
        <v>12</v>
      </c>
      <c r="E2399">
        <v>115363</v>
      </c>
      <c r="F2399" s="6">
        <v>31876073.747922331</v>
      </c>
      <c r="G2399" s="5">
        <v>23152294</v>
      </c>
      <c r="H2399">
        <v>0</v>
      </c>
      <c r="I2399" s="1">
        <v>1.3767997999646311</v>
      </c>
    </row>
    <row r="2400" spans="1:9" x14ac:dyDescent="0.3">
      <c r="A2400" t="s">
        <v>43</v>
      </c>
      <c r="B2400">
        <v>2018</v>
      </c>
      <c r="C2400">
        <v>1</v>
      </c>
      <c r="D2400" t="s">
        <v>13</v>
      </c>
      <c r="E2400">
        <v>305588</v>
      </c>
      <c r="F2400" s="6">
        <v>280132294.11422664</v>
      </c>
      <c r="G2400" s="5">
        <v>23152294</v>
      </c>
      <c r="H2400">
        <v>0</v>
      </c>
      <c r="I2400" s="1">
        <v>12.099548066996153</v>
      </c>
    </row>
    <row r="2401" spans="1:9" x14ac:dyDescent="0.3">
      <c r="A2401" t="s">
        <v>43</v>
      </c>
      <c r="B2401">
        <v>2018</v>
      </c>
      <c r="C2401">
        <v>2</v>
      </c>
      <c r="D2401" t="s">
        <v>9</v>
      </c>
      <c r="E2401">
        <v>4464677</v>
      </c>
      <c r="F2401" s="6">
        <v>1189892955.8051775</v>
      </c>
      <c r="G2401" s="5">
        <v>32956396</v>
      </c>
      <c r="H2401">
        <v>0</v>
      </c>
      <c r="I2401" s="1">
        <v>36.105069128468337</v>
      </c>
    </row>
    <row r="2402" spans="1:9" x14ac:dyDescent="0.3">
      <c r="A2402" t="s">
        <v>43</v>
      </c>
      <c r="B2402">
        <v>2018</v>
      </c>
      <c r="C2402">
        <v>2</v>
      </c>
      <c r="D2402" t="s">
        <v>10</v>
      </c>
      <c r="E2402">
        <v>4433762</v>
      </c>
      <c r="F2402" s="6">
        <v>18067624388.095619</v>
      </c>
      <c r="G2402" s="5">
        <v>32956396</v>
      </c>
      <c r="H2402">
        <v>0</v>
      </c>
      <c r="I2402" s="1">
        <v>548.22816148026686</v>
      </c>
    </row>
    <row r="2403" spans="1:9" x14ac:dyDescent="0.3">
      <c r="A2403" t="s">
        <v>43</v>
      </c>
      <c r="B2403">
        <v>2018</v>
      </c>
      <c r="C2403">
        <v>2</v>
      </c>
      <c r="D2403" t="s">
        <v>11</v>
      </c>
      <c r="E2403">
        <v>627918</v>
      </c>
      <c r="F2403" s="6">
        <v>517130320.46603078</v>
      </c>
      <c r="G2403" s="5">
        <v>32956396</v>
      </c>
      <c r="H2403">
        <v>0</v>
      </c>
      <c r="I2403" s="1">
        <v>15.691349274539327</v>
      </c>
    </row>
    <row r="2404" spans="1:9" x14ac:dyDescent="0.3">
      <c r="A2404" t="s">
        <v>43</v>
      </c>
      <c r="B2404">
        <v>2018</v>
      </c>
      <c r="C2404">
        <v>2</v>
      </c>
      <c r="D2404" t="s">
        <v>12</v>
      </c>
      <c r="E2404">
        <v>167035</v>
      </c>
      <c r="F2404" s="6">
        <v>65402385.256406657</v>
      </c>
      <c r="G2404" s="5">
        <v>32956396</v>
      </c>
      <c r="H2404">
        <v>0</v>
      </c>
      <c r="I2404" s="1">
        <v>1.9845126650501062</v>
      </c>
    </row>
    <row r="2405" spans="1:9" x14ac:dyDescent="0.3">
      <c r="A2405" t="s">
        <v>43</v>
      </c>
      <c r="B2405">
        <v>2018</v>
      </c>
      <c r="C2405">
        <v>2</v>
      </c>
      <c r="D2405" t="s">
        <v>13</v>
      </c>
      <c r="E2405">
        <v>298736</v>
      </c>
      <c r="F2405" s="6">
        <v>285794226.64323723</v>
      </c>
      <c r="G2405" s="5">
        <v>32956396</v>
      </c>
      <c r="H2405">
        <v>0</v>
      </c>
      <c r="I2405" s="1">
        <v>8.6718895671491882</v>
      </c>
    </row>
    <row r="2406" spans="1:9" x14ac:dyDescent="0.3">
      <c r="A2406" t="s">
        <v>43</v>
      </c>
      <c r="B2406">
        <v>2018</v>
      </c>
      <c r="C2406">
        <v>3</v>
      </c>
      <c r="D2406" t="s">
        <v>10</v>
      </c>
      <c r="E2406">
        <v>8810836</v>
      </c>
      <c r="F2406" s="6">
        <v>26792462660.044968</v>
      </c>
      <c r="G2406" s="5">
        <v>42901947</v>
      </c>
      <c r="H2406">
        <v>0</v>
      </c>
      <c r="I2406" s="1">
        <v>624.50458623812494</v>
      </c>
    </row>
    <row r="2407" spans="1:9" x14ac:dyDescent="0.3">
      <c r="A2407" t="s">
        <v>43</v>
      </c>
      <c r="B2407">
        <v>2018</v>
      </c>
      <c r="C2407">
        <v>3</v>
      </c>
      <c r="D2407" t="s">
        <v>9</v>
      </c>
      <c r="E2407">
        <v>5148411</v>
      </c>
      <c r="F2407" s="6">
        <v>1521551955.2050381</v>
      </c>
      <c r="G2407" s="5">
        <v>42901947</v>
      </c>
      <c r="H2407">
        <v>0</v>
      </c>
      <c r="I2407" s="1">
        <v>35.465801941460562</v>
      </c>
    </row>
    <row r="2408" spans="1:9" x14ac:dyDescent="0.3">
      <c r="A2408" t="s">
        <v>43</v>
      </c>
      <c r="B2408">
        <v>2018</v>
      </c>
      <c r="C2408">
        <v>3</v>
      </c>
      <c r="D2408" t="s">
        <v>11</v>
      </c>
      <c r="E2408">
        <v>1290978</v>
      </c>
      <c r="F2408" s="6">
        <v>733189649.57298338</v>
      </c>
      <c r="G2408" s="5">
        <v>42901947</v>
      </c>
      <c r="H2408">
        <v>0</v>
      </c>
      <c r="I2408" s="1">
        <v>17.089892204029422</v>
      </c>
    </row>
    <row r="2409" spans="1:9" x14ac:dyDescent="0.3">
      <c r="A2409" t="s">
        <v>43</v>
      </c>
      <c r="B2409">
        <v>2018</v>
      </c>
      <c r="C2409">
        <v>3</v>
      </c>
      <c r="D2409" t="s">
        <v>12</v>
      </c>
      <c r="E2409">
        <v>191732</v>
      </c>
      <c r="F2409" s="6">
        <v>37049222.365906969</v>
      </c>
      <c r="G2409" s="5">
        <v>42901947</v>
      </c>
      <c r="H2409">
        <v>0</v>
      </c>
      <c r="I2409" s="1">
        <v>0.8635790437647729</v>
      </c>
    </row>
    <row r="2410" spans="1:9" x14ac:dyDescent="0.3">
      <c r="A2410" t="s">
        <v>43</v>
      </c>
      <c r="B2410">
        <v>2018</v>
      </c>
      <c r="C2410">
        <v>3</v>
      </c>
      <c r="D2410" t="s">
        <v>13</v>
      </c>
      <c r="E2410">
        <v>332121</v>
      </c>
      <c r="F2410" s="6">
        <v>245838753.99527201</v>
      </c>
      <c r="G2410" s="5">
        <v>42901947</v>
      </c>
      <c r="H2410">
        <v>0</v>
      </c>
      <c r="I2410" s="1">
        <v>5.7302470210797658</v>
      </c>
    </row>
    <row r="2411" spans="1:9" x14ac:dyDescent="0.3">
      <c r="A2411" t="s">
        <v>43</v>
      </c>
      <c r="B2411">
        <v>2018</v>
      </c>
      <c r="C2411">
        <v>4</v>
      </c>
      <c r="D2411" t="s">
        <v>10</v>
      </c>
      <c r="E2411">
        <v>11538547</v>
      </c>
      <c r="F2411" s="6">
        <v>39180083690.572762</v>
      </c>
      <c r="G2411" s="5">
        <v>57198658</v>
      </c>
      <c r="H2411">
        <v>0</v>
      </c>
      <c r="I2411" s="1">
        <v>684.98256883182057</v>
      </c>
    </row>
    <row r="2412" spans="1:9" x14ac:dyDescent="0.3">
      <c r="A2412" t="s">
        <v>43</v>
      </c>
      <c r="B2412">
        <v>2018</v>
      </c>
      <c r="C2412">
        <v>4</v>
      </c>
      <c r="D2412" t="s">
        <v>9</v>
      </c>
      <c r="E2412">
        <v>7093764</v>
      </c>
      <c r="F2412" s="6">
        <v>2020329567.8245385</v>
      </c>
      <c r="G2412" s="5">
        <v>57198658</v>
      </c>
      <c r="H2412">
        <v>0</v>
      </c>
      <c r="I2412" s="1">
        <v>35.321275681407393</v>
      </c>
    </row>
    <row r="2413" spans="1:9" x14ac:dyDescent="0.3">
      <c r="A2413" t="s">
        <v>43</v>
      </c>
      <c r="B2413">
        <v>2018</v>
      </c>
      <c r="C2413">
        <v>4</v>
      </c>
      <c r="D2413" t="s">
        <v>11</v>
      </c>
      <c r="E2413">
        <v>3145621</v>
      </c>
      <c r="F2413" s="6">
        <v>1742903221.432857</v>
      </c>
      <c r="G2413" s="5">
        <v>57198658</v>
      </c>
      <c r="H2413">
        <v>0</v>
      </c>
      <c r="I2413" s="1">
        <v>30.47105093676948</v>
      </c>
    </row>
    <row r="2414" spans="1:9" x14ac:dyDescent="0.3">
      <c r="A2414" t="s">
        <v>43</v>
      </c>
      <c r="B2414">
        <v>2018</v>
      </c>
      <c r="C2414">
        <v>4</v>
      </c>
      <c r="D2414" t="s">
        <v>12</v>
      </c>
      <c r="E2414">
        <v>228398</v>
      </c>
      <c r="F2414" s="6">
        <v>46571758.682429329</v>
      </c>
      <c r="G2414" s="5">
        <v>57198658</v>
      </c>
      <c r="H2414">
        <v>0</v>
      </c>
      <c r="I2414" s="1">
        <v>0.81421068799252827</v>
      </c>
    </row>
    <row r="2415" spans="1:9" x14ac:dyDescent="0.3">
      <c r="A2415" t="s">
        <v>43</v>
      </c>
      <c r="B2415">
        <v>2018</v>
      </c>
      <c r="C2415">
        <v>4</v>
      </c>
      <c r="D2415" t="s">
        <v>13</v>
      </c>
      <c r="E2415">
        <v>451114</v>
      </c>
      <c r="F2415" s="6">
        <v>312185737.38152075</v>
      </c>
      <c r="G2415" s="5">
        <v>57198658</v>
      </c>
      <c r="H2415">
        <v>0</v>
      </c>
      <c r="I2415" s="1">
        <v>5.4579206627805981</v>
      </c>
    </row>
    <row r="2416" spans="1:9" x14ac:dyDescent="0.3">
      <c r="A2416" t="s">
        <v>43</v>
      </c>
      <c r="B2416">
        <v>2019</v>
      </c>
      <c r="C2416">
        <v>1</v>
      </c>
      <c r="D2416" t="s">
        <v>10</v>
      </c>
      <c r="E2416">
        <v>18645926</v>
      </c>
      <c r="F2416" s="6">
        <v>51296299081.444359</v>
      </c>
      <c r="G2416" s="5">
        <v>69259333</v>
      </c>
      <c r="H2416">
        <v>0</v>
      </c>
      <c r="I2416" s="1">
        <v>740.64096287852442</v>
      </c>
    </row>
    <row r="2417" spans="1:9" x14ac:dyDescent="0.3">
      <c r="A2417" t="s">
        <v>43</v>
      </c>
      <c r="B2417">
        <v>2019</v>
      </c>
      <c r="C2417">
        <v>1</v>
      </c>
      <c r="D2417" t="s">
        <v>9</v>
      </c>
      <c r="E2417">
        <v>8863289</v>
      </c>
      <c r="F2417" s="6">
        <v>2695317014.8660007</v>
      </c>
      <c r="G2417" s="5">
        <v>69259333</v>
      </c>
      <c r="H2417">
        <v>0</v>
      </c>
      <c r="I2417" s="1">
        <v>38.916300491458685</v>
      </c>
    </row>
    <row r="2418" spans="1:9" x14ac:dyDescent="0.3">
      <c r="A2418" t="s">
        <v>43</v>
      </c>
      <c r="B2418">
        <v>2019</v>
      </c>
      <c r="C2418">
        <v>1</v>
      </c>
      <c r="D2418" t="s">
        <v>11</v>
      </c>
      <c r="E2418">
        <v>4195222</v>
      </c>
      <c r="F2418" s="6">
        <v>1924461188.9900146</v>
      </c>
      <c r="G2418" s="5">
        <v>69259333</v>
      </c>
      <c r="H2418">
        <v>0</v>
      </c>
      <c r="I2418" s="1">
        <v>27.786308438604433</v>
      </c>
    </row>
    <row r="2419" spans="1:9" x14ac:dyDescent="0.3">
      <c r="A2419" t="s">
        <v>43</v>
      </c>
      <c r="B2419">
        <v>2019</v>
      </c>
      <c r="C2419">
        <v>1</v>
      </c>
      <c r="D2419" t="s">
        <v>12</v>
      </c>
      <c r="E2419">
        <v>193261</v>
      </c>
      <c r="F2419" s="6">
        <v>31217137.545322973</v>
      </c>
      <c r="G2419" s="5">
        <v>69259333</v>
      </c>
      <c r="H2419">
        <v>0</v>
      </c>
      <c r="I2419" s="1">
        <v>0.45072824402341521</v>
      </c>
    </row>
    <row r="2420" spans="1:9" x14ac:dyDescent="0.3">
      <c r="A2420" t="s">
        <v>43</v>
      </c>
      <c r="B2420">
        <v>2019</v>
      </c>
      <c r="C2420">
        <v>1</v>
      </c>
      <c r="D2420" t="s">
        <v>13</v>
      </c>
      <c r="E2420">
        <v>377347</v>
      </c>
      <c r="F2420" s="6">
        <v>256742393.28426796</v>
      </c>
      <c r="G2420" s="5">
        <v>69259333</v>
      </c>
      <c r="H2420">
        <v>0</v>
      </c>
      <c r="I2420" s="1">
        <v>3.7069717850772252</v>
      </c>
    </row>
    <row r="2421" spans="1:9" x14ac:dyDescent="0.3">
      <c r="A2421" t="s">
        <v>43</v>
      </c>
      <c r="B2421">
        <v>2019</v>
      </c>
      <c r="C2421">
        <v>2</v>
      </c>
      <c r="D2421" t="s">
        <v>10</v>
      </c>
      <c r="E2421">
        <v>16952961</v>
      </c>
      <c r="F2421" s="6">
        <v>57924128549.069809</v>
      </c>
      <c r="G2421" s="5">
        <v>81725699</v>
      </c>
      <c r="H2421">
        <v>370248571</v>
      </c>
      <c r="I2421" s="1">
        <v>708.76271794346849</v>
      </c>
    </row>
    <row r="2422" spans="1:9" x14ac:dyDescent="0.3">
      <c r="A2422" t="s">
        <v>43</v>
      </c>
      <c r="B2422">
        <v>2019</v>
      </c>
      <c r="C2422">
        <v>2</v>
      </c>
      <c r="D2422" t="s">
        <v>9</v>
      </c>
      <c r="E2422">
        <v>8414514</v>
      </c>
      <c r="F2422" s="6">
        <v>3280033639.8500404</v>
      </c>
      <c r="G2422" s="5">
        <v>81725699</v>
      </c>
      <c r="H2422">
        <v>370248571</v>
      </c>
      <c r="I2422" s="1">
        <v>40.13466608404341</v>
      </c>
    </row>
    <row r="2423" spans="1:9" x14ac:dyDescent="0.3">
      <c r="A2423" t="s">
        <v>43</v>
      </c>
      <c r="B2423">
        <v>2019</v>
      </c>
      <c r="C2423">
        <v>2</v>
      </c>
      <c r="D2423" t="s">
        <v>11</v>
      </c>
      <c r="E2423">
        <v>6296995</v>
      </c>
      <c r="F2423" s="6">
        <v>2690331792.5060787</v>
      </c>
      <c r="G2423" s="5">
        <v>81725699</v>
      </c>
      <c r="H2423">
        <v>370248571</v>
      </c>
      <c r="I2423" s="1">
        <v>32.919042913369012</v>
      </c>
    </row>
    <row r="2424" spans="1:9" x14ac:dyDescent="0.3">
      <c r="A2424" t="s">
        <v>43</v>
      </c>
      <c r="B2424">
        <v>2019</v>
      </c>
      <c r="C2424">
        <v>2</v>
      </c>
      <c r="D2424" t="s">
        <v>12</v>
      </c>
      <c r="E2424">
        <v>70142</v>
      </c>
      <c r="F2424" s="6">
        <v>18334602.389631532</v>
      </c>
      <c r="G2424" s="5">
        <v>81725699</v>
      </c>
      <c r="H2424">
        <v>370248571</v>
      </c>
      <c r="I2424" s="1">
        <v>0.22434317006736806</v>
      </c>
    </row>
    <row r="2425" spans="1:9" x14ac:dyDescent="0.3">
      <c r="A2425" t="s">
        <v>43</v>
      </c>
      <c r="B2425">
        <v>2019</v>
      </c>
      <c r="C2425">
        <v>2</v>
      </c>
      <c r="D2425" t="s">
        <v>13</v>
      </c>
      <c r="E2425">
        <v>437125</v>
      </c>
      <c r="F2425" s="6">
        <v>294847441.94211417</v>
      </c>
      <c r="G2425" s="5">
        <v>81725699</v>
      </c>
      <c r="H2425">
        <v>370248571</v>
      </c>
      <c r="I2425" s="1">
        <v>3.6077689827053567</v>
      </c>
    </row>
    <row r="2426" spans="1:9" x14ac:dyDescent="0.3">
      <c r="A2426" t="s">
        <v>43</v>
      </c>
      <c r="B2426">
        <v>2019</v>
      </c>
      <c r="C2426">
        <v>3</v>
      </c>
      <c r="D2426" t="s">
        <v>10</v>
      </c>
      <c r="E2426">
        <v>21277636</v>
      </c>
      <c r="F2426" s="6">
        <v>70615331408.539658</v>
      </c>
      <c r="G2426" s="5">
        <v>92717185</v>
      </c>
      <c r="H2426">
        <v>1371593762</v>
      </c>
      <c r="I2426" s="1">
        <v>761.62074386252834</v>
      </c>
    </row>
    <row r="2427" spans="1:9" x14ac:dyDescent="0.3">
      <c r="A2427" t="s">
        <v>43</v>
      </c>
      <c r="B2427">
        <v>2019</v>
      </c>
      <c r="C2427">
        <v>3</v>
      </c>
      <c r="D2427" t="s">
        <v>11</v>
      </c>
      <c r="E2427">
        <v>10344027</v>
      </c>
      <c r="F2427" s="6">
        <v>4079315732.6616831</v>
      </c>
      <c r="G2427" s="5">
        <v>92717185</v>
      </c>
      <c r="H2427">
        <v>1371593762</v>
      </c>
      <c r="I2427" s="1">
        <v>43.997407089761012</v>
      </c>
    </row>
    <row r="2428" spans="1:9" x14ac:dyDescent="0.3">
      <c r="A2428" t="s">
        <v>43</v>
      </c>
      <c r="B2428">
        <v>2019</v>
      </c>
      <c r="C2428">
        <v>3</v>
      </c>
      <c r="D2428" t="s">
        <v>9</v>
      </c>
      <c r="E2428">
        <v>9246678</v>
      </c>
      <c r="F2428" s="6">
        <v>3964144354.4161515</v>
      </c>
      <c r="G2428" s="5">
        <v>92717185</v>
      </c>
      <c r="H2428">
        <v>1371593762</v>
      </c>
      <c r="I2428" s="1">
        <v>42.755227678840242</v>
      </c>
    </row>
    <row r="2429" spans="1:9" x14ac:dyDescent="0.3">
      <c r="A2429" t="s">
        <v>43</v>
      </c>
      <c r="B2429">
        <v>2019</v>
      </c>
      <c r="C2429">
        <v>3</v>
      </c>
      <c r="D2429" t="s">
        <v>12</v>
      </c>
      <c r="E2429">
        <v>88261</v>
      </c>
      <c r="F2429" s="6">
        <v>27213741.831077334</v>
      </c>
      <c r="G2429" s="5">
        <v>92717185</v>
      </c>
      <c r="H2429">
        <v>1371593762</v>
      </c>
      <c r="I2429" s="1">
        <v>0.29351346065001149</v>
      </c>
    </row>
    <row r="2430" spans="1:9" x14ac:dyDescent="0.3">
      <c r="A2430" t="s">
        <v>43</v>
      </c>
      <c r="B2430">
        <v>2019</v>
      </c>
      <c r="C2430">
        <v>3</v>
      </c>
      <c r="D2430" t="s">
        <v>13</v>
      </c>
      <c r="E2430">
        <v>453581</v>
      </c>
      <c r="F2430" s="6">
        <v>273599406.1898495</v>
      </c>
      <c r="G2430" s="5">
        <v>92717185</v>
      </c>
      <c r="H2430">
        <v>1371593762</v>
      </c>
      <c r="I2430" s="1">
        <v>2.9509028578666348</v>
      </c>
    </row>
    <row r="2431" spans="1:9" x14ac:dyDescent="0.3">
      <c r="A2431" t="s">
        <v>43</v>
      </c>
      <c r="B2431">
        <v>2019</v>
      </c>
      <c r="C2431">
        <v>4</v>
      </c>
      <c r="D2431" t="s">
        <v>10</v>
      </c>
      <c r="E2431">
        <v>28814008</v>
      </c>
      <c r="F2431" s="6">
        <v>91858026341.275635</v>
      </c>
      <c r="G2431" s="5">
        <v>105825423</v>
      </c>
      <c r="H2431">
        <v>1705128887</v>
      </c>
      <c r="I2431" s="1">
        <v>868.01473348493619</v>
      </c>
    </row>
    <row r="2432" spans="1:9" x14ac:dyDescent="0.3">
      <c r="A2432" t="s">
        <v>43</v>
      </c>
      <c r="B2432">
        <v>2019</v>
      </c>
      <c r="C2432">
        <v>4</v>
      </c>
      <c r="D2432" t="s">
        <v>11</v>
      </c>
      <c r="E2432">
        <v>16153034</v>
      </c>
      <c r="F2432" s="6">
        <v>6420193204.7806158</v>
      </c>
      <c r="G2432" s="5">
        <v>105825423</v>
      </c>
      <c r="H2432">
        <v>1705128887</v>
      </c>
      <c r="I2432" s="1">
        <v>60.667777390132578</v>
      </c>
    </row>
    <row r="2433" spans="1:9" x14ac:dyDescent="0.3">
      <c r="A2433" t="s">
        <v>43</v>
      </c>
      <c r="B2433">
        <v>2019</v>
      </c>
      <c r="C2433">
        <v>4</v>
      </c>
      <c r="D2433" t="s">
        <v>9</v>
      </c>
      <c r="E2433">
        <v>11157765</v>
      </c>
      <c r="F2433" s="6">
        <v>4681454397.5629263</v>
      </c>
      <c r="G2433" s="5">
        <v>105825423</v>
      </c>
      <c r="H2433">
        <v>1705128887</v>
      </c>
      <c r="I2433" s="1">
        <v>44.237521238756834</v>
      </c>
    </row>
    <row r="2434" spans="1:9" x14ac:dyDescent="0.3">
      <c r="A2434" t="s">
        <v>43</v>
      </c>
      <c r="B2434">
        <v>2019</v>
      </c>
      <c r="C2434">
        <v>4</v>
      </c>
      <c r="D2434" t="s">
        <v>12</v>
      </c>
      <c r="E2434">
        <v>60624</v>
      </c>
      <c r="F2434" s="6">
        <v>24332240.655566711</v>
      </c>
      <c r="G2434" s="5">
        <v>105825423</v>
      </c>
      <c r="H2434">
        <v>1705128887</v>
      </c>
      <c r="I2434" s="1">
        <v>0.22992812091633888</v>
      </c>
    </row>
    <row r="2435" spans="1:9" x14ac:dyDescent="0.3">
      <c r="A2435" t="s">
        <v>43</v>
      </c>
      <c r="B2435">
        <v>2019</v>
      </c>
      <c r="C2435">
        <v>4</v>
      </c>
      <c r="D2435" t="s">
        <v>13</v>
      </c>
      <c r="E2435">
        <v>410980</v>
      </c>
      <c r="F2435" s="6">
        <v>206859328.26859051</v>
      </c>
      <c r="G2435" s="5">
        <v>105825423</v>
      </c>
      <c r="H2435">
        <v>1705128887</v>
      </c>
      <c r="I2435" s="1">
        <v>1.9547224325159609</v>
      </c>
    </row>
    <row r="2436" spans="1:9" x14ac:dyDescent="0.3">
      <c r="A2436" t="s">
        <v>43</v>
      </c>
      <c r="B2436">
        <v>2020</v>
      </c>
      <c r="C2436">
        <v>1</v>
      </c>
      <c r="D2436" t="s">
        <v>10</v>
      </c>
      <c r="E2436">
        <v>30880360</v>
      </c>
      <c r="F2436" s="6">
        <v>101907683045.28436</v>
      </c>
      <c r="G2436" s="5">
        <v>119596048</v>
      </c>
      <c r="H2436">
        <v>1978996283</v>
      </c>
      <c r="I2436" s="1">
        <v>852.09908478986165</v>
      </c>
    </row>
    <row r="2437" spans="1:9" x14ac:dyDescent="0.3">
      <c r="A2437" t="s">
        <v>43</v>
      </c>
      <c r="B2437">
        <v>2020</v>
      </c>
      <c r="C2437">
        <v>1</v>
      </c>
      <c r="D2437" t="s">
        <v>11</v>
      </c>
      <c r="E2437">
        <v>21541556</v>
      </c>
      <c r="F2437" s="6">
        <v>8950736938.2234783</v>
      </c>
      <c r="G2437" s="5">
        <v>119596048</v>
      </c>
      <c r="H2437">
        <v>1978996283</v>
      </c>
      <c r="I2437" s="1">
        <v>74.841410631089403</v>
      </c>
    </row>
    <row r="2438" spans="1:9" x14ac:dyDescent="0.3">
      <c r="A2438" t="s">
        <v>43</v>
      </c>
      <c r="B2438">
        <v>2020</v>
      </c>
      <c r="C2438">
        <v>1</v>
      </c>
      <c r="D2438" t="s">
        <v>9</v>
      </c>
      <c r="E2438">
        <v>14134259</v>
      </c>
      <c r="F2438" s="6">
        <v>5493239429.7322235</v>
      </c>
      <c r="G2438" s="5">
        <v>119596048</v>
      </c>
      <c r="H2438">
        <v>1978996283</v>
      </c>
      <c r="I2438" s="1">
        <v>45.931613306588723</v>
      </c>
    </row>
    <row r="2439" spans="1:9" x14ac:dyDescent="0.3">
      <c r="A2439" t="s">
        <v>43</v>
      </c>
      <c r="B2439">
        <v>2020</v>
      </c>
      <c r="C2439">
        <v>1</v>
      </c>
      <c r="D2439" t="s">
        <v>12</v>
      </c>
      <c r="E2439">
        <v>61427</v>
      </c>
      <c r="F2439" s="6">
        <v>41422107.813630365</v>
      </c>
      <c r="G2439" s="5">
        <v>119596048</v>
      </c>
      <c r="H2439">
        <v>1978996283</v>
      </c>
      <c r="I2439" s="1">
        <v>0.3463501387071784</v>
      </c>
    </row>
    <row r="2440" spans="1:9" x14ac:dyDescent="0.3">
      <c r="A2440" t="s">
        <v>43</v>
      </c>
      <c r="B2440">
        <v>2020</v>
      </c>
      <c r="C2440">
        <v>1</v>
      </c>
      <c r="D2440" t="s">
        <v>13</v>
      </c>
      <c r="E2440">
        <v>335871</v>
      </c>
      <c r="F2440" s="6">
        <v>176604658.38668299</v>
      </c>
      <c r="G2440" s="5">
        <v>119596048</v>
      </c>
      <c r="H2440">
        <v>1978996283</v>
      </c>
      <c r="I2440" s="1">
        <v>1.4766763730076014</v>
      </c>
    </row>
    <row r="2441" spans="1:9" x14ac:dyDescent="0.3">
      <c r="A2441" t="s">
        <v>43</v>
      </c>
      <c r="B2441">
        <v>2020</v>
      </c>
      <c r="C2441">
        <v>2</v>
      </c>
      <c r="D2441" t="s">
        <v>10</v>
      </c>
      <c r="E2441">
        <v>21700844</v>
      </c>
      <c r="F2441" s="6">
        <v>82347647064.123322</v>
      </c>
      <c r="G2441" s="5">
        <v>133658646</v>
      </c>
      <c r="H2441">
        <v>1593981917</v>
      </c>
      <c r="I2441" s="1">
        <v>616.10415434047809</v>
      </c>
    </row>
    <row r="2442" spans="1:9" x14ac:dyDescent="0.3">
      <c r="A2442" t="s">
        <v>43</v>
      </c>
      <c r="B2442">
        <v>2020</v>
      </c>
      <c r="C2442">
        <v>2</v>
      </c>
      <c r="D2442" t="s">
        <v>9</v>
      </c>
      <c r="E2442">
        <v>18474731</v>
      </c>
      <c r="F2442" s="6">
        <v>6414781159.484189</v>
      </c>
      <c r="G2442" s="5">
        <v>133658646</v>
      </c>
      <c r="H2442">
        <v>1593981917</v>
      </c>
      <c r="I2442" s="1">
        <v>47.993761357452243</v>
      </c>
    </row>
    <row r="2443" spans="1:9" x14ac:dyDescent="0.3">
      <c r="A2443" t="s">
        <v>43</v>
      </c>
      <c r="B2443">
        <v>2020</v>
      </c>
      <c r="C2443">
        <v>2</v>
      </c>
      <c r="D2443" t="s">
        <v>11</v>
      </c>
      <c r="E2443">
        <v>11477546</v>
      </c>
      <c r="F2443" s="6">
        <v>6909361871.6282063</v>
      </c>
      <c r="G2443" s="5">
        <v>133658646</v>
      </c>
      <c r="H2443">
        <v>1593981917</v>
      </c>
      <c r="I2443" s="1">
        <v>51.694088473918896</v>
      </c>
    </row>
    <row r="2444" spans="1:9" x14ac:dyDescent="0.3">
      <c r="A2444" t="s">
        <v>43</v>
      </c>
      <c r="B2444">
        <v>2020</v>
      </c>
      <c r="C2444">
        <v>2</v>
      </c>
      <c r="D2444" t="s">
        <v>12</v>
      </c>
      <c r="E2444">
        <v>78584</v>
      </c>
      <c r="F2444" s="6">
        <v>89189349.849163532</v>
      </c>
      <c r="G2444" s="5">
        <v>133658646</v>
      </c>
      <c r="H2444">
        <v>1593981917</v>
      </c>
      <c r="I2444" s="1">
        <v>0.66729203473424037</v>
      </c>
    </row>
    <row r="2445" spans="1:9" x14ac:dyDescent="0.3">
      <c r="A2445" t="s">
        <v>43</v>
      </c>
      <c r="B2445">
        <v>2020</v>
      </c>
      <c r="C2445">
        <v>2</v>
      </c>
      <c r="D2445" t="s">
        <v>13</v>
      </c>
      <c r="E2445">
        <v>138405</v>
      </c>
      <c r="F2445" s="6">
        <v>65529451.743669368</v>
      </c>
      <c r="G2445" s="5">
        <v>133658646</v>
      </c>
      <c r="H2445">
        <v>1593981917</v>
      </c>
      <c r="I2445" s="1">
        <v>0.49027469381718386</v>
      </c>
    </row>
    <row r="2446" spans="1:9" x14ac:dyDescent="0.3">
      <c r="A2446" t="s">
        <v>43</v>
      </c>
      <c r="B2446">
        <v>2020</v>
      </c>
      <c r="C2446">
        <v>3</v>
      </c>
      <c r="D2446" t="s">
        <v>10</v>
      </c>
      <c r="E2446">
        <v>31754077</v>
      </c>
      <c r="F2446" s="6">
        <v>123561080533.04672</v>
      </c>
      <c r="G2446" s="5">
        <v>150077961</v>
      </c>
      <c r="H2446">
        <v>2141516124</v>
      </c>
      <c r="I2446" s="1">
        <v>823.31262838150315</v>
      </c>
    </row>
    <row r="2447" spans="1:9" x14ac:dyDescent="0.3">
      <c r="A2447" t="s">
        <v>43</v>
      </c>
      <c r="B2447">
        <v>2020</v>
      </c>
      <c r="C2447">
        <v>3</v>
      </c>
      <c r="D2447" t="s">
        <v>11</v>
      </c>
      <c r="E2447">
        <v>20664887</v>
      </c>
      <c r="F2447" s="6">
        <v>12554589575.504852</v>
      </c>
      <c r="G2447" s="5">
        <v>150077961</v>
      </c>
      <c r="H2447">
        <v>2141516124</v>
      </c>
      <c r="I2447" s="1">
        <v>83.653785618161834</v>
      </c>
    </row>
    <row r="2448" spans="1:9" x14ac:dyDescent="0.3">
      <c r="A2448" t="s">
        <v>43</v>
      </c>
      <c r="B2448">
        <v>2020</v>
      </c>
      <c r="C2448">
        <v>3</v>
      </c>
      <c r="D2448" t="s">
        <v>9</v>
      </c>
      <c r="E2448">
        <v>17521756</v>
      </c>
      <c r="F2448" s="6">
        <v>7476952307.4066677</v>
      </c>
      <c r="G2448" s="5">
        <v>150077961</v>
      </c>
      <c r="H2448">
        <v>2141516124</v>
      </c>
      <c r="I2448" s="1">
        <v>49.820455032745734</v>
      </c>
    </row>
    <row r="2449" spans="1:9" x14ac:dyDescent="0.3">
      <c r="A2449" t="s">
        <v>43</v>
      </c>
      <c r="B2449">
        <v>2020</v>
      </c>
      <c r="C2449">
        <v>3</v>
      </c>
      <c r="D2449" t="s">
        <v>12</v>
      </c>
      <c r="E2449">
        <v>129671</v>
      </c>
      <c r="F2449" s="6">
        <v>158512062.54590106</v>
      </c>
      <c r="G2449" s="5">
        <v>150077961</v>
      </c>
      <c r="H2449">
        <v>2141516124</v>
      </c>
      <c r="I2449" s="1">
        <v>1.056198135220541</v>
      </c>
    </row>
    <row r="2450" spans="1:9" x14ac:dyDescent="0.3">
      <c r="A2450" t="s">
        <v>43</v>
      </c>
      <c r="B2450">
        <v>2020</v>
      </c>
      <c r="C2450">
        <v>3</v>
      </c>
      <c r="D2450" t="s">
        <v>13</v>
      </c>
      <c r="E2450">
        <v>207434</v>
      </c>
      <c r="F2450" s="6">
        <v>90281020.159951538</v>
      </c>
      <c r="G2450" s="5">
        <v>150077961</v>
      </c>
      <c r="H2450">
        <v>2141516124</v>
      </c>
      <c r="I2450" s="1">
        <v>0.60156081251631299</v>
      </c>
    </row>
    <row r="2451" spans="1:9" x14ac:dyDescent="0.3">
      <c r="A2451" t="s">
        <v>43</v>
      </c>
      <c r="B2451">
        <v>2020</v>
      </c>
      <c r="C2451">
        <v>4</v>
      </c>
      <c r="D2451" t="s">
        <v>10</v>
      </c>
      <c r="E2451">
        <v>47800741</v>
      </c>
      <c r="F2451" s="6">
        <v>172196381789.491</v>
      </c>
      <c r="G2451" s="5">
        <v>168933446</v>
      </c>
      <c r="H2451">
        <v>3170569072</v>
      </c>
      <c r="I2451" s="1">
        <v>1019.3149187845904</v>
      </c>
    </row>
    <row r="2452" spans="1:9" x14ac:dyDescent="0.3">
      <c r="A2452" t="s">
        <v>43</v>
      </c>
      <c r="B2452">
        <v>2020</v>
      </c>
      <c r="C2452">
        <v>4</v>
      </c>
      <c r="D2452" t="s">
        <v>11</v>
      </c>
      <c r="E2452">
        <v>41297305</v>
      </c>
      <c r="F2452" s="6">
        <v>24417758781.652229</v>
      </c>
      <c r="G2452" s="5">
        <v>168933446</v>
      </c>
      <c r="H2452">
        <v>3170569072</v>
      </c>
      <c r="I2452" s="1">
        <v>144.54070144080427</v>
      </c>
    </row>
    <row r="2453" spans="1:9" x14ac:dyDescent="0.3">
      <c r="A2453" t="s">
        <v>43</v>
      </c>
      <c r="B2453">
        <v>2020</v>
      </c>
      <c r="C2453">
        <v>4</v>
      </c>
      <c r="D2453" t="s">
        <v>9</v>
      </c>
      <c r="E2453">
        <v>21563946</v>
      </c>
      <c r="F2453" s="6">
        <v>9462546013.1633911</v>
      </c>
      <c r="G2453" s="5">
        <v>168933446</v>
      </c>
      <c r="H2453">
        <v>3170569072</v>
      </c>
      <c r="I2453" s="1">
        <v>56.013455222853807</v>
      </c>
    </row>
    <row r="2454" spans="1:9" x14ac:dyDescent="0.3">
      <c r="A2454" t="s">
        <v>43</v>
      </c>
      <c r="B2454">
        <v>2020</v>
      </c>
      <c r="C2454">
        <v>4</v>
      </c>
      <c r="D2454" t="s">
        <v>12</v>
      </c>
      <c r="E2454">
        <v>153044</v>
      </c>
      <c r="F2454" s="6">
        <v>186775413.14290395</v>
      </c>
      <c r="G2454" s="5">
        <v>168933446</v>
      </c>
      <c r="H2454">
        <v>3170569072</v>
      </c>
      <c r="I2454" s="1">
        <v>1.1056153625310168</v>
      </c>
    </row>
    <row r="2455" spans="1:9" x14ac:dyDescent="0.3">
      <c r="A2455" t="s">
        <v>43</v>
      </c>
      <c r="B2455">
        <v>2020</v>
      </c>
      <c r="C2455">
        <v>4</v>
      </c>
      <c r="D2455" t="s">
        <v>13</v>
      </c>
      <c r="E2455">
        <v>364665</v>
      </c>
      <c r="F2455" s="6">
        <v>209735503.54521424</v>
      </c>
      <c r="G2455" s="5">
        <v>168933446</v>
      </c>
      <c r="H2455">
        <v>3170569072</v>
      </c>
      <c r="I2455" s="1">
        <v>1.2415274092331854</v>
      </c>
    </row>
    <row r="2456" spans="1:9" x14ac:dyDescent="0.3">
      <c r="A2456" t="s">
        <v>43</v>
      </c>
      <c r="B2456">
        <v>2021</v>
      </c>
      <c r="C2456">
        <v>1</v>
      </c>
      <c r="D2456" t="s">
        <v>10</v>
      </c>
      <c r="E2456">
        <v>57446279</v>
      </c>
      <c r="F2456" s="6">
        <v>206405230307.96109</v>
      </c>
      <c r="G2456" s="5">
        <v>182958688</v>
      </c>
      <c r="H2456">
        <v>3836818854</v>
      </c>
      <c r="I2456" s="1">
        <v>1128.1521121749686</v>
      </c>
    </row>
    <row r="2457" spans="1:9" x14ac:dyDescent="0.3">
      <c r="A2457" t="s">
        <v>43</v>
      </c>
      <c r="B2457">
        <v>2021</v>
      </c>
      <c r="C2457">
        <v>1</v>
      </c>
      <c r="D2457" t="s">
        <v>11</v>
      </c>
      <c r="E2457">
        <v>53811885</v>
      </c>
      <c r="F2457" s="6">
        <v>30722779534.582508</v>
      </c>
      <c r="G2457" s="5">
        <v>182958688</v>
      </c>
      <c r="H2457">
        <v>3836818854</v>
      </c>
      <c r="I2457" s="1">
        <v>167.92194932324017</v>
      </c>
    </row>
    <row r="2458" spans="1:9" x14ac:dyDescent="0.3">
      <c r="A2458" t="s">
        <v>43</v>
      </c>
      <c r="B2458">
        <v>2021</v>
      </c>
      <c r="C2458">
        <v>1</v>
      </c>
      <c r="D2458" t="s">
        <v>9</v>
      </c>
      <c r="E2458">
        <v>24826273</v>
      </c>
      <c r="F2458" s="6">
        <v>11115915388.739548</v>
      </c>
      <c r="G2458" s="5">
        <v>182958688</v>
      </c>
      <c r="H2458">
        <v>3836818854</v>
      </c>
      <c r="I2458" s="1">
        <v>60.756422721721464</v>
      </c>
    </row>
    <row r="2459" spans="1:9" x14ac:dyDescent="0.3">
      <c r="A2459" t="s">
        <v>43</v>
      </c>
      <c r="B2459">
        <v>2021</v>
      </c>
      <c r="C2459">
        <v>1</v>
      </c>
      <c r="D2459" t="s">
        <v>12</v>
      </c>
      <c r="E2459">
        <v>170620</v>
      </c>
      <c r="F2459" s="6">
        <v>215319360.48403209</v>
      </c>
      <c r="G2459" s="5">
        <v>182958688</v>
      </c>
      <c r="H2459">
        <v>3836818854</v>
      </c>
      <c r="I2459" s="1">
        <v>1.1768742049791705</v>
      </c>
    </row>
    <row r="2460" spans="1:9" x14ac:dyDescent="0.3">
      <c r="A2460" t="s">
        <v>43</v>
      </c>
      <c r="B2460">
        <v>2021</v>
      </c>
      <c r="C2460">
        <v>1</v>
      </c>
      <c r="D2460" t="s">
        <v>13</v>
      </c>
      <c r="E2460">
        <v>301617</v>
      </c>
      <c r="F2460" s="6">
        <v>208899281.88347316</v>
      </c>
      <c r="G2460" s="5">
        <v>182958688</v>
      </c>
      <c r="H2460">
        <v>3836818854</v>
      </c>
      <c r="I2460" s="1">
        <v>1.1417838866633825</v>
      </c>
    </row>
    <row r="2461" spans="1:9" x14ac:dyDescent="0.3">
      <c r="A2461" t="s">
        <v>43</v>
      </c>
      <c r="B2461">
        <v>2021</v>
      </c>
      <c r="C2461">
        <v>2</v>
      </c>
      <c r="D2461" t="s">
        <v>10</v>
      </c>
      <c r="E2461">
        <v>60812902</v>
      </c>
      <c r="F2461" s="6">
        <v>216379027686.30246</v>
      </c>
      <c r="G2461" s="5">
        <v>195849962</v>
      </c>
      <c r="H2461">
        <v>3783653214</v>
      </c>
      <c r="I2461" s="1">
        <v>1104.8203710465998</v>
      </c>
    </row>
    <row r="2462" spans="1:9" x14ac:dyDescent="0.3">
      <c r="A2462" t="s">
        <v>43</v>
      </c>
      <c r="B2462">
        <v>2021</v>
      </c>
      <c r="C2462">
        <v>2</v>
      </c>
      <c r="D2462" t="s">
        <v>11</v>
      </c>
      <c r="E2462">
        <v>52048347</v>
      </c>
      <c r="F2462" s="6">
        <v>33504798112.88382</v>
      </c>
      <c r="G2462" s="5">
        <v>195849962</v>
      </c>
      <c r="H2462">
        <v>3783653214</v>
      </c>
      <c r="I2462" s="1">
        <v>171.07380451206734</v>
      </c>
    </row>
    <row r="2463" spans="1:9" x14ac:dyDescent="0.3">
      <c r="A2463" t="s">
        <v>43</v>
      </c>
      <c r="B2463">
        <v>2021</v>
      </c>
      <c r="C2463">
        <v>2</v>
      </c>
      <c r="D2463" t="s">
        <v>9</v>
      </c>
      <c r="E2463">
        <v>32753032</v>
      </c>
      <c r="F2463" s="6">
        <v>13155346942.255478</v>
      </c>
      <c r="G2463" s="5">
        <v>195849962</v>
      </c>
      <c r="H2463">
        <v>3783653214</v>
      </c>
      <c r="I2463" s="1">
        <v>67.170536097706659</v>
      </c>
    </row>
    <row r="2464" spans="1:9" x14ac:dyDescent="0.3">
      <c r="A2464" t="s">
        <v>43</v>
      </c>
      <c r="B2464">
        <v>2021</v>
      </c>
      <c r="C2464">
        <v>2</v>
      </c>
      <c r="D2464" t="s">
        <v>12</v>
      </c>
      <c r="E2464">
        <v>192614</v>
      </c>
      <c r="F2464" s="6">
        <v>225113402.6634022</v>
      </c>
      <c r="G2464" s="5">
        <v>195849962</v>
      </c>
      <c r="H2464">
        <v>3783653214</v>
      </c>
      <c r="I2464" s="1">
        <v>1.1494176479002953</v>
      </c>
    </row>
    <row r="2465" spans="1:9" x14ac:dyDescent="0.3">
      <c r="A2465" t="s">
        <v>43</v>
      </c>
      <c r="B2465">
        <v>2021</v>
      </c>
      <c r="C2465">
        <v>2</v>
      </c>
      <c r="D2465" t="s">
        <v>13</v>
      </c>
      <c r="E2465">
        <v>351547</v>
      </c>
      <c r="F2465" s="6">
        <v>223054882.44675264</v>
      </c>
      <c r="G2465" s="5">
        <v>195849962</v>
      </c>
      <c r="H2465">
        <v>3783653214</v>
      </c>
      <c r="I2465" s="1">
        <v>1.1389069477927836</v>
      </c>
    </row>
    <row r="2466" spans="1:9" x14ac:dyDescent="0.3">
      <c r="A2466" t="s">
        <v>43</v>
      </c>
      <c r="B2466">
        <v>2021</v>
      </c>
      <c r="C2466">
        <v>3</v>
      </c>
      <c r="D2466" t="s">
        <v>11</v>
      </c>
      <c r="E2466">
        <v>85074941</v>
      </c>
      <c r="F2466" s="6">
        <v>52932187058.575195</v>
      </c>
      <c r="G2466" s="5">
        <v>210401840</v>
      </c>
      <c r="H2466">
        <v>5058094074</v>
      </c>
      <c r="I2466" s="1">
        <v>251.57663572987383</v>
      </c>
    </row>
    <row r="2467" spans="1:9" x14ac:dyDescent="0.3">
      <c r="A2467" t="s">
        <v>43</v>
      </c>
      <c r="B2467">
        <v>2021</v>
      </c>
      <c r="C2467">
        <v>3</v>
      </c>
      <c r="D2467" t="s">
        <v>10</v>
      </c>
      <c r="E2467">
        <v>83833356</v>
      </c>
      <c r="F2467" s="6">
        <v>296121079294.83459</v>
      </c>
      <c r="G2467" s="5">
        <v>210401840</v>
      </c>
      <c r="H2467">
        <v>5058094074</v>
      </c>
      <c r="I2467" s="1">
        <v>1407.4072702730859</v>
      </c>
    </row>
    <row r="2468" spans="1:9" x14ac:dyDescent="0.3">
      <c r="A2468" t="s">
        <v>43</v>
      </c>
      <c r="B2468">
        <v>2021</v>
      </c>
      <c r="C2468">
        <v>3</v>
      </c>
      <c r="D2468" t="s">
        <v>9</v>
      </c>
      <c r="E2468">
        <v>34751691</v>
      </c>
      <c r="F2468" s="6">
        <v>15613287081.611631</v>
      </c>
      <c r="G2468" s="5">
        <v>210401840</v>
      </c>
      <c r="H2468">
        <v>5058094074</v>
      </c>
      <c r="I2468" s="1">
        <v>74.20698926212637</v>
      </c>
    </row>
    <row r="2469" spans="1:9" x14ac:dyDescent="0.3">
      <c r="A2469" t="s">
        <v>43</v>
      </c>
      <c r="B2469">
        <v>2021</v>
      </c>
      <c r="C2469">
        <v>3</v>
      </c>
      <c r="D2469" t="s">
        <v>12</v>
      </c>
      <c r="E2469">
        <v>182097</v>
      </c>
      <c r="F2469" s="6">
        <v>246146707.27908111</v>
      </c>
      <c r="G2469" s="5">
        <v>210401840</v>
      </c>
      <c r="H2469">
        <v>5058094074</v>
      </c>
      <c r="I2469" s="1">
        <v>1.1698885678902862</v>
      </c>
    </row>
    <row r="2470" spans="1:9" x14ac:dyDescent="0.3">
      <c r="A2470" t="s">
        <v>43</v>
      </c>
      <c r="B2470">
        <v>2021</v>
      </c>
      <c r="C2470">
        <v>3</v>
      </c>
      <c r="D2470" t="s">
        <v>13</v>
      </c>
      <c r="E2470">
        <v>515319</v>
      </c>
      <c r="F2470" s="6">
        <v>294622911.63286841</v>
      </c>
      <c r="G2470" s="5">
        <v>210401840</v>
      </c>
      <c r="H2470">
        <v>5058094074</v>
      </c>
      <c r="I2470" s="1">
        <v>1.400286763808094</v>
      </c>
    </row>
    <row r="2471" spans="1:9" x14ac:dyDescent="0.3">
      <c r="A2471" t="s">
        <v>43</v>
      </c>
      <c r="B2471">
        <v>2021</v>
      </c>
      <c r="C2471">
        <v>4</v>
      </c>
      <c r="D2471" t="s">
        <v>11</v>
      </c>
      <c r="E2471">
        <v>117578360</v>
      </c>
      <c r="F2471" s="6">
        <v>70539086832.138153</v>
      </c>
      <c r="G2471" s="5">
        <v>224764562</v>
      </c>
      <c r="H2471">
        <v>7544475840</v>
      </c>
      <c r="I2471" s="1">
        <v>313.83544720959236</v>
      </c>
    </row>
    <row r="2472" spans="1:9" x14ac:dyDescent="0.3">
      <c r="A2472" t="s">
        <v>43</v>
      </c>
      <c r="B2472">
        <v>2021</v>
      </c>
      <c r="C2472">
        <v>4</v>
      </c>
      <c r="D2472" t="s">
        <v>10</v>
      </c>
      <c r="E2472">
        <v>104493071</v>
      </c>
      <c r="F2472" s="6">
        <v>353529424598.23047</v>
      </c>
      <c r="G2472" s="5">
        <v>224764562</v>
      </c>
      <c r="H2472">
        <v>7544475840</v>
      </c>
      <c r="I2472" s="1">
        <v>1572.8877428561468</v>
      </c>
    </row>
    <row r="2473" spans="1:9" x14ac:dyDescent="0.3">
      <c r="A2473" t="s">
        <v>43</v>
      </c>
      <c r="B2473">
        <v>2021</v>
      </c>
      <c r="C2473">
        <v>4</v>
      </c>
      <c r="D2473" t="s">
        <v>9</v>
      </c>
      <c r="E2473">
        <v>36163870</v>
      </c>
      <c r="F2473" s="6">
        <v>18979178477.53405</v>
      </c>
      <c r="G2473" s="5">
        <v>224764562</v>
      </c>
      <c r="H2473">
        <v>7544475840</v>
      </c>
      <c r="I2473" s="1">
        <v>84.440261884051139</v>
      </c>
    </row>
    <row r="2474" spans="1:9" x14ac:dyDescent="0.3">
      <c r="A2474" t="s">
        <v>43</v>
      </c>
      <c r="B2474">
        <v>2021</v>
      </c>
      <c r="C2474">
        <v>4</v>
      </c>
      <c r="D2474" t="s">
        <v>12</v>
      </c>
      <c r="E2474">
        <v>228761</v>
      </c>
      <c r="F2474" s="6">
        <v>275850497.09493399</v>
      </c>
      <c r="G2474" s="5">
        <v>224764562</v>
      </c>
      <c r="H2474">
        <v>7544475840</v>
      </c>
      <c r="I2474" s="1">
        <v>1.2272864309229228</v>
      </c>
    </row>
    <row r="2475" spans="1:9" x14ac:dyDescent="0.3">
      <c r="A2475" t="s">
        <v>43</v>
      </c>
      <c r="B2475">
        <v>2021</v>
      </c>
      <c r="C2475">
        <v>4</v>
      </c>
      <c r="D2475" t="s">
        <v>13</v>
      </c>
      <c r="E2475">
        <v>691914</v>
      </c>
      <c r="F2475" s="6">
        <v>400412189.80491126</v>
      </c>
      <c r="G2475" s="5">
        <v>224764562</v>
      </c>
      <c r="H2475">
        <v>7544475840</v>
      </c>
      <c r="I2475" s="1">
        <v>1.781473850868498</v>
      </c>
    </row>
    <row r="2476" spans="1:9" x14ac:dyDescent="0.3">
      <c r="A2476" t="s">
        <v>44</v>
      </c>
      <c r="B2476">
        <v>2018</v>
      </c>
      <c r="C2476">
        <v>1</v>
      </c>
      <c r="D2476" t="s">
        <v>9</v>
      </c>
      <c r="E2476">
        <v>4209319</v>
      </c>
      <c r="F2476" s="6">
        <v>831912767.59371889</v>
      </c>
      <c r="G2476" s="5">
        <v>36471160</v>
      </c>
      <c r="H2476">
        <v>0</v>
      </c>
      <c r="I2476" s="1">
        <v>22.810153765159072</v>
      </c>
    </row>
    <row r="2477" spans="1:9" x14ac:dyDescent="0.3">
      <c r="A2477" t="s">
        <v>44</v>
      </c>
      <c r="B2477">
        <v>2018</v>
      </c>
      <c r="C2477">
        <v>1</v>
      </c>
      <c r="D2477" t="s">
        <v>10</v>
      </c>
      <c r="E2477">
        <v>3307245</v>
      </c>
      <c r="F2477" s="6">
        <v>11748268950.760422</v>
      </c>
      <c r="G2477" s="5">
        <v>36471160</v>
      </c>
      <c r="H2477">
        <v>0</v>
      </c>
      <c r="I2477" s="1">
        <v>322.12490501427487</v>
      </c>
    </row>
    <row r="2478" spans="1:9" x14ac:dyDescent="0.3">
      <c r="A2478" t="s">
        <v>44</v>
      </c>
      <c r="B2478">
        <v>2018</v>
      </c>
      <c r="C2478">
        <v>1</v>
      </c>
      <c r="D2478" t="s">
        <v>11</v>
      </c>
      <c r="E2478">
        <v>351474</v>
      </c>
      <c r="F2478" s="6">
        <v>282899066.61373723</v>
      </c>
      <c r="G2478" s="5">
        <v>36471160</v>
      </c>
      <c r="H2478">
        <v>0</v>
      </c>
      <c r="I2478" s="1">
        <v>7.7567882845990423</v>
      </c>
    </row>
    <row r="2479" spans="1:9" x14ac:dyDescent="0.3">
      <c r="A2479" t="s">
        <v>44</v>
      </c>
      <c r="B2479">
        <v>2018</v>
      </c>
      <c r="C2479">
        <v>1</v>
      </c>
      <c r="D2479" t="s">
        <v>12</v>
      </c>
      <c r="E2479">
        <v>262876</v>
      </c>
      <c r="F2479" s="6">
        <v>57011875.362337038</v>
      </c>
      <c r="G2479" s="5">
        <v>36471160</v>
      </c>
      <c r="H2479">
        <v>0</v>
      </c>
      <c r="I2479" s="1">
        <v>1.5632043335703345</v>
      </c>
    </row>
    <row r="2480" spans="1:9" x14ac:dyDescent="0.3">
      <c r="A2480" t="s">
        <v>44</v>
      </c>
      <c r="B2480">
        <v>2018</v>
      </c>
      <c r="C2480">
        <v>1</v>
      </c>
      <c r="D2480" t="s">
        <v>13</v>
      </c>
      <c r="E2480">
        <v>391852</v>
      </c>
      <c r="F2480" s="6">
        <v>388111458.2121352</v>
      </c>
      <c r="G2480" s="5">
        <v>36471160</v>
      </c>
      <c r="H2480">
        <v>0</v>
      </c>
      <c r="I2480" s="1">
        <v>10.641598956878125</v>
      </c>
    </row>
    <row r="2481" spans="1:9" x14ac:dyDescent="0.3">
      <c r="A2481" t="s">
        <v>44</v>
      </c>
      <c r="B2481">
        <v>2018</v>
      </c>
      <c r="C2481">
        <v>2</v>
      </c>
      <c r="D2481" t="s">
        <v>10</v>
      </c>
      <c r="E2481">
        <v>4784079</v>
      </c>
      <c r="F2481" s="6">
        <v>20748520742.575531</v>
      </c>
      <c r="G2481" s="5">
        <v>46861265</v>
      </c>
      <c r="H2481">
        <v>0</v>
      </c>
      <c r="I2481" s="1">
        <v>442.76484517811309</v>
      </c>
    </row>
    <row r="2482" spans="1:9" x14ac:dyDescent="0.3">
      <c r="A2482" t="s">
        <v>44</v>
      </c>
      <c r="B2482">
        <v>2018</v>
      </c>
      <c r="C2482">
        <v>2</v>
      </c>
      <c r="D2482" t="s">
        <v>9</v>
      </c>
      <c r="E2482">
        <v>4686542</v>
      </c>
      <c r="F2482" s="6">
        <v>1274130053.834579</v>
      </c>
      <c r="G2482" s="5">
        <v>46861265</v>
      </c>
      <c r="H2482">
        <v>0</v>
      </c>
      <c r="I2482" s="1">
        <v>27.189408007542667</v>
      </c>
    </row>
    <row r="2483" spans="1:9" x14ac:dyDescent="0.3">
      <c r="A2483" t="s">
        <v>44</v>
      </c>
      <c r="B2483">
        <v>2018</v>
      </c>
      <c r="C2483">
        <v>2</v>
      </c>
      <c r="D2483" t="s">
        <v>11</v>
      </c>
      <c r="E2483">
        <v>701082</v>
      </c>
      <c r="F2483" s="6">
        <v>551696487.31854284</v>
      </c>
      <c r="G2483" s="5">
        <v>46861265</v>
      </c>
      <c r="H2483">
        <v>0</v>
      </c>
      <c r="I2483" s="1">
        <v>11.772974701356073</v>
      </c>
    </row>
    <row r="2484" spans="1:9" x14ac:dyDescent="0.3">
      <c r="A2484" t="s">
        <v>44</v>
      </c>
      <c r="B2484">
        <v>2018</v>
      </c>
      <c r="C2484">
        <v>2</v>
      </c>
      <c r="D2484" t="s">
        <v>12</v>
      </c>
      <c r="E2484">
        <v>277805</v>
      </c>
      <c r="F2484" s="6">
        <v>85498213.25384143</v>
      </c>
      <c r="G2484" s="5">
        <v>46861265</v>
      </c>
      <c r="H2484">
        <v>0</v>
      </c>
      <c r="I2484" s="1">
        <v>1.8244964845452087</v>
      </c>
    </row>
    <row r="2485" spans="1:9" x14ac:dyDescent="0.3">
      <c r="A2485" t="s">
        <v>44</v>
      </c>
      <c r="B2485">
        <v>2018</v>
      </c>
      <c r="C2485">
        <v>2</v>
      </c>
      <c r="D2485" t="s">
        <v>13</v>
      </c>
      <c r="E2485">
        <v>315162</v>
      </c>
      <c r="F2485" s="6">
        <v>357356020.66981602</v>
      </c>
      <c r="G2485" s="5">
        <v>46861265</v>
      </c>
      <c r="H2485">
        <v>0</v>
      </c>
      <c r="I2485" s="1">
        <v>7.6258295773666376</v>
      </c>
    </row>
    <row r="2486" spans="1:9" x14ac:dyDescent="0.3">
      <c r="A2486" t="s">
        <v>44</v>
      </c>
      <c r="B2486">
        <v>2018</v>
      </c>
      <c r="C2486">
        <v>3</v>
      </c>
      <c r="D2486" t="s">
        <v>10</v>
      </c>
      <c r="E2486">
        <v>11560952</v>
      </c>
      <c r="F2486" s="6">
        <v>29253505738.828743</v>
      </c>
      <c r="G2486" s="5">
        <v>56523511</v>
      </c>
      <c r="H2486">
        <v>0</v>
      </c>
      <c r="I2486" s="1">
        <v>517.54580034543051</v>
      </c>
    </row>
    <row r="2487" spans="1:9" x14ac:dyDescent="0.3">
      <c r="A2487" t="s">
        <v>44</v>
      </c>
      <c r="B2487">
        <v>2018</v>
      </c>
      <c r="C2487">
        <v>3</v>
      </c>
      <c r="D2487" t="s">
        <v>9</v>
      </c>
      <c r="E2487">
        <v>5328881</v>
      </c>
      <c r="F2487" s="6">
        <v>1568136060.6278369</v>
      </c>
      <c r="G2487" s="5">
        <v>56523511</v>
      </c>
      <c r="H2487">
        <v>0</v>
      </c>
      <c r="I2487" s="1">
        <v>27.743075985280477</v>
      </c>
    </row>
    <row r="2488" spans="1:9" x14ac:dyDescent="0.3">
      <c r="A2488" t="s">
        <v>44</v>
      </c>
      <c r="B2488">
        <v>2018</v>
      </c>
      <c r="C2488">
        <v>3</v>
      </c>
      <c r="D2488" t="s">
        <v>11</v>
      </c>
      <c r="E2488">
        <v>1770075</v>
      </c>
      <c r="F2488" s="6">
        <v>855534175.47941864</v>
      </c>
      <c r="G2488" s="5">
        <v>56523511</v>
      </c>
      <c r="H2488">
        <v>0</v>
      </c>
      <c r="I2488" s="1">
        <v>15.135899386706864</v>
      </c>
    </row>
    <row r="2489" spans="1:9" x14ac:dyDescent="0.3">
      <c r="A2489" t="s">
        <v>44</v>
      </c>
      <c r="B2489">
        <v>2018</v>
      </c>
      <c r="C2489">
        <v>3</v>
      </c>
      <c r="D2489" t="s">
        <v>12</v>
      </c>
      <c r="E2489">
        <v>307312</v>
      </c>
      <c r="F2489" s="6">
        <v>52554123.973762177</v>
      </c>
      <c r="G2489" s="5">
        <v>56523511</v>
      </c>
      <c r="H2489">
        <v>0</v>
      </c>
      <c r="I2489" s="1">
        <v>0.92977458484067232</v>
      </c>
    </row>
    <row r="2490" spans="1:9" x14ac:dyDescent="0.3">
      <c r="A2490" t="s">
        <v>44</v>
      </c>
      <c r="B2490">
        <v>2018</v>
      </c>
      <c r="C2490">
        <v>3</v>
      </c>
      <c r="D2490" t="s">
        <v>13</v>
      </c>
      <c r="E2490">
        <v>365483</v>
      </c>
      <c r="F2490" s="6">
        <v>300363110.81379545</v>
      </c>
      <c r="G2490" s="5">
        <v>56523511</v>
      </c>
      <c r="H2490">
        <v>0</v>
      </c>
      <c r="I2490" s="1">
        <v>5.3139499917794462</v>
      </c>
    </row>
    <row r="2491" spans="1:9" x14ac:dyDescent="0.3">
      <c r="A2491" t="s">
        <v>44</v>
      </c>
      <c r="B2491">
        <v>2018</v>
      </c>
      <c r="C2491">
        <v>4</v>
      </c>
      <c r="D2491" t="s">
        <v>10</v>
      </c>
      <c r="E2491">
        <v>15571288</v>
      </c>
      <c r="F2491" s="6">
        <v>44541667501.741119</v>
      </c>
      <c r="G2491" s="5">
        <v>71826469</v>
      </c>
      <c r="H2491">
        <v>0</v>
      </c>
      <c r="I2491" s="1">
        <v>620.12887619104765</v>
      </c>
    </row>
    <row r="2492" spans="1:9" x14ac:dyDescent="0.3">
      <c r="A2492" t="s">
        <v>44</v>
      </c>
      <c r="B2492">
        <v>2018</v>
      </c>
      <c r="C2492">
        <v>4</v>
      </c>
      <c r="D2492" t="s">
        <v>9</v>
      </c>
      <c r="E2492">
        <v>7121135</v>
      </c>
      <c r="F2492" s="6">
        <v>2165870863.1686502</v>
      </c>
      <c r="G2492" s="5">
        <v>71826469</v>
      </c>
      <c r="H2492">
        <v>0</v>
      </c>
      <c r="I2492" s="1">
        <v>30.154216033766748</v>
      </c>
    </row>
    <row r="2493" spans="1:9" x14ac:dyDescent="0.3">
      <c r="A2493" t="s">
        <v>44</v>
      </c>
      <c r="B2493">
        <v>2018</v>
      </c>
      <c r="C2493">
        <v>4</v>
      </c>
      <c r="D2493" t="s">
        <v>11</v>
      </c>
      <c r="E2493">
        <v>5315161</v>
      </c>
      <c r="F2493" s="6">
        <v>2356841304.9649296</v>
      </c>
      <c r="G2493" s="5">
        <v>71826469</v>
      </c>
      <c r="H2493">
        <v>0</v>
      </c>
      <c r="I2493" s="1">
        <v>32.812991335616537</v>
      </c>
    </row>
    <row r="2494" spans="1:9" x14ac:dyDescent="0.3">
      <c r="A2494" t="s">
        <v>44</v>
      </c>
      <c r="B2494">
        <v>2018</v>
      </c>
      <c r="C2494">
        <v>4</v>
      </c>
      <c r="D2494" t="s">
        <v>12</v>
      </c>
      <c r="E2494">
        <v>392423</v>
      </c>
      <c r="F2494" s="6">
        <v>64569231.235592492</v>
      </c>
      <c r="G2494" s="5">
        <v>71826469</v>
      </c>
      <c r="H2494">
        <v>0</v>
      </c>
      <c r="I2494" s="1">
        <v>0.89896151285945147</v>
      </c>
    </row>
    <row r="2495" spans="1:9" x14ac:dyDescent="0.3">
      <c r="A2495" t="s">
        <v>44</v>
      </c>
      <c r="B2495">
        <v>2018</v>
      </c>
      <c r="C2495">
        <v>4</v>
      </c>
      <c r="D2495" t="s">
        <v>13</v>
      </c>
      <c r="E2495">
        <v>521147</v>
      </c>
      <c r="F2495" s="6">
        <v>380139546.93821603</v>
      </c>
      <c r="G2495" s="5">
        <v>71826469</v>
      </c>
      <c r="H2495">
        <v>0</v>
      </c>
      <c r="I2495" s="1">
        <v>5.2924715948129935</v>
      </c>
    </row>
    <row r="2496" spans="1:9" x14ac:dyDescent="0.3">
      <c r="A2496" t="s">
        <v>44</v>
      </c>
      <c r="B2496">
        <v>2019</v>
      </c>
      <c r="C2496">
        <v>1</v>
      </c>
      <c r="D2496" t="s">
        <v>10</v>
      </c>
      <c r="E2496">
        <v>40488967</v>
      </c>
      <c r="F2496" s="6">
        <v>87361237975.493011</v>
      </c>
      <c r="G2496" s="5">
        <v>87597675</v>
      </c>
      <c r="H2496">
        <v>0</v>
      </c>
      <c r="I2496" s="1">
        <v>997.30087557110403</v>
      </c>
    </row>
    <row r="2497" spans="1:9" x14ac:dyDescent="0.3">
      <c r="A2497" t="s">
        <v>44</v>
      </c>
      <c r="B2497">
        <v>2019</v>
      </c>
      <c r="C2497">
        <v>1</v>
      </c>
      <c r="D2497" t="s">
        <v>11</v>
      </c>
      <c r="E2497">
        <v>12341901</v>
      </c>
      <c r="F2497" s="6">
        <v>4144368545.5359688</v>
      </c>
      <c r="G2497" s="5">
        <v>87597675</v>
      </c>
      <c r="H2497">
        <v>0</v>
      </c>
      <c r="I2497" s="1">
        <v>47.311398910256109</v>
      </c>
    </row>
    <row r="2498" spans="1:9" x14ac:dyDescent="0.3">
      <c r="A2498" t="s">
        <v>44</v>
      </c>
      <c r="B2498">
        <v>2019</v>
      </c>
      <c r="C2498">
        <v>1</v>
      </c>
      <c r="D2498" t="s">
        <v>9</v>
      </c>
      <c r="E2498">
        <v>11525394</v>
      </c>
      <c r="F2498" s="6">
        <v>3619117615.4851718</v>
      </c>
      <c r="G2498" s="5">
        <v>87597675</v>
      </c>
      <c r="H2498">
        <v>0</v>
      </c>
      <c r="I2498" s="1">
        <v>41.315224581990009</v>
      </c>
    </row>
    <row r="2499" spans="1:9" x14ac:dyDescent="0.3">
      <c r="A2499" t="s">
        <v>44</v>
      </c>
      <c r="B2499">
        <v>2019</v>
      </c>
      <c r="C2499">
        <v>1</v>
      </c>
      <c r="D2499" t="s">
        <v>12</v>
      </c>
      <c r="E2499">
        <v>463688</v>
      </c>
      <c r="F2499" s="6">
        <v>54547989.275453925</v>
      </c>
      <c r="G2499" s="5">
        <v>87597675</v>
      </c>
      <c r="H2499">
        <v>0</v>
      </c>
      <c r="I2499" s="1">
        <v>0.62271046891888315</v>
      </c>
    </row>
    <row r="2500" spans="1:9" x14ac:dyDescent="0.3">
      <c r="A2500" t="s">
        <v>44</v>
      </c>
      <c r="B2500">
        <v>2019</v>
      </c>
      <c r="C2500">
        <v>1</v>
      </c>
      <c r="D2500" t="s">
        <v>13</v>
      </c>
      <c r="E2500">
        <v>470752</v>
      </c>
      <c r="F2500" s="6">
        <v>343989909.87508941</v>
      </c>
      <c r="G2500" s="5">
        <v>87597675</v>
      </c>
      <c r="H2500">
        <v>0</v>
      </c>
      <c r="I2500" s="1">
        <v>3.9269296802122819</v>
      </c>
    </row>
    <row r="2501" spans="1:9" x14ac:dyDescent="0.3">
      <c r="A2501" t="s">
        <v>44</v>
      </c>
      <c r="B2501">
        <v>2019</v>
      </c>
      <c r="C2501">
        <v>2</v>
      </c>
      <c r="D2501" t="s">
        <v>10</v>
      </c>
      <c r="E2501">
        <v>46741594</v>
      </c>
      <c r="F2501" s="6">
        <v>141095702899.16147</v>
      </c>
      <c r="G2501" s="5">
        <v>99506077</v>
      </c>
      <c r="H2501">
        <v>889265322</v>
      </c>
      <c r="I2501" s="1">
        <v>1417.9606628363158</v>
      </c>
    </row>
    <row r="2502" spans="1:9" x14ac:dyDescent="0.3">
      <c r="A2502" t="s">
        <v>44</v>
      </c>
      <c r="B2502">
        <v>2019</v>
      </c>
      <c r="C2502">
        <v>2</v>
      </c>
      <c r="D2502" t="s">
        <v>11</v>
      </c>
      <c r="E2502">
        <v>25682382</v>
      </c>
      <c r="F2502" s="6">
        <v>8442740781.4698439</v>
      </c>
      <c r="G2502" s="5">
        <v>99506077</v>
      </c>
      <c r="H2502">
        <v>889265322</v>
      </c>
      <c r="I2502" s="1">
        <v>84.846484114430964</v>
      </c>
    </row>
    <row r="2503" spans="1:9" x14ac:dyDescent="0.3">
      <c r="A2503" t="s">
        <v>44</v>
      </c>
      <c r="B2503">
        <v>2019</v>
      </c>
      <c r="C2503">
        <v>2</v>
      </c>
      <c r="D2503" t="s">
        <v>9</v>
      </c>
      <c r="E2503">
        <v>16225017</v>
      </c>
      <c r="F2503" s="6">
        <v>5603477828.5489645</v>
      </c>
      <c r="G2503" s="5">
        <v>99506077</v>
      </c>
      <c r="H2503">
        <v>889265322</v>
      </c>
      <c r="I2503" s="1">
        <v>56.312920753060787</v>
      </c>
    </row>
    <row r="2504" spans="1:9" x14ac:dyDescent="0.3">
      <c r="A2504" t="s">
        <v>44</v>
      </c>
      <c r="B2504">
        <v>2019</v>
      </c>
      <c r="C2504">
        <v>2</v>
      </c>
      <c r="D2504" t="s">
        <v>12</v>
      </c>
      <c r="E2504">
        <v>252173</v>
      </c>
      <c r="F2504" s="6">
        <v>43627344.86329399</v>
      </c>
      <c r="G2504" s="5">
        <v>99506077</v>
      </c>
      <c r="H2504">
        <v>889265322</v>
      </c>
      <c r="I2504" s="1">
        <v>0.4384389996933955</v>
      </c>
    </row>
    <row r="2505" spans="1:9" x14ac:dyDescent="0.3">
      <c r="A2505" t="s">
        <v>44</v>
      </c>
      <c r="B2505">
        <v>2019</v>
      </c>
      <c r="C2505">
        <v>2</v>
      </c>
      <c r="D2505" t="s">
        <v>13</v>
      </c>
      <c r="E2505">
        <v>709213</v>
      </c>
      <c r="F2505" s="6">
        <v>490894328.39153659</v>
      </c>
      <c r="G2505" s="5">
        <v>99506077</v>
      </c>
      <c r="H2505">
        <v>889265322</v>
      </c>
      <c r="I2505" s="1">
        <v>4.9333100368486704</v>
      </c>
    </row>
    <row r="2506" spans="1:9" x14ac:dyDescent="0.3">
      <c r="A2506" t="s">
        <v>44</v>
      </c>
      <c r="B2506">
        <v>2019</v>
      </c>
      <c r="C2506">
        <v>3</v>
      </c>
      <c r="D2506" t="s">
        <v>10</v>
      </c>
      <c r="E2506">
        <v>59981113</v>
      </c>
      <c r="F2506" s="6">
        <v>180342868388.36203</v>
      </c>
      <c r="G2506" s="5">
        <v>110996127</v>
      </c>
      <c r="H2506">
        <v>3499369621</v>
      </c>
      <c r="I2506" s="1">
        <v>1624.7672172233724</v>
      </c>
    </row>
    <row r="2507" spans="1:9" x14ac:dyDescent="0.3">
      <c r="A2507" t="s">
        <v>44</v>
      </c>
      <c r="B2507">
        <v>2019</v>
      </c>
      <c r="C2507">
        <v>3</v>
      </c>
      <c r="D2507" t="s">
        <v>11</v>
      </c>
      <c r="E2507">
        <v>44035953</v>
      </c>
      <c r="F2507" s="6">
        <v>14308557740.554239</v>
      </c>
      <c r="G2507" s="5">
        <v>110996127</v>
      </c>
      <c r="H2507">
        <v>3499369621</v>
      </c>
      <c r="I2507" s="1">
        <v>128.9104235191399</v>
      </c>
    </row>
    <row r="2508" spans="1:9" x14ac:dyDescent="0.3">
      <c r="A2508" t="s">
        <v>44</v>
      </c>
      <c r="B2508">
        <v>2019</v>
      </c>
      <c r="C2508">
        <v>3</v>
      </c>
      <c r="D2508" t="s">
        <v>9</v>
      </c>
      <c r="E2508">
        <v>16437222</v>
      </c>
      <c r="F2508" s="6">
        <v>6793699069.3873644</v>
      </c>
      <c r="G2508" s="5">
        <v>110996127</v>
      </c>
      <c r="H2508">
        <v>3499369621</v>
      </c>
      <c r="I2508" s="1">
        <v>61.206631735784477</v>
      </c>
    </row>
    <row r="2509" spans="1:9" x14ac:dyDescent="0.3">
      <c r="A2509" t="s">
        <v>44</v>
      </c>
      <c r="B2509">
        <v>2019</v>
      </c>
      <c r="C2509">
        <v>3</v>
      </c>
      <c r="D2509" t="s">
        <v>12</v>
      </c>
      <c r="E2509">
        <v>183163</v>
      </c>
      <c r="F2509" s="6">
        <v>39617186.740484983</v>
      </c>
      <c r="G2509" s="5">
        <v>110996127</v>
      </c>
      <c r="H2509">
        <v>3499369621</v>
      </c>
      <c r="I2509" s="1">
        <v>0.35692404601184852</v>
      </c>
    </row>
    <row r="2510" spans="1:9" x14ac:dyDescent="0.3">
      <c r="A2510" t="s">
        <v>44</v>
      </c>
      <c r="B2510">
        <v>2019</v>
      </c>
      <c r="C2510">
        <v>3</v>
      </c>
      <c r="D2510" t="s">
        <v>13</v>
      </c>
      <c r="E2510">
        <v>857925</v>
      </c>
      <c r="F2510" s="6">
        <v>445278745.38184118</v>
      </c>
      <c r="G2510" s="5">
        <v>110996127</v>
      </c>
      <c r="H2510">
        <v>3499369621</v>
      </c>
      <c r="I2510" s="1">
        <v>4.0116602030793489</v>
      </c>
    </row>
    <row r="2511" spans="1:9" x14ac:dyDescent="0.3">
      <c r="A2511" t="s">
        <v>44</v>
      </c>
      <c r="B2511">
        <v>2019</v>
      </c>
      <c r="C2511">
        <v>4</v>
      </c>
      <c r="D2511" t="s">
        <v>10</v>
      </c>
      <c r="E2511">
        <v>82587060</v>
      </c>
      <c r="F2511" s="6">
        <v>249346680995.99316</v>
      </c>
      <c r="G2511" s="5">
        <v>123427601</v>
      </c>
      <c r="H2511">
        <v>4391629484</v>
      </c>
      <c r="I2511" s="1">
        <v>2020.185752423343</v>
      </c>
    </row>
    <row r="2512" spans="1:9" x14ac:dyDescent="0.3">
      <c r="A2512" t="s">
        <v>44</v>
      </c>
      <c r="B2512">
        <v>2019</v>
      </c>
      <c r="C2512">
        <v>4</v>
      </c>
      <c r="D2512" t="s">
        <v>11</v>
      </c>
      <c r="E2512">
        <v>59347809</v>
      </c>
      <c r="F2512" s="6">
        <v>21510626607.08445</v>
      </c>
      <c r="G2512" s="5">
        <v>123427601</v>
      </c>
      <c r="H2512">
        <v>4391629484</v>
      </c>
      <c r="I2512" s="1">
        <v>174.27728022587468</v>
      </c>
    </row>
    <row r="2513" spans="1:9" x14ac:dyDescent="0.3">
      <c r="A2513" t="s">
        <v>44</v>
      </c>
      <c r="B2513">
        <v>2019</v>
      </c>
      <c r="C2513">
        <v>4</v>
      </c>
      <c r="D2513" t="s">
        <v>9</v>
      </c>
      <c r="E2513">
        <v>20797056</v>
      </c>
      <c r="F2513" s="6">
        <v>9561315124.6026554</v>
      </c>
      <c r="G2513" s="5">
        <v>123427601</v>
      </c>
      <c r="H2513">
        <v>4391629484</v>
      </c>
      <c r="I2513" s="1">
        <v>77.464967698777969</v>
      </c>
    </row>
    <row r="2514" spans="1:9" x14ac:dyDescent="0.3">
      <c r="A2514" t="s">
        <v>44</v>
      </c>
      <c r="B2514">
        <v>2019</v>
      </c>
      <c r="C2514">
        <v>4</v>
      </c>
      <c r="D2514" t="s">
        <v>12</v>
      </c>
      <c r="E2514">
        <v>137291</v>
      </c>
      <c r="F2514" s="6">
        <v>33453857.404595934</v>
      </c>
      <c r="G2514" s="5">
        <v>123427601</v>
      </c>
      <c r="H2514">
        <v>4391629484</v>
      </c>
      <c r="I2514" s="1">
        <v>0.27104032755684793</v>
      </c>
    </row>
    <row r="2515" spans="1:9" x14ac:dyDescent="0.3">
      <c r="A2515" t="s">
        <v>44</v>
      </c>
      <c r="B2515">
        <v>2019</v>
      </c>
      <c r="C2515">
        <v>4</v>
      </c>
      <c r="D2515" t="s">
        <v>13</v>
      </c>
      <c r="E2515">
        <v>703042</v>
      </c>
      <c r="F2515" s="6">
        <v>294688962.65904599</v>
      </c>
      <c r="G2515" s="5">
        <v>123427601</v>
      </c>
      <c r="H2515">
        <v>4391629484</v>
      </c>
      <c r="I2515" s="1">
        <v>2.3875450893600858</v>
      </c>
    </row>
    <row r="2516" spans="1:9" x14ac:dyDescent="0.3">
      <c r="A2516" t="s">
        <v>44</v>
      </c>
      <c r="B2516">
        <v>2020</v>
      </c>
      <c r="C2516">
        <v>1</v>
      </c>
      <c r="D2516" t="s">
        <v>10</v>
      </c>
      <c r="E2516">
        <v>95668911</v>
      </c>
      <c r="F2516" s="6">
        <v>327641798044.80554</v>
      </c>
      <c r="G2516" s="5">
        <v>135375460</v>
      </c>
      <c r="H2516">
        <v>5001961976</v>
      </c>
      <c r="I2516" s="1">
        <v>2420.2451319079955</v>
      </c>
    </row>
    <row r="2517" spans="1:9" x14ac:dyDescent="0.3">
      <c r="A2517" t="s">
        <v>44</v>
      </c>
      <c r="B2517">
        <v>2020</v>
      </c>
      <c r="C2517">
        <v>1</v>
      </c>
      <c r="D2517" t="s">
        <v>11</v>
      </c>
      <c r="E2517">
        <v>76818285</v>
      </c>
      <c r="F2517" s="6">
        <v>31076431477.912689</v>
      </c>
      <c r="G2517" s="5">
        <v>135375460</v>
      </c>
      <c r="H2517">
        <v>5001961976</v>
      </c>
      <c r="I2517" s="1">
        <v>229.55734723200712</v>
      </c>
    </row>
    <row r="2518" spans="1:9" x14ac:dyDescent="0.3">
      <c r="A2518" t="s">
        <v>44</v>
      </c>
      <c r="B2518">
        <v>2020</v>
      </c>
      <c r="C2518">
        <v>1</v>
      </c>
      <c r="D2518" t="s">
        <v>9</v>
      </c>
      <c r="E2518">
        <v>26324268</v>
      </c>
      <c r="F2518" s="6">
        <v>12324266104.564993</v>
      </c>
      <c r="G2518" s="5">
        <v>135375460</v>
      </c>
      <c r="H2518">
        <v>5001961976</v>
      </c>
      <c r="I2518" s="1">
        <v>91.037667421887193</v>
      </c>
    </row>
    <row r="2519" spans="1:9" x14ac:dyDescent="0.3">
      <c r="A2519" t="s">
        <v>44</v>
      </c>
      <c r="B2519">
        <v>2020</v>
      </c>
      <c r="C2519">
        <v>1</v>
      </c>
      <c r="D2519" t="s">
        <v>12</v>
      </c>
      <c r="E2519">
        <v>88184</v>
      </c>
      <c r="F2519" s="6">
        <v>59500639.386845887</v>
      </c>
      <c r="G2519" s="5">
        <v>135375460</v>
      </c>
      <c r="H2519">
        <v>5001961976</v>
      </c>
      <c r="I2519" s="1">
        <v>0.43952308185579486</v>
      </c>
    </row>
    <row r="2520" spans="1:9" x14ac:dyDescent="0.3">
      <c r="A2520" t="s">
        <v>44</v>
      </c>
      <c r="B2520">
        <v>2020</v>
      </c>
      <c r="C2520">
        <v>1</v>
      </c>
      <c r="D2520" t="s">
        <v>13</v>
      </c>
      <c r="E2520">
        <v>509877</v>
      </c>
      <c r="F2520" s="6">
        <v>241784101.54604858</v>
      </c>
      <c r="G2520" s="5">
        <v>135375460</v>
      </c>
      <c r="H2520">
        <v>5001961976</v>
      </c>
      <c r="I2520" s="1">
        <v>1.7860260755239434</v>
      </c>
    </row>
    <row r="2521" spans="1:9" x14ac:dyDescent="0.3">
      <c r="A2521" t="s">
        <v>44</v>
      </c>
      <c r="B2521">
        <v>2020</v>
      </c>
      <c r="C2521">
        <v>2</v>
      </c>
      <c r="D2521" t="s">
        <v>10</v>
      </c>
      <c r="E2521">
        <v>76683293</v>
      </c>
      <c r="F2521" s="6">
        <v>279478553909.74377</v>
      </c>
      <c r="G2521" s="5">
        <v>147160101</v>
      </c>
      <c r="H2521">
        <v>4038435555</v>
      </c>
      <c r="I2521" s="1">
        <v>1899.1462496328661</v>
      </c>
    </row>
    <row r="2522" spans="1:9" x14ac:dyDescent="0.3">
      <c r="A2522" t="s">
        <v>44</v>
      </c>
      <c r="B2522">
        <v>2020</v>
      </c>
      <c r="C2522">
        <v>2</v>
      </c>
      <c r="D2522" t="s">
        <v>11</v>
      </c>
      <c r="E2522">
        <v>44181999</v>
      </c>
      <c r="F2522" s="6">
        <v>26712043204.891262</v>
      </c>
      <c r="G2522" s="5">
        <v>147160101</v>
      </c>
      <c r="H2522">
        <v>4038435555</v>
      </c>
      <c r="I2522" s="1">
        <v>181.51688551023258</v>
      </c>
    </row>
    <row r="2523" spans="1:9" x14ac:dyDescent="0.3">
      <c r="A2523" t="s">
        <v>44</v>
      </c>
      <c r="B2523">
        <v>2020</v>
      </c>
      <c r="C2523">
        <v>2</v>
      </c>
      <c r="D2523" t="s">
        <v>9</v>
      </c>
      <c r="E2523">
        <v>30885875</v>
      </c>
      <c r="F2523" s="6">
        <v>15106945863.857046</v>
      </c>
      <c r="G2523" s="5">
        <v>147160101</v>
      </c>
      <c r="H2523">
        <v>4038435555</v>
      </c>
      <c r="I2523" s="1">
        <v>102.65653367455249</v>
      </c>
    </row>
    <row r="2524" spans="1:9" x14ac:dyDescent="0.3">
      <c r="A2524" t="s">
        <v>44</v>
      </c>
      <c r="B2524">
        <v>2020</v>
      </c>
      <c r="C2524">
        <v>2</v>
      </c>
      <c r="D2524" t="s">
        <v>12</v>
      </c>
      <c r="E2524">
        <v>116776</v>
      </c>
      <c r="F2524" s="6">
        <v>134169906.74750492</v>
      </c>
      <c r="G2524" s="5">
        <v>147160101</v>
      </c>
      <c r="H2524">
        <v>4038435555</v>
      </c>
      <c r="I2524" s="1">
        <v>0.9117274712084148</v>
      </c>
    </row>
    <row r="2525" spans="1:9" x14ac:dyDescent="0.3">
      <c r="A2525" t="s">
        <v>44</v>
      </c>
      <c r="B2525">
        <v>2020</v>
      </c>
      <c r="C2525">
        <v>2</v>
      </c>
      <c r="D2525" t="s">
        <v>13</v>
      </c>
      <c r="E2525">
        <v>187200</v>
      </c>
      <c r="F2525" s="6">
        <v>100126467.191328</v>
      </c>
      <c r="G2525" s="5">
        <v>147160101</v>
      </c>
      <c r="H2525">
        <v>4038435555</v>
      </c>
      <c r="I2525" s="1">
        <v>0.68039140032479317</v>
      </c>
    </row>
    <row r="2526" spans="1:9" x14ac:dyDescent="0.3">
      <c r="A2526" t="s">
        <v>44</v>
      </c>
      <c r="B2526">
        <v>2020</v>
      </c>
      <c r="C2526">
        <v>3</v>
      </c>
      <c r="D2526" t="s">
        <v>10</v>
      </c>
      <c r="E2526">
        <v>116668399</v>
      </c>
      <c r="F2526" s="6">
        <v>437459188905.05341</v>
      </c>
      <c r="G2526" s="5">
        <v>160499702</v>
      </c>
      <c r="H2526">
        <v>5805601175</v>
      </c>
      <c r="I2526" s="1">
        <v>2725.6074837139163</v>
      </c>
    </row>
    <row r="2527" spans="1:9" x14ac:dyDescent="0.3">
      <c r="A2527" t="s">
        <v>44</v>
      </c>
      <c r="B2527">
        <v>2020</v>
      </c>
      <c r="C2527">
        <v>3</v>
      </c>
      <c r="D2527" t="s">
        <v>11</v>
      </c>
      <c r="E2527">
        <v>86836471</v>
      </c>
      <c r="F2527" s="6">
        <v>49743225885.179474</v>
      </c>
      <c r="G2527" s="5">
        <v>160499702</v>
      </c>
      <c r="H2527">
        <v>5805601175</v>
      </c>
      <c r="I2527" s="1">
        <v>309.92721647034256</v>
      </c>
    </row>
    <row r="2528" spans="1:9" x14ac:dyDescent="0.3">
      <c r="A2528" t="s">
        <v>44</v>
      </c>
      <c r="B2528">
        <v>2020</v>
      </c>
      <c r="C2528">
        <v>3</v>
      </c>
      <c r="D2528" t="s">
        <v>9</v>
      </c>
      <c r="E2528">
        <v>32352860</v>
      </c>
      <c r="F2528" s="6">
        <v>18378477087.576897</v>
      </c>
      <c r="G2528" s="5">
        <v>160499702</v>
      </c>
      <c r="H2528">
        <v>5805601175</v>
      </c>
      <c r="I2528" s="1">
        <v>114.5078580119538</v>
      </c>
    </row>
    <row r="2529" spans="1:9" x14ac:dyDescent="0.3">
      <c r="A2529" t="s">
        <v>44</v>
      </c>
      <c r="B2529">
        <v>2020</v>
      </c>
      <c r="C2529">
        <v>3</v>
      </c>
      <c r="D2529" t="s">
        <v>12</v>
      </c>
      <c r="E2529">
        <v>195857</v>
      </c>
      <c r="F2529" s="6">
        <v>223377023.50525153</v>
      </c>
      <c r="G2529" s="5">
        <v>160499702</v>
      </c>
      <c r="H2529">
        <v>5805601175</v>
      </c>
      <c r="I2529" s="1">
        <v>1.3917597398732338</v>
      </c>
    </row>
    <row r="2530" spans="1:9" x14ac:dyDescent="0.3">
      <c r="A2530" t="s">
        <v>44</v>
      </c>
      <c r="B2530">
        <v>2020</v>
      </c>
      <c r="C2530">
        <v>3</v>
      </c>
      <c r="D2530" t="s">
        <v>13</v>
      </c>
      <c r="E2530">
        <v>318539</v>
      </c>
      <c r="F2530" s="6">
        <v>156875854.55487928</v>
      </c>
      <c r="G2530" s="5">
        <v>160499702</v>
      </c>
      <c r="H2530">
        <v>5805601175</v>
      </c>
      <c r="I2530" s="1">
        <v>0.9774214693238451</v>
      </c>
    </row>
    <row r="2531" spans="1:9" x14ac:dyDescent="0.3">
      <c r="A2531" t="s">
        <v>44</v>
      </c>
      <c r="B2531">
        <v>2020</v>
      </c>
      <c r="C2531">
        <v>4</v>
      </c>
      <c r="D2531" t="s">
        <v>10</v>
      </c>
      <c r="E2531">
        <v>160607487</v>
      </c>
      <c r="F2531" s="6">
        <v>591976601278.51538</v>
      </c>
      <c r="G2531" s="5">
        <v>175205767</v>
      </c>
      <c r="H2531">
        <v>8410756585</v>
      </c>
      <c r="I2531" s="1">
        <v>3378.7506622342826</v>
      </c>
    </row>
    <row r="2532" spans="1:9" x14ac:dyDescent="0.3">
      <c r="A2532" t="s">
        <v>44</v>
      </c>
      <c r="B2532">
        <v>2020</v>
      </c>
      <c r="C2532">
        <v>4</v>
      </c>
      <c r="D2532" t="s">
        <v>11</v>
      </c>
      <c r="E2532">
        <v>143897953</v>
      </c>
      <c r="F2532" s="6">
        <v>81725950703.212723</v>
      </c>
      <c r="G2532" s="5">
        <v>175205767</v>
      </c>
      <c r="H2532">
        <v>8410756585</v>
      </c>
      <c r="I2532" s="1">
        <v>466.45696715686717</v>
      </c>
    </row>
    <row r="2533" spans="1:9" x14ac:dyDescent="0.3">
      <c r="A2533" t="s">
        <v>44</v>
      </c>
      <c r="B2533">
        <v>2020</v>
      </c>
      <c r="C2533">
        <v>4</v>
      </c>
      <c r="D2533" t="s">
        <v>9</v>
      </c>
      <c r="E2533">
        <v>38174710</v>
      </c>
      <c r="F2533" s="6">
        <v>22006183348.803982</v>
      </c>
      <c r="G2533" s="5">
        <v>175205767</v>
      </c>
      <c r="H2533">
        <v>8410756585</v>
      </c>
      <c r="I2533" s="1">
        <v>125.6019349454632</v>
      </c>
    </row>
    <row r="2534" spans="1:9" x14ac:dyDescent="0.3">
      <c r="A2534" t="s">
        <v>44</v>
      </c>
      <c r="B2534">
        <v>2020</v>
      </c>
      <c r="C2534">
        <v>4</v>
      </c>
      <c r="D2534" t="s">
        <v>12</v>
      </c>
      <c r="E2534">
        <v>230134</v>
      </c>
      <c r="F2534" s="6">
        <v>275357720.01805824</v>
      </c>
      <c r="G2534" s="5">
        <v>175205767</v>
      </c>
      <c r="H2534">
        <v>8410756585</v>
      </c>
      <c r="I2534" s="1">
        <v>1.5716247514732677</v>
      </c>
    </row>
    <row r="2535" spans="1:9" x14ac:dyDescent="0.3">
      <c r="A2535" t="s">
        <v>44</v>
      </c>
      <c r="B2535">
        <v>2020</v>
      </c>
      <c r="C2535">
        <v>4</v>
      </c>
      <c r="D2535" t="s">
        <v>13</v>
      </c>
      <c r="E2535">
        <v>733503</v>
      </c>
      <c r="F2535" s="6">
        <v>366346176.40682477</v>
      </c>
      <c r="G2535" s="5">
        <v>175205767</v>
      </c>
      <c r="H2535">
        <v>8410756585</v>
      </c>
      <c r="I2535" s="1">
        <v>2.0909481615797771</v>
      </c>
    </row>
    <row r="2536" spans="1:9" x14ac:dyDescent="0.3">
      <c r="A2536" t="s">
        <v>44</v>
      </c>
      <c r="B2536">
        <v>2021</v>
      </c>
      <c r="C2536">
        <v>1</v>
      </c>
      <c r="D2536" t="s">
        <v>11</v>
      </c>
      <c r="E2536">
        <v>185230619</v>
      </c>
      <c r="F2536" s="6">
        <v>95927278280.53006</v>
      </c>
      <c r="G2536" s="5">
        <v>188639759</v>
      </c>
      <c r="H2536">
        <v>10120440462</v>
      </c>
      <c r="I2536" s="1">
        <v>508.52099678801039</v>
      </c>
    </row>
    <row r="2537" spans="1:9" x14ac:dyDescent="0.3">
      <c r="A2537" t="s">
        <v>44</v>
      </c>
      <c r="B2537">
        <v>2021</v>
      </c>
      <c r="C2537">
        <v>1</v>
      </c>
      <c r="D2537" t="s">
        <v>10</v>
      </c>
      <c r="E2537">
        <v>179738195</v>
      </c>
      <c r="F2537" s="6">
        <v>676276353116.84192</v>
      </c>
      <c r="G2537" s="5">
        <v>188639759</v>
      </c>
      <c r="H2537">
        <v>10120440462</v>
      </c>
      <c r="I2537" s="1">
        <v>3585.0149337650601</v>
      </c>
    </row>
    <row r="2538" spans="1:9" x14ac:dyDescent="0.3">
      <c r="A2538" t="s">
        <v>44</v>
      </c>
      <c r="B2538">
        <v>2021</v>
      </c>
      <c r="C2538">
        <v>1</v>
      </c>
      <c r="D2538" t="s">
        <v>9</v>
      </c>
      <c r="E2538">
        <v>46371555</v>
      </c>
      <c r="F2538" s="6">
        <v>26447601338.533459</v>
      </c>
      <c r="G2538" s="5">
        <v>188639759</v>
      </c>
      <c r="H2538">
        <v>10120440462</v>
      </c>
      <c r="I2538" s="1">
        <v>140.20162811241431</v>
      </c>
    </row>
    <row r="2539" spans="1:9" x14ac:dyDescent="0.3">
      <c r="A2539" t="s">
        <v>44</v>
      </c>
      <c r="B2539">
        <v>2021</v>
      </c>
      <c r="C2539">
        <v>1</v>
      </c>
      <c r="D2539" t="s">
        <v>12</v>
      </c>
      <c r="E2539">
        <v>262473</v>
      </c>
      <c r="F2539" s="6">
        <v>320153410.17969453</v>
      </c>
      <c r="G2539" s="5">
        <v>188639759</v>
      </c>
      <c r="H2539">
        <v>10120440462</v>
      </c>
      <c r="I2539" s="1">
        <v>1.6971682527419605</v>
      </c>
    </row>
    <row r="2540" spans="1:9" x14ac:dyDescent="0.3">
      <c r="A2540" t="s">
        <v>44</v>
      </c>
      <c r="B2540">
        <v>2021</v>
      </c>
      <c r="C2540">
        <v>1</v>
      </c>
      <c r="D2540" t="s">
        <v>13</v>
      </c>
      <c r="E2540">
        <v>969268</v>
      </c>
      <c r="F2540" s="6">
        <v>387877900.50448668</v>
      </c>
      <c r="G2540" s="5">
        <v>188639759</v>
      </c>
      <c r="H2540">
        <v>10120440462</v>
      </c>
      <c r="I2540" s="1">
        <v>2.0561831851390706</v>
      </c>
    </row>
    <row r="2541" spans="1:9" x14ac:dyDescent="0.3">
      <c r="A2541" t="s">
        <v>44</v>
      </c>
      <c r="B2541">
        <v>2021</v>
      </c>
      <c r="C2541">
        <v>2</v>
      </c>
      <c r="D2541" t="s">
        <v>10</v>
      </c>
      <c r="E2541">
        <v>230861833</v>
      </c>
      <c r="F2541" s="6">
        <v>872151973637.88501</v>
      </c>
      <c r="G2541" s="5">
        <v>201375680</v>
      </c>
      <c r="H2541">
        <v>9958494612</v>
      </c>
      <c r="I2541" s="1">
        <v>4330.9697260259281</v>
      </c>
    </row>
    <row r="2542" spans="1:9" x14ac:dyDescent="0.3">
      <c r="A2542" t="s">
        <v>44</v>
      </c>
      <c r="B2542">
        <v>2021</v>
      </c>
      <c r="C2542">
        <v>2</v>
      </c>
      <c r="D2542" t="s">
        <v>11</v>
      </c>
      <c r="E2542">
        <v>205232899</v>
      </c>
      <c r="F2542" s="6">
        <v>123207789311.2962</v>
      </c>
      <c r="G2542" s="5">
        <v>201375680</v>
      </c>
      <c r="H2542">
        <v>9958494612</v>
      </c>
      <c r="I2542" s="1">
        <v>611.8305314290991</v>
      </c>
    </row>
    <row r="2543" spans="1:9" x14ac:dyDescent="0.3">
      <c r="A2543" t="s">
        <v>44</v>
      </c>
      <c r="B2543">
        <v>2021</v>
      </c>
      <c r="C2543">
        <v>2</v>
      </c>
      <c r="D2543" t="s">
        <v>9</v>
      </c>
      <c r="E2543">
        <v>58637866</v>
      </c>
      <c r="F2543" s="6">
        <v>31877277168.343227</v>
      </c>
      <c r="G2543" s="5">
        <v>201375680</v>
      </c>
      <c r="H2543">
        <v>9958494612</v>
      </c>
      <c r="I2543" s="1">
        <v>158.29755196031232</v>
      </c>
    </row>
    <row r="2544" spans="1:9" x14ac:dyDescent="0.3">
      <c r="A2544" t="s">
        <v>44</v>
      </c>
      <c r="B2544">
        <v>2021</v>
      </c>
      <c r="C2544">
        <v>2</v>
      </c>
      <c r="D2544" t="s">
        <v>12</v>
      </c>
      <c r="E2544">
        <v>278546</v>
      </c>
      <c r="F2544" s="6">
        <v>300569264.14438879</v>
      </c>
      <c r="G2544" s="5">
        <v>201375680</v>
      </c>
      <c r="H2544">
        <v>9958494612</v>
      </c>
      <c r="I2544" s="1">
        <v>1.4925797601000717</v>
      </c>
    </row>
    <row r="2545" spans="1:9" x14ac:dyDescent="0.3">
      <c r="A2545" t="s">
        <v>44</v>
      </c>
      <c r="B2545">
        <v>2021</v>
      </c>
      <c r="C2545">
        <v>2</v>
      </c>
      <c r="D2545" t="s">
        <v>13</v>
      </c>
      <c r="E2545">
        <v>856400</v>
      </c>
      <c r="F2545" s="6">
        <v>420723415.91505665</v>
      </c>
      <c r="G2545" s="5">
        <v>201375680</v>
      </c>
      <c r="H2545">
        <v>9958494612</v>
      </c>
      <c r="I2545" s="1">
        <v>2.0892464070887637</v>
      </c>
    </row>
    <row r="2546" spans="1:9" x14ac:dyDescent="0.3">
      <c r="A2546" t="s">
        <v>44</v>
      </c>
      <c r="B2546">
        <v>2021</v>
      </c>
      <c r="C2546">
        <v>3</v>
      </c>
      <c r="D2546" t="s">
        <v>11</v>
      </c>
      <c r="E2546">
        <v>286735350</v>
      </c>
      <c r="F2546" s="6">
        <v>159227310549.39368</v>
      </c>
      <c r="G2546" s="5">
        <v>215768058</v>
      </c>
      <c r="H2546">
        <v>12182821167</v>
      </c>
      <c r="I2546" s="1">
        <v>737.95589590649081</v>
      </c>
    </row>
    <row r="2547" spans="1:9" x14ac:dyDescent="0.3">
      <c r="A2547" t="s">
        <v>44</v>
      </c>
      <c r="B2547">
        <v>2021</v>
      </c>
      <c r="C2547">
        <v>3</v>
      </c>
      <c r="D2547" t="s">
        <v>10</v>
      </c>
      <c r="E2547">
        <v>271436926</v>
      </c>
      <c r="F2547" s="6">
        <v>981754679241.04053</v>
      </c>
      <c r="G2547" s="5">
        <v>215768058</v>
      </c>
      <c r="H2547">
        <v>12182821167</v>
      </c>
      <c r="I2547" s="1">
        <v>4550.046417162639</v>
      </c>
    </row>
    <row r="2548" spans="1:9" x14ac:dyDescent="0.3">
      <c r="A2548" t="s">
        <v>44</v>
      </c>
      <c r="B2548">
        <v>2021</v>
      </c>
      <c r="C2548">
        <v>3</v>
      </c>
      <c r="D2548" t="s">
        <v>9</v>
      </c>
      <c r="E2548">
        <v>62744121</v>
      </c>
      <c r="F2548" s="6">
        <v>36434881136.016243</v>
      </c>
      <c r="G2548" s="5">
        <v>215768058</v>
      </c>
      <c r="H2548">
        <v>12182821167</v>
      </c>
      <c r="I2548" s="1">
        <v>168.86132949306261</v>
      </c>
    </row>
    <row r="2549" spans="1:9" x14ac:dyDescent="0.3">
      <c r="A2549" t="s">
        <v>44</v>
      </c>
      <c r="B2549">
        <v>2021</v>
      </c>
      <c r="C2549">
        <v>3</v>
      </c>
      <c r="D2549" t="s">
        <v>12</v>
      </c>
      <c r="E2549">
        <v>235519</v>
      </c>
      <c r="F2549" s="6">
        <v>329138539.46121418</v>
      </c>
      <c r="G2549" s="5">
        <v>215768058</v>
      </c>
      <c r="H2549">
        <v>12182821167</v>
      </c>
      <c r="I2549" s="1">
        <v>1.5254275471173504</v>
      </c>
    </row>
    <row r="2550" spans="1:9" x14ac:dyDescent="0.3">
      <c r="A2550" t="s">
        <v>44</v>
      </c>
      <c r="B2550">
        <v>2021</v>
      </c>
      <c r="C2550">
        <v>3</v>
      </c>
      <c r="D2550" t="s">
        <v>13</v>
      </c>
      <c r="E2550">
        <v>1734852</v>
      </c>
      <c r="F2550" s="6">
        <v>543116826.34221911</v>
      </c>
      <c r="G2550" s="5">
        <v>215768058</v>
      </c>
      <c r="H2550">
        <v>12182821167</v>
      </c>
      <c r="I2550" s="1">
        <v>2.5171326626215409</v>
      </c>
    </row>
    <row r="2551" spans="1:9" x14ac:dyDescent="0.3">
      <c r="A2551" t="s">
        <v>44</v>
      </c>
      <c r="B2551">
        <v>2021</v>
      </c>
      <c r="C2551">
        <v>4</v>
      </c>
      <c r="D2551" t="s">
        <v>11</v>
      </c>
      <c r="E2551">
        <v>376584215</v>
      </c>
      <c r="F2551" s="6">
        <v>212974766412.01556</v>
      </c>
      <c r="G2551" s="5">
        <v>230094139</v>
      </c>
      <c r="H2551">
        <v>15483593312</v>
      </c>
      <c r="I2551" s="1">
        <v>925.59839784539474</v>
      </c>
    </row>
    <row r="2552" spans="1:9" x14ac:dyDescent="0.3">
      <c r="A2552" t="s">
        <v>44</v>
      </c>
      <c r="B2552">
        <v>2021</v>
      </c>
      <c r="C2552">
        <v>4</v>
      </c>
      <c r="D2552" t="s">
        <v>10</v>
      </c>
      <c r="E2552">
        <v>331774591</v>
      </c>
      <c r="F2552" s="6">
        <v>1204991223519.0161</v>
      </c>
      <c r="G2552" s="5">
        <v>230094139</v>
      </c>
      <c r="H2552">
        <v>15483593312</v>
      </c>
      <c r="I2552" s="1">
        <v>5236.9487930286487</v>
      </c>
    </row>
    <row r="2553" spans="1:9" x14ac:dyDescent="0.3">
      <c r="A2553" t="s">
        <v>44</v>
      </c>
      <c r="B2553">
        <v>2021</v>
      </c>
      <c r="C2553">
        <v>4</v>
      </c>
      <c r="D2553" t="s">
        <v>9</v>
      </c>
      <c r="E2553">
        <v>66477036</v>
      </c>
      <c r="F2553" s="6">
        <v>44760398983.307892</v>
      </c>
      <c r="G2553" s="5">
        <v>230094139</v>
      </c>
      <c r="H2553">
        <v>15483593312</v>
      </c>
      <c r="I2553" s="1">
        <v>194.53080890212459</v>
      </c>
    </row>
    <row r="2554" spans="1:9" x14ac:dyDescent="0.3">
      <c r="A2554" t="s">
        <v>44</v>
      </c>
      <c r="B2554">
        <v>2021</v>
      </c>
      <c r="C2554">
        <v>4</v>
      </c>
      <c r="D2554" t="s">
        <v>12</v>
      </c>
      <c r="E2554">
        <v>298871</v>
      </c>
      <c r="F2554" s="6">
        <v>392141743.67056632</v>
      </c>
      <c r="G2554" s="5">
        <v>230094139</v>
      </c>
      <c r="H2554">
        <v>15483593312</v>
      </c>
      <c r="I2554" s="1">
        <v>1.7042665466179749</v>
      </c>
    </row>
    <row r="2555" spans="1:9" x14ac:dyDescent="0.3">
      <c r="A2555" t="s">
        <v>44</v>
      </c>
      <c r="B2555">
        <v>2021</v>
      </c>
      <c r="C2555">
        <v>4</v>
      </c>
      <c r="D2555" t="s">
        <v>13</v>
      </c>
      <c r="E2555">
        <v>855060</v>
      </c>
      <c r="F2555" s="6">
        <v>639658842.8998816</v>
      </c>
      <c r="G2555" s="5">
        <v>230094139</v>
      </c>
      <c r="H2555">
        <v>15483593312</v>
      </c>
      <c r="I2555" s="1">
        <v>2.7799875550062647</v>
      </c>
    </row>
    <row r="2556" spans="1:9" x14ac:dyDescent="0.3">
      <c r="A2556" t="s">
        <v>45</v>
      </c>
      <c r="B2556">
        <v>2018</v>
      </c>
      <c r="C2556">
        <v>1</v>
      </c>
      <c r="D2556" t="s">
        <v>9</v>
      </c>
      <c r="E2556">
        <v>86819</v>
      </c>
      <c r="F2556" s="6">
        <v>14079439.569905948</v>
      </c>
      <c r="G2556" s="5">
        <v>606727</v>
      </c>
      <c r="H2556">
        <v>0</v>
      </c>
      <c r="I2556" s="1">
        <v>23.205559617267646</v>
      </c>
    </row>
    <row r="2557" spans="1:9" x14ac:dyDescent="0.3">
      <c r="A2557" t="s">
        <v>45</v>
      </c>
      <c r="B2557">
        <v>2018</v>
      </c>
      <c r="C2557">
        <v>1</v>
      </c>
      <c r="D2557" t="s">
        <v>10</v>
      </c>
      <c r="E2557">
        <v>44844</v>
      </c>
      <c r="F2557" s="6">
        <v>112229994.97675678</v>
      </c>
      <c r="G2557" s="5">
        <v>606727</v>
      </c>
      <c r="H2557">
        <v>0</v>
      </c>
      <c r="I2557" s="1">
        <v>184.97610123953078</v>
      </c>
    </row>
    <row r="2558" spans="1:9" x14ac:dyDescent="0.3">
      <c r="A2558" t="s">
        <v>45</v>
      </c>
      <c r="B2558">
        <v>2018</v>
      </c>
      <c r="C2558">
        <v>1</v>
      </c>
      <c r="D2558" t="s">
        <v>12</v>
      </c>
      <c r="E2558">
        <v>4842</v>
      </c>
      <c r="F2558" s="6">
        <v>672247.58817101549</v>
      </c>
      <c r="G2558" s="5">
        <v>606727</v>
      </c>
      <c r="H2558">
        <v>0</v>
      </c>
      <c r="I2558" s="1">
        <v>1.1079902298249715</v>
      </c>
    </row>
    <row r="2559" spans="1:9" x14ac:dyDescent="0.3">
      <c r="A2559" t="s">
        <v>45</v>
      </c>
      <c r="B2559">
        <v>2018</v>
      </c>
      <c r="C2559">
        <v>1</v>
      </c>
      <c r="D2559" t="s">
        <v>11</v>
      </c>
      <c r="E2559">
        <v>4833</v>
      </c>
      <c r="F2559" s="6">
        <v>6080959.8828360857</v>
      </c>
      <c r="G2559" s="5">
        <v>606727</v>
      </c>
      <c r="H2559">
        <v>0</v>
      </c>
      <c r="I2559" s="1">
        <v>10.022563496986431</v>
      </c>
    </row>
    <row r="2560" spans="1:9" x14ac:dyDescent="0.3">
      <c r="A2560" t="s">
        <v>45</v>
      </c>
      <c r="B2560">
        <v>2018</v>
      </c>
      <c r="C2560">
        <v>1</v>
      </c>
      <c r="D2560" t="s">
        <v>13</v>
      </c>
      <c r="E2560">
        <v>6819</v>
      </c>
      <c r="F2560" s="6">
        <v>4916272.512952799</v>
      </c>
      <c r="G2560" s="5">
        <v>606727</v>
      </c>
      <c r="H2560">
        <v>0</v>
      </c>
      <c r="I2560" s="1">
        <v>8.1029400586306508</v>
      </c>
    </row>
    <row r="2561" spans="1:9" x14ac:dyDescent="0.3">
      <c r="A2561" t="s">
        <v>45</v>
      </c>
      <c r="B2561">
        <v>2018</v>
      </c>
      <c r="C2561">
        <v>2</v>
      </c>
      <c r="D2561" t="s">
        <v>9</v>
      </c>
      <c r="E2561">
        <v>118171</v>
      </c>
      <c r="F2561" s="6">
        <v>22554398.152730349</v>
      </c>
      <c r="G2561" s="5">
        <v>917059</v>
      </c>
      <c r="H2561">
        <v>0</v>
      </c>
      <c r="I2561" s="1">
        <v>24.594271636536309</v>
      </c>
    </row>
    <row r="2562" spans="1:9" x14ac:dyDescent="0.3">
      <c r="A2562" t="s">
        <v>45</v>
      </c>
      <c r="B2562">
        <v>2018</v>
      </c>
      <c r="C2562">
        <v>2</v>
      </c>
      <c r="D2562" t="s">
        <v>10</v>
      </c>
      <c r="E2562">
        <v>73821</v>
      </c>
      <c r="F2562" s="6">
        <v>197666881.87296879</v>
      </c>
      <c r="G2562" s="5">
        <v>917059</v>
      </c>
      <c r="H2562">
        <v>0</v>
      </c>
      <c r="I2562" s="1">
        <v>215.54434542703228</v>
      </c>
    </row>
    <row r="2563" spans="1:9" x14ac:dyDescent="0.3">
      <c r="A2563" t="s">
        <v>45</v>
      </c>
      <c r="B2563">
        <v>2018</v>
      </c>
      <c r="C2563">
        <v>2</v>
      </c>
      <c r="D2563" t="s">
        <v>11</v>
      </c>
      <c r="E2563">
        <v>9621</v>
      </c>
      <c r="F2563" s="6">
        <v>10570951.151568789</v>
      </c>
      <c r="G2563" s="5">
        <v>917059</v>
      </c>
      <c r="H2563">
        <v>0</v>
      </c>
      <c r="I2563" s="1">
        <v>11.527013149174469</v>
      </c>
    </row>
    <row r="2564" spans="1:9" x14ac:dyDescent="0.3">
      <c r="A2564" t="s">
        <v>45</v>
      </c>
      <c r="B2564">
        <v>2018</v>
      </c>
      <c r="C2564">
        <v>2</v>
      </c>
      <c r="D2564" t="s">
        <v>12</v>
      </c>
      <c r="E2564">
        <v>6925</v>
      </c>
      <c r="F2564" s="6">
        <v>1264101.9048103681</v>
      </c>
      <c r="G2564" s="5">
        <v>917059</v>
      </c>
      <c r="H2564">
        <v>0</v>
      </c>
      <c r="I2564" s="1">
        <v>1.378430291628312</v>
      </c>
    </row>
    <row r="2565" spans="1:9" x14ac:dyDescent="0.3">
      <c r="A2565" t="s">
        <v>45</v>
      </c>
      <c r="B2565">
        <v>2018</v>
      </c>
      <c r="C2565">
        <v>2</v>
      </c>
      <c r="D2565" t="s">
        <v>13</v>
      </c>
      <c r="E2565">
        <v>6021</v>
      </c>
      <c r="F2565" s="6">
        <v>4835385.6340576364</v>
      </c>
      <c r="G2565" s="5">
        <v>917059</v>
      </c>
      <c r="H2565">
        <v>0</v>
      </c>
      <c r="I2565" s="1">
        <v>5.2727094266101053</v>
      </c>
    </row>
    <row r="2566" spans="1:9" x14ac:dyDescent="0.3">
      <c r="A2566" t="s">
        <v>45</v>
      </c>
      <c r="B2566">
        <v>2018</v>
      </c>
      <c r="C2566">
        <v>3</v>
      </c>
      <c r="D2566" t="s">
        <v>10</v>
      </c>
      <c r="E2566">
        <v>186065</v>
      </c>
      <c r="F2566" s="6">
        <v>398867427.32463384</v>
      </c>
      <c r="G2566" s="5">
        <v>1285614</v>
      </c>
      <c r="H2566">
        <v>0</v>
      </c>
      <c r="I2566" s="1">
        <v>310.25442109733859</v>
      </c>
    </row>
    <row r="2567" spans="1:9" x14ac:dyDescent="0.3">
      <c r="A2567" t="s">
        <v>45</v>
      </c>
      <c r="B2567">
        <v>2018</v>
      </c>
      <c r="C2567">
        <v>3</v>
      </c>
      <c r="D2567" t="s">
        <v>9</v>
      </c>
      <c r="E2567">
        <v>156308</v>
      </c>
      <c r="F2567" s="6">
        <v>33484811.212822821</v>
      </c>
      <c r="G2567" s="5">
        <v>1285614</v>
      </c>
      <c r="H2567">
        <v>0</v>
      </c>
      <c r="I2567" s="1">
        <v>26.045773624760482</v>
      </c>
    </row>
    <row r="2568" spans="1:9" x14ac:dyDescent="0.3">
      <c r="A2568" t="s">
        <v>45</v>
      </c>
      <c r="B2568">
        <v>2018</v>
      </c>
      <c r="C2568">
        <v>3</v>
      </c>
      <c r="D2568" t="s">
        <v>11</v>
      </c>
      <c r="E2568">
        <v>21476</v>
      </c>
      <c r="F2568" s="6">
        <v>16092396.411133939</v>
      </c>
      <c r="G2568" s="5">
        <v>1285614</v>
      </c>
      <c r="H2568">
        <v>0</v>
      </c>
      <c r="I2568" s="1">
        <v>12.517284667974943</v>
      </c>
    </row>
    <row r="2569" spans="1:9" x14ac:dyDescent="0.3">
      <c r="A2569" t="s">
        <v>45</v>
      </c>
      <c r="B2569">
        <v>2018</v>
      </c>
      <c r="C2569">
        <v>3</v>
      </c>
      <c r="D2569" t="s">
        <v>12</v>
      </c>
      <c r="E2569">
        <v>8106</v>
      </c>
      <c r="F2569" s="6">
        <v>1080000.0112896338</v>
      </c>
      <c r="G2569" s="5">
        <v>1285614</v>
      </c>
      <c r="H2569">
        <v>0</v>
      </c>
      <c r="I2569" s="1">
        <v>0.84006553389246996</v>
      </c>
    </row>
    <row r="2570" spans="1:9" x14ac:dyDescent="0.3">
      <c r="A2570" t="s">
        <v>45</v>
      </c>
      <c r="B2570">
        <v>2018</v>
      </c>
      <c r="C2570">
        <v>3</v>
      </c>
      <c r="D2570" t="s">
        <v>13</v>
      </c>
      <c r="E2570">
        <v>5748</v>
      </c>
      <c r="F2570" s="6">
        <v>4338753.080712541</v>
      </c>
      <c r="G2570" s="5">
        <v>1285614</v>
      </c>
      <c r="H2570">
        <v>0</v>
      </c>
      <c r="I2570" s="1">
        <v>3.3748489676625653</v>
      </c>
    </row>
    <row r="2571" spans="1:9" x14ac:dyDescent="0.3">
      <c r="A2571" t="s">
        <v>45</v>
      </c>
      <c r="B2571">
        <v>2018</v>
      </c>
      <c r="C2571">
        <v>4</v>
      </c>
      <c r="D2571" t="s">
        <v>9</v>
      </c>
      <c r="E2571">
        <v>204720</v>
      </c>
      <c r="F2571" s="6">
        <v>38334816.663799264</v>
      </c>
      <c r="G2571" s="5">
        <v>1685915</v>
      </c>
      <c r="H2571">
        <v>0</v>
      </c>
      <c r="I2571" s="1">
        <v>22.738285538594333</v>
      </c>
    </row>
    <row r="2572" spans="1:9" x14ac:dyDescent="0.3">
      <c r="A2572" t="s">
        <v>45</v>
      </c>
      <c r="B2572">
        <v>2018</v>
      </c>
      <c r="C2572">
        <v>4</v>
      </c>
      <c r="D2572" t="s">
        <v>10</v>
      </c>
      <c r="E2572">
        <v>179739</v>
      </c>
      <c r="F2572" s="6">
        <v>549068822.37296832</v>
      </c>
      <c r="G2572" s="5">
        <v>1685915</v>
      </c>
      <c r="H2572">
        <v>0</v>
      </c>
      <c r="I2572" s="1">
        <v>325.68001493133897</v>
      </c>
    </row>
    <row r="2573" spans="1:9" x14ac:dyDescent="0.3">
      <c r="A2573" t="s">
        <v>45</v>
      </c>
      <c r="B2573">
        <v>2018</v>
      </c>
      <c r="C2573">
        <v>4</v>
      </c>
      <c r="D2573" t="s">
        <v>11</v>
      </c>
      <c r="E2573">
        <v>50888</v>
      </c>
      <c r="F2573" s="6">
        <v>31066467.633390322</v>
      </c>
      <c r="G2573" s="5">
        <v>1685915</v>
      </c>
      <c r="H2573">
        <v>0</v>
      </c>
      <c r="I2573" s="1">
        <v>18.427066390292701</v>
      </c>
    </row>
    <row r="2574" spans="1:9" x14ac:dyDescent="0.3">
      <c r="A2574" t="s">
        <v>45</v>
      </c>
      <c r="B2574">
        <v>2018</v>
      </c>
      <c r="C2574">
        <v>4</v>
      </c>
      <c r="D2574" t="s">
        <v>12</v>
      </c>
      <c r="E2574">
        <v>6441</v>
      </c>
      <c r="F2574" s="6">
        <v>1023126.8205747404</v>
      </c>
      <c r="G2574" s="5">
        <v>1685915</v>
      </c>
      <c r="H2574">
        <v>0</v>
      </c>
      <c r="I2574" s="1">
        <v>0.60686738096211279</v>
      </c>
    </row>
    <row r="2575" spans="1:9" x14ac:dyDescent="0.3">
      <c r="A2575" t="s">
        <v>45</v>
      </c>
      <c r="B2575">
        <v>2018</v>
      </c>
      <c r="C2575">
        <v>4</v>
      </c>
      <c r="D2575" t="s">
        <v>13</v>
      </c>
      <c r="E2575">
        <v>6271</v>
      </c>
      <c r="F2575" s="6">
        <v>5392365.9737139884</v>
      </c>
      <c r="G2575" s="5">
        <v>1685915</v>
      </c>
      <c r="H2575">
        <v>0</v>
      </c>
      <c r="I2575" s="1">
        <v>3.1984803348413107</v>
      </c>
    </row>
    <row r="2576" spans="1:9" x14ac:dyDescent="0.3">
      <c r="A2576" t="s">
        <v>45</v>
      </c>
      <c r="B2576">
        <v>2019</v>
      </c>
      <c r="C2576">
        <v>1</v>
      </c>
      <c r="D2576" t="s">
        <v>10</v>
      </c>
      <c r="E2576">
        <v>296993</v>
      </c>
      <c r="F2576" s="6">
        <v>679165332.81238985</v>
      </c>
      <c r="G2576" s="5">
        <v>2015794</v>
      </c>
      <c r="H2576">
        <v>0</v>
      </c>
      <c r="I2576" s="1">
        <v>336.92199342412459</v>
      </c>
    </row>
    <row r="2577" spans="1:9" x14ac:dyDescent="0.3">
      <c r="A2577" t="s">
        <v>45</v>
      </c>
      <c r="B2577">
        <v>2019</v>
      </c>
      <c r="C2577">
        <v>1</v>
      </c>
      <c r="D2577" t="s">
        <v>9</v>
      </c>
      <c r="E2577">
        <v>227997</v>
      </c>
      <c r="F2577" s="6">
        <v>44429378.422779262</v>
      </c>
      <c r="G2577" s="5">
        <v>2015794</v>
      </c>
      <c r="H2577">
        <v>0</v>
      </c>
      <c r="I2577" s="1">
        <v>22.040634322147632</v>
      </c>
    </row>
    <row r="2578" spans="1:9" x14ac:dyDescent="0.3">
      <c r="A2578" t="s">
        <v>45</v>
      </c>
      <c r="B2578">
        <v>2019</v>
      </c>
      <c r="C2578">
        <v>1</v>
      </c>
      <c r="D2578" t="s">
        <v>11</v>
      </c>
      <c r="E2578">
        <v>46642</v>
      </c>
      <c r="F2578" s="6">
        <v>28109966.31994779</v>
      </c>
      <c r="G2578" s="5">
        <v>2015794</v>
      </c>
      <c r="H2578">
        <v>0</v>
      </c>
      <c r="I2578" s="1">
        <v>13.94486059584848</v>
      </c>
    </row>
    <row r="2579" spans="1:9" x14ac:dyDescent="0.3">
      <c r="A2579" t="s">
        <v>45</v>
      </c>
      <c r="B2579">
        <v>2019</v>
      </c>
      <c r="C2579">
        <v>1</v>
      </c>
      <c r="D2579" t="s">
        <v>12</v>
      </c>
      <c r="E2579">
        <v>4189</v>
      </c>
      <c r="F2579" s="6">
        <v>461473.58856435167</v>
      </c>
      <c r="G2579" s="5">
        <v>2015794</v>
      </c>
      <c r="H2579">
        <v>0</v>
      </c>
      <c r="I2579" s="1">
        <v>0.22892894242385464</v>
      </c>
    </row>
    <row r="2580" spans="1:9" x14ac:dyDescent="0.3">
      <c r="A2580" t="s">
        <v>45</v>
      </c>
      <c r="B2580">
        <v>2019</v>
      </c>
      <c r="C2580">
        <v>1</v>
      </c>
      <c r="D2580" t="s">
        <v>13</v>
      </c>
      <c r="E2580">
        <v>5105</v>
      </c>
      <c r="F2580" s="6">
        <v>4728790.4721388388</v>
      </c>
      <c r="G2580" s="5">
        <v>2015794</v>
      </c>
      <c r="H2580">
        <v>0</v>
      </c>
      <c r="I2580" s="1">
        <v>2.3458699014576085</v>
      </c>
    </row>
    <row r="2581" spans="1:9" x14ac:dyDescent="0.3">
      <c r="A2581" t="s">
        <v>45</v>
      </c>
      <c r="B2581">
        <v>2019</v>
      </c>
      <c r="C2581">
        <v>2</v>
      </c>
      <c r="D2581" t="s">
        <v>10</v>
      </c>
      <c r="E2581">
        <v>240776</v>
      </c>
      <c r="F2581" s="6">
        <v>751113516.22567546</v>
      </c>
      <c r="G2581" s="5">
        <v>2394084</v>
      </c>
      <c r="H2581">
        <v>10489897</v>
      </c>
      <c r="I2581" s="1">
        <v>313.73732760658169</v>
      </c>
    </row>
    <row r="2582" spans="1:9" x14ac:dyDescent="0.3">
      <c r="A2582" t="s">
        <v>45</v>
      </c>
      <c r="B2582">
        <v>2019</v>
      </c>
      <c r="C2582">
        <v>2</v>
      </c>
      <c r="D2582" t="s">
        <v>9</v>
      </c>
      <c r="E2582">
        <v>218649</v>
      </c>
      <c r="F2582" s="6">
        <v>48989430.60730426</v>
      </c>
      <c r="G2582" s="5">
        <v>2394084</v>
      </c>
      <c r="H2582">
        <v>10489897</v>
      </c>
      <c r="I2582" s="1">
        <v>20.462703316719153</v>
      </c>
    </row>
    <row r="2583" spans="1:9" x14ac:dyDescent="0.3">
      <c r="A2583" t="s">
        <v>45</v>
      </c>
      <c r="B2583">
        <v>2019</v>
      </c>
      <c r="C2583">
        <v>2</v>
      </c>
      <c r="D2583" t="s">
        <v>11</v>
      </c>
      <c r="E2583">
        <v>64829</v>
      </c>
      <c r="F2583" s="6">
        <v>35275706.828775018</v>
      </c>
      <c r="G2583" s="5">
        <v>2394084</v>
      </c>
      <c r="H2583">
        <v>10489897</v>
      </c>
      <c r="I2583" s="1">
        <v>14.734531799542129</v>
      </c>
    </row>
    <row r="2584" spans="1:9" x14ac:dyDescent="0.3">
      <c r="A2584" t="s">
        <v>45</v>
      </c>
      <c r="B2584">
        <v>2019</v>
      </c>
      <c r="C2584">
        <v>2</v>
      </c>
      <c r="D2584" t="s">
        <v>12</v>
      </c>
      <c r="E2584">
        <v>1899</v>
      </c>
      <c r="F2584" s="6">
        <v>339184.33447052969</v>
      </c>
      <c r="G2584" s="5">
        <v>2394084</v>
      </c>
      <c r="H2584">
        <v>10489897</v>
      </c>
      <c r="I2584" s="1">
        <v>0.14167603746173055</v>
      </c>
    </row>
    <row r="2585" spans="1:9" x14ac:dyDescent="0.3">
      <c r="A2585" t="s">
        <v>45</v>
      </c>
      <c r="B2585">
        <v>2019</v>
      </c>
      <c r="C2585">
        <v>2</v>
      </c>
      <c r="D2585" t="s">
        <v>13</v>
      </c>
      <c r="E2585">
        <v>6405</v>
      </c>
      <c r="F2585" s="6">
        <v>6103644.8511518892</v>
      </c>
      <c r="G2585" s="5">
        <v>2394084</v>
      </c>
      <c r="H2585">
        <v>10489897</v>
      </c>
      <c r="I2585" s="1">
        <v>2.5494697976979461</v>
      </c>
    </row>
    <row r="2586" spans="1:9" x14ac:dyDescent="0.3">
      <c r="A2586" t="s">
        <v>45</v>
      </c>
      <c r="B2586">
        <v>2019</v>
      </c>
      <c r="C2586">
        <v>3</v>
      </c>
      <c r="D2586" t="s">
        <v>9</v>
      </c>
      <c r="E2586">
        <v>339539</v>
      </c>
      <c r="F2586" s="6">
        <v>81845425.354251415</v>
      </c>
      <c r="G2586" s="5">
        <v>2700016</v>
      </c>
      <c r="H2586">
        <v>36860901</v>
      </c>
      <c r="I2586" s="1">
        <v>30.312940869332408</v>
      </c>
    </row>
    <row r="2587" spans="1:9" x14ac:dyDescent="0.3">
      <c r="A2587" t="s">
        <v>45</v>
      </c>
      <c r="B2587">
        <v>2019</v>
      </c>
      <c r="C2587">
        <v>3</v>
      </c>
      <c r="D2587" t="s">
        <v>10</v>
      </c>
      <c r="E2587">
        <v>270163</v>
      </c>
      <c r="F2587" s="6">
        <v>884623553.90113842</v>
      </c>
      <c r="G2587" s="5">
        <v>2700016</v>
      </c>
      <c r="H2587">
        <v>36860901</v>
      </c>
      <c r="I2587" s="1">
        <v>327.63641174761131</v>
      </c>
    </row>
    <row r="2588" spans="1:9" x14ac:dyDescent="0.3">
      <c r="A2588" t="s">
        <v>45</v>
      </c>
      <c r="B2588">
        <v>2019</v>
      </c>
      <c r="C2588">
        <v>3</v>
      </c>
      <c r="D2588" t="s">
        <v>11</v>
      </c>
      <c r="E2588">
        <v>68399</v>
      </c>
      <c r="F2588" s="6">
        <v>44802063.644304268</v>
      </c>
      <c r="G2588" s="5">
        <v>2700016</v>
      </c>
      <c r="H2588">
        <v>36860901</v>
      </c>
      <c r="I2588" s="1">
        <v>16.593258574876693</v>
      </c>
    </row>
    <row r="2589" spans="1:9" x14ac:dyDescent="0.3">
      <c r="A2589" t="s">
        <v>45</v>
      </c>
      <c r="B2589">
        <v>2019</v>
      </c>
      <c r="C2589">
        <v>3</v>
      </c>
      <c r="D2589" t="s">
        <v>12</v>
      </c>
      <c r="E2589">
        <v>27970</v>
      </c>
      <c r="F2589" s="6">
        <v>582020.99032085936</v>
      </c>
      <c r="G2589" s="5">
        <v>2700016</v>
      </c>
      <c r="H2589">
        <v>36860901</v>
      </c>
      <c r="I2589" s="1">
        <v>0.21556205234371181</v>
      </c>
    </row>
    <row r="2590" spans="1:9" x14ac:dyDescent="0.3">
      <c r="A2590" t="s">
        <v>45</v>
      </c>
      <c r="B2590">
        <v>2019</v>
      </c>
      <c r="C2590">
        <v>3</v>
      </c>
      <c r="D2590" t="s">
        <v>13</v>
      </c>
      <c r="E2590">
        <v>5646</v>
      </c>
      <c r="F2590" s="6">
        <v>5524358.9272096958</v>
      </c>
      <c r="G2590" s="5">
        <v>2700016</v>
      </c>
      <c r="H2590">
        <v>36860901</v>
      </c>
      <c r="I2590" s="1">
        <v>2.0460467372081115</v>
      </c>
    </row>
    <row r="2591" spans="1:9" x14ac:dyDescent="0.3">
      <c r="A2591" t="s">
        <v>45</v>
      </c>
      <c r="B2591">
        <v>2019</v>
      </c>
      <c r="C2591">
        <v>4</v>
      </c>
      <c r="D2591" t="s">
        <v>9</v>
      </c>
      <c r="E2591">
        <v>373779</v>
      </c>
      <c r="F2591" s="6">
        <v>88001651.28693296</v>
      </c>
      <c r="G2591" s="5">
        <v>2995278</v>
      </c>
      <c r="H2591">
        <v>39718877</v>
      </c>
      <c r="I2591" s="1">
        <v>29.380128083915068</v>
      </c>
    </row>
    <row r="2592" spans="1:9" x14ac:dyDescent="0.3">
      <c r="A2592" t="s">
        <v>45</v>
      </c>
      <c r="B2592">
        <v>2019</v>
      </c>
      <c r="C2592">
        <v>4</v>
      </c>
      <c r="D2592" t="s">
        <v>10</v>
      </c>
      <c r="E2592">
        <v>359076</v>
      </c>
      <c r="F2592" s="6">
        <v>1071507585.9983547</v>
      </c>
      <c r="G2592" s="5">
        <v>2995278</v>
      </c>
      <c r="H2592">
        <v>39718877</v>
      </c>
      <c r="I2592" s="1">
        <v>357.73226591934196</v>
      </c>
    </row>
    <row r="2593" spans="1:9" x14ac:dyDescent="0.3">
      <c r="A2593" t="s">
        <v>45</v>
      </c>
      <c r="B2593">
        <v>2019</v>
      </c>
      <c r="C2593">
        <v>4</v>
      </c>
      <c r="D2593" t="s">
        <v>11</v>
      </c>
      <c r="E2593">
        <v>62458</v>
      </c>
      <c r="F2593" s="6">
        <v>51274033.720727704</v>
      </c>
      <c r="G2593" s="5">
        <v>2995278</v>
      </c>
      <c r="H2593">
        <v>39718877</v>
      </c>
      <c r="I2593" s="1">
        <v>17.118288760084273</v>
      </c>
    </row>
    <row r="2594" spans="1:9" x14ac:dyDescent="0.3">
      <c r="A2594" t="s">
        <v>45</v>
      </c>
      <c r="B2594">
        <v>2019</v>
      </c>
      <c r="C2594">
        <v>4</v>
      </c>
      <c r="D2594" t="s">
        <v>12</v>
      </c>
      <c r="E2594">
        <v>2239</v>
      </c>
      <c r="F2594" s="6">
        <v>377097.66713108413</v>
      </c>
      <c r="G2594" s="5">
        <v>2995278</v>
      </c>
      <c r="H2594">
        <v>39718877</v>
      </c>
      <c r="I2594" s="1">
        <v>0.12589738486079893</v>
      </c>
    </row>
    <row r="2595" spans="1:9" x14ac:dyDescent="0.3">
      <c r="A2595" t="s">
        <v>45</v>
      </c>
      <c r="B2595">
        <v>2019</v>
      </c>
      <c r="C2595">
        <v>4</v>
      </c>
      <c r="D2595" t="s">
        <v>13</v>
      </c>
      <c r="E2595">
        <v>4272</v>
      </c>
      <c r="F2595" s="6">
        <v>4239791.585043055</v>
      </c>
      <c r="G2595" s="5">
        <v>2995278</v>
      </c>
      <c r="H2595">
        <v>39718877</v>
      </c>
      <c r="I2595" s="1">
        <v>1.4154918458463805</v>
      </c>
    </row>
    <row r="2596" spans="1:9" x14ac:dyDescent="0.3">
      <c r="A2596" t="s">
        <v>45</v>
      </c>
      <c r="B2596">
        <v>2020</v>
      </c>
      <c r="C2596">
        <v>1</v>
      </c>
      <c r="D2596" t="s">
        <v>9</v>
      </c>
      <c r="E2596">
        <v>449584</v>
      </c>
      <c r="F2596" s="6">
        <v>114355218.03514045</v>
      </c>
      <c r="G2596" s="5">
        <v>3299582</v>
      </c>
      <c r="H2596">
        <v>44695453</v>
      </c>
      <c r="I2596" s="1">
        <v>34.657486322552508</v>
      </c>
    </row>
    <row r="2597" spans="1:9" x14ac:dyDescent="0.3">
      <c r="A2597" t="s">
        <v>45</v>
      </c>
      <c r="B2597">
        <v>2020</v>
      </c>
      <c r="C2597">
        <v>1</v>
      </c>
      <c r="D2597" t="s">
        <v>10</v>
      </c>
      <c r="E2597">
        <v>366218</v>
      </c>
      <c r="F2597" s="6">
        <v>1400694933.5701571</v>
      </c>
      <c r="G2597" s="5">
        <v>3299582</v>
      </c>
      <c r="H2597">
        <v>44695453</v>
      </c>
      <c r="I2597" s="1">
        <v>424.50678103170554</v>
      </c>
    </row>
    <row r="2598" spans="1:9" x14ac:dyDescent="0.3">
      <c r="A2598" t="s">
        <v>45</v>
      </c>
      <c r="B2598">
        <v>2020</v>
      </c>
      <c r="C2598">
        <v>1</v>
      </c>
      <c r="D2598" t="s">
        <v>11</v>
      </c>
      <c r="E2598">
        <v>102861</v>
      </c>
      <c r="F2598" s="6">
        <v>68590603.637709796</v>
      </c>
      <c r="G2598" s="5">
        <v>3299582</v>
      </c>
      <c r="H2598">
        <v>44695453</v>
      </c>
      <c r="I2598" s="1">
        <v>20.787664509537812</v>
      </c>
    </row>
    <row r="2599" spans="1:9" x14ac:dyDescent="0.3">
      <c r="A2599" t="s">
        <v>45</v>
      </c>
      <c r="B2599">
        <v>2020</v>
      </c>
      <c r="C2599">
        <v>1</v>
      </c>
      <c r="D2599" t="s">
        <v>12</v>
      </c>
      <c r="E2599">
        <v>1722</v>
      </c>
      <c r="F2599" s="6">
        <v>1066651.5217219109</v>
      </c>
      <c r="G2599" s="5">
        <v>3299582</v>
      </c>
      <c r="H2599">
        <v>44695453</v>
      </c>
      <c r="I2599" s="1">
        <v>0.32326868122141256</v>
      </c>
    </row>
    <row r="2600" spans="1:9" x14ac:dyDescent="0.3">
      <c r="A2600" t="s">
        <v>45</v>
      </c>
      <c r="B2600">
        <v>2020</v>
      </c>
      <c r="C2600">
        <v>1</v>
      </c>
      <c r="D2600" t="s">
        <v>13</v>
      </c>
      <c r="E2600">
        <v>4117</v>
      </c>
      <c r="F2600" s="6">
        <v>4071399.6237732675</v>
      </c>
      <c r="G2600" s="5">
        <v>3299582</v>
      </c>
      <c r="H2600">
        <v>44695453</v>
      </c>
      <c r="I2600" s="1">
        <v>1.2339137574920906</v>
      </c>
    </row>
    <row r="2601" spans="1:9" x14ac:dyDescent="0.3">
      <c r="A2601" t="s">
        <v>45</v>
      </c>
      <c r="B2601">
        <v>2020</v>
      </c>
      <c r="C2601">
        <v>2</v>
      </c>
      <c r="D2601" t="s">
        <v>9</v>
      </c>
      <c r="E2601">
        <v>600206</v>
      </c>
      <c r="F2601" s="6">
        <v>163220166.76643574</v>
      </c>
      <c r="G2601" s="5">
        <v>3703326</v>
      </c>
      <c r="H2601">
        <v>48875431</v>
      </c>
      <c r="I2601" s="1">
        <v>44.073939687306961</v>
      </c>
    </row>
    <row r="2602" spans="1:9" x14ac:dyDescent="0.3">
      <c r="A2602" t="s">
        <v>45</v>
      </c>
      <c r="B2602">
        <v>2020</v>
      </c>
      <c r="C2602">
        <v>2</v>
      </c>
      <c r="D2602" t="s">
        <v>10</v>
      </c>
      <c r="E2602">
        <v>346863</v>
      </c>
      <c r="F2602" s="6">
        <v>1501452755.6890237</v>
      </c>
      <c r="G2602" s="5">
        <v>3703326</v>
      </c>
      <c r="H2602">
        <v>48875431</v>
      </c>
      <c r="I2602" s="1">
        <v>405.43359015356026</v>
      </c>
    </row>
    <row r="2603" spans="1:9" x14ac:dyDescent="0.3">
      <c r="A2603" t="s">
        <v>45</v>
      </c>
      <c r="B2603">
        <v>2020</v>
      </c>
      <c r="C2603">
        <v>2</v>
      </c>
      <c r="D2603" t="s">
        <v>11</v>
      </c>
      <c r="E2603">
        <v>97816</v>
      </c>
      <c r="F2603" s="6">
        <v>99795973.607940376</v>
      </c>
      <c r="G2603" s="5">
        <v>3703326</v>
      </c>
      <c r="H2603">
        <v>48875431</v>
      </c>
      <c r="I2603" s="1">
        <v>26.947660996612335</v>
      </c>
    </row>
    <row r="2604" spans="1:9" x14ac:dyDescent="0.3">
      <c r="A2604" t="s">
        <v>45</v>
      </c>
      <c r="B2604">
        <v>2020</v>
      </c>
      <c r="C2604">
        <v>2</v>
      </c>
      <c r="D2604" t="s">
        <v>12</v>
      </c>
      <c r="E2604">
        <v>2904</v>
      </c>
      <c r="F2604" s="6">
        <v>2247782.5219734698</v>
      </c>
      <c r="G2604" s="5">
        <v>3703326</v>
      </c>
      <c r="H2604">
        <v>48875431</v>
      </c>
      <c r="I2604" s="1">
        <v>0.60696317903783514</v>
      </c>
    </row>
    <row r="2605" spans="1:9" x14ac:dyDescent="0.3">
      <c r="A2605" t="s">
        <v>45</v>
      </c>
      <c r="B2605">
        <v>2020</v>
      </c>
      <c r="C2605">
        <v>2</v>
      </c>
      <c r="D2605" t="s">
        <v>13</v>
      </c>
      <c r="E2605">
        <v>4731</v>
      </c>
      <c r="F2605" s="6">
        <v>2459205.0005889931</v>
      </c>
      <c r="G2605" s="5">
        <v>3703326</v>
      </c>
      <c r="H2605">
        <v>48875431</v>
      </c>
      <c r="I2605" s="1">
        <v>0.66405307029113647</v>
      </c>
    </row>
    <row r="2606" spans="1:9" x14ac:dyDescent="0.3">
      <c r="A2606" t="s">
        <v>45</v>
      </c>
      <c r="B2606">
        <v>2020</v>
      </c>
      <c r="C2606">
        <v>3</v>
      </c>
      <c r="D2606" t="s">
        <v>9</v>
      </c>
      <c r="E2606">
        <v>627363</v>
      </c>
      <c r="F2606" s="6">
        <v>185201997.27960989</v>
      </c>
      <c r="G2606" s="5">
        <v>4144041</v>
      </c>
      <c r="H2606">
        <v>63556988</v>
      </c>
      <c r="I2606" s="1">
        <v>44.691159493742916</v>
      </c>
    </row>
    <row r="2607" spans="1:9" x14ac:dyDescent="0.3">
      <c r="A2607" t="s">
        <v>45</v>
      </c>
      <c r="B2607">
        <v>2020</v>
      </c>
      <c r="C2607">
        <v>3</v>
      </c>
      <c r="D2607" t="s">
        <v>10</v>
      </c>
      <c r="E2607">
        <v>477769</v>
      </c>
      <c r="F2607" s="6">
        <v>1959371082.9173033</v>
      </c>
      <c r="G2607" s="5">
        <v>4144041</v>
      </c>
      <c r="H2607">
        <v>63556988</v>
      </c>
      <c r="I2607" s="1">
        <v>472.81652930492322</v>
      </c>
    </row>
    <row r="2608" spans="1:9" x14ac:dyDescent="0.3">
      <c r="A2608" t="s">
        <v>45</v>
      </c>
      <c r="B2608">
        <v>2020</v>
      </c>
      <c r="C2608">
        <v>3</v>
      </c>
      <c r="D2608" t="s">
        <v>11</v>
      </c>
      <c r="E2608">
        <v>202106</v>
      </c>
      <c r="F2608" s="6">
        <v>190218136.28088409</v>
      </c>
      <c r="G2608" s="5">
        <v>4144041</v>
      </c>
      <c r="H2608">
        <v>63556988</v>
      </c>
      <c r="I2608" s="1">
        <v>45.901605771005663</v>
      </c>
    </row>
    <row r="2609" spans="1:9" x14ac:dyDescent="0.3">
      <c r="A2609" t="s">
        <v>45</v>
      </c>
      <c r="B2609">
        <v>2020</v>
      </c>
      <c r="C2609">
        <v>3</v>
      </c>
      <c r="D2609" t="s">
        <v>12</v>
      </c>
      <c r="E2609">
        <v>3828</v>
      </c>
      <c r="F2609" s="6">
        <v>3141391.5755430083</v>
      </c>
      <c r="G2609" s="5">
        <v>4144041</v>
      </c>
      <c r="H2609">
        <v>63556988</v>
      </c>
      <c r="I2609" s="1">
        <v>0.75805031261587619</v>
      </c>
    </row>
    <row r="2610" spans="1:9" x14ac:dyDescent="0.3">
      <c r="A2610" t="s">
        <v>45</v>
      </c>
      <c r="B2610">
        <v>2020</v>
      </c>
      <c r="C2610">
        <v>3</v>
      </c>
      <c r="D2610" t="s">
        <v>13</v>
      </c>
      <c r="E2610">
        <v>6819</v>
      </c>
      <c r="F2610" s="6">
        <v>3886908.1625436572</v>
      </c>
      <c r="G2610" s="5">
        <v>4144041</v>
      </c>
      <c r="H2610">
        <v>63556988</v>
      </c>
      <c r="I2610" s="1">
        <v>0.93795118401185151</v>
      </c>
    </row>
    <row r="2611" spans="1:9" x14ac:dyDescent="0.3">
      <c r="A2611" t="s">
        <v>45</v>
      </c>
      <c r="B2611">
        <v>2020</v>
      </c>
      <c r="C2611">
        <v>4</v>
      </c>
      <c r="D2611" t="s">
        <v>10</v>
      </c>
      <c r="E2611">
        <v>650386</v>
      </c>
      <c r="F2611" s="6">
        <v>2683789889.8319201</v>
      </c>
      <c r="G2611" s="5">
        <v>4500210</v>
      </c>
      <c r="H2611">
        <v>66189739</v>
      </c>
      <c r="I2611" s="1">
        <v>596.36992269958955</v>
      </c>
    </row>
    <row r="2612" spans="1:9" x14ac:dyDescent="0.3">
      <c r="A2612" t="s">
        <v>45</v>
      </c>
      <c r="B2612">
        <v>2020</v>
      </c>
      <c r="C2612">
        <v>4</v>
      </c>
      <c r="D2612" t="s">
        <v>9</v>
      </c>
      <c r="E2612">
        <v>631611</v>
      </c>
      <c r="F2612" s="6">
        <v>192385823.43220186</v>
      </c>
      <c r="G2612" s="5">
        <v>4500210</v>
      </c>
      <c r="H2612">
        <v>66189739</v>
      </c>
      <c r="I2612" s="1">
        <v>42.750410188013859</v>
      </c>
    </row>
    <row r="2613" spans="1:9" x14ac:dyDescent="0.3">
      <c r="A2613" t="s">
        <v>45</v>
      </c>
      <c r="B2613">
        <v>2020</v>
      </c>
      <c r="C2613">
        <v>4</v>
      </c>
      <c r="D2613" t="s">
        <v>11</v>
      </c>
      <c r="E2613">
        <v>357567</v>
      </c>
      <c r="F2613" s="6">
        <v>296872485.41565031</v>
      </c>
      <c r="G2613" s="5">
        <v>4500210</v>
      </c>
      <c r="H2613">
        <v>66189739</v>
      </c>
      <c r="I2613" s="1">
        <v>65.968584891738459</v>
      </c>
    </row>
    <row r="2614" spans="1:9" x14ac:dyDescent="0.3">
      <c r="A2614" t="s">
        <v>45</v>
      </c>
      <c r="B2614">
        <v>2020</v>
      </c>
      <c r="C2614">
        <v>4</v>
      </c>
      <c r="D2614" t="s">
        <v>12</v>
      </c>
      <c r="E2614">
        <v>4084</v>
      </c>
      <c r="F2614" s="6">
        <v>3666639.308697606</v>
      </c>
      <c r="G2614" s="5">
        <v>4500210</v>
      </c>
      <c r="H2614">
        <v>66189739</v>
      </c>
      <c r="I2614" s="1">
        <v>0.81477071263287848</v>
      </c>
    </row>
    <row r="2615" spans="1:9" x14ac:dyDescent="0.3">
      <c r="A2615" t="s">
        <v>45</v>
      </c>
      <c r="B2615">
        <v>2020</v>
      </c>
      <c r="C2615">
        <v>4</v>
      </c>
      <c r="D2615" t="s">
        <v>13</v>
      </c>
      <c r="E2615">
        <v>8242</v>
      </c>
      <c r="F2615" s="6">
        <v>5416158.2328389548</v>
      </c>
      <c r="G2615" s="5">
        <v>4500210</v>
      </c>
      <c r="H2615">
        <v>66189739</v>
      </c>
      <c r="I2615" s="1">
        <v>1.2035345534628283</v>
      </c>
    </row>
    <row r="2616" spans="1:9" x14ac:dyDescent="0.3">
      <c r="A2616" t="s">
        <v>45</v>
      </c>
      <c r="B2616">
        <v>2021</v>
      </c>
      <c r="C2616">
        <v>1</v>
      </c>
      <c r="D2616" t="s">
        <v>10</v>
      </c>
      <c r="E2616">
        <v>643366</v>
      </c>
      <c r="F2616" s="6">
        <v>2821226150.5919185</v>
      </c>
      <c r="G2616" s="5">
        <v>4835996</v>
      </c>
      <c r="H2616">
        <v>66106260</v>
      </c>
      <c r="I2616" s="1">
        <v>583.3805798416538</v>
      </c>
    </row>
    <row r="2617" spans="1:9" x14ac:dyDescent="0.3">
      <c r="A2617" t="s">
        <v>45</v>
      </c>
      <c r="B2617">
        <v>2021</v>
      </c>
      <c r="C2617">
        <v>1</v>
      </c>
      <c r="D2617" t="s">
        <v>9</v>
      </c>
      <c r="E2617">
        <v>508718</v>
      </c>
      <c r="F2617" s="6">
        <v>173211140.89346513</v>
      </c>
      <c r="G2617" s="5">
        <v>4835996</v>
      </c>
      <c r="H2617">
        <v>66106260</v>
      </c>
      <c r="I2617" s="1">
        <v>35.817056278265149</v>
      </c>
    </row>
    <row r="2618" spans="1:9" x14ac:dyDescent="0.3">
      <c r="A2618" t="s">
        <v>45</v>
      </c>
      <c r="B2618">
        <v>2021</v>
      </c>
      <c r="C2618">
        <v>1</v>
      </c>
      <c r="D2618" t="s">
        <v>11</v>
      </c>
      <c r="E2618">
        <v>350366</v>
      </c>
      <c r="F2618" s="6">
        <v>333743281.32103896</v>
      </c>
      <c r="G2618" s="5">
        <v>4835996</v>
      </c>
      <c r="H2618">
        <v>66106260</v>
      </c>
      <c r="I2618" s="1">
        <v>69.012315419830571</v>
      </c>
    </row>
    <row r="2619" spans="1:9" x14ac:dyDescent="0.3">
      <c r="A2619" t="s">
        <v>45</v>
      </c>
      <c r="B2619">
        <v>2021</v>
      </c>
      <c r="C2619">
        <v>1</v>
      </c>
      <c r="D2619" t="s">
        <v>12</v>
      </c>
      <c r="E2619">
        <v>3146</v>
      </c>
      <c r="F2619" s="6">
        <v>2879929.222833151</v>
      </c>
      <c r="G2619" s="5">
        <v>4835996</v>
      </c>
      <c r="H2619">
        <v>66106260</v>
      </c>
      <c r="I2619" s="1">
        <v>0.59551935585413041</v>
      </c>
    </row>
    <row r="2620" spans="1:9" x14ac:dyDescent="0.3">
      <c r="A2620" t="s">
        <v>45</v>
      </c>
      <c r="B2620">
        <v>2021</v>
      </c>
      <c r="C2620">
        <v>1</v>
      </c>
      <c r="D2620" t="s">
        <v>13</v>
      </c>
      <c r="E2620">
        <v>5827</v>
      </c>
      <c r="F2620" s="6">
        <v>4281067.7641659509</v>
      </c>
      <c r="G2620" s="5">
        <v>4835996</v>
      </c>
      <c r="H2620">
        <v>66106260</v>
      </c>
      <c r="I2620" s="1">
        <v>0.88525047666829149</v>
      </c>
    </row>
    <row r="2621" spans="1:9" x14ac:dyDescent="0.3">
      <c r="A2621" t="s">
        <v>45</v>
      </c>
      <c r="B2621">
        <v>2021</v>
      </c>
      <c r="C2621">
        <v>2</v>
      </c>
      <c r="D2621" t="s">
        <v>10</v>
      </c>
      <c r="E2621">
        <v>703728</v>
      </c>
      <c r="F2621" s="6">
        <v>2865655130.4313264</v>
      </c>
      <c r="G2621" s="5">
        <v>5193683</v>
      </c>
      <c r="H2621">
        <v>104509691</v>
      </c>
      <c r="I2621" s="1">
        <v>551.757804708398</v>
      </c>
    </row>
    <row r="2622" spans="1:9" x14ac:dyDescent="0.3">
      <c r="A2622" t="s">
        <v>45</v>
      </c>
      <c r="B2622">
        <v>2021</v>
      </c>
      <c r="C2622">
        <v>2</v>
      </c>
      <c r="D2622" t="s">
        <v>9</v>
      </c>
      <c r="E2622">
        <v>589839</v>
      </c>
      <c r="F2622" s="6">
        <v>189808502.9050523</v>
      </c>
      <c r="G2622" s="5">
        <v>5193683</v>
      </c>
      <c r="H2622">
        <v>104509691</v>
      </c>
      <c r="I2622" s="1">
        <v>36.546031574328332</v>
      </c>
    </row>
    <row r="2623" spans="1:9" x14ac:dyDescent="0.3">
      <c r="A2623" t="s">
        <v>45</v>
      </c>
      <c r="B2623">
        <v>2021</v>
      </c>
      <c r="C2623">
        <v>2</v>
      </c>
      <c r="D2623" t="s">
        <v>11</v>
      </c>
      <c r="E2623">
        <v>440060</v>
      </c>
      <c r="F2623" s="6">
        <v>404915546.51771069</v>
      </c>
      <c r="G2623" s="5">
        <v>5193683</v>
      </c>
      <c r="H2623">
        <v>104509691</v>
      </c>
      <c r="I2623" s="1">
        <v>77.963084485077488</v>
      </c>
    </row>
    <row r="2624" spans="1:9" x14ac:dyDescent="0.3">
      <c r="A2624" t="s">
        <v>45</v>
      </c>
      <c r="B2624">
        <v>2021</v>
      </c>
      <c r="C2624">
        <v>2</v>
      </c>
      <c r="D2624" t="s">
        <v>12</v>
      </c>
      <c r="E2624">
        <v>3656</v>
      </c>
      <c r="F2624" s="6">
        <v>3503925.3381061675</v>
      </c>
      <c r="G2624" s="5">
        <v>5193683</v>
      </c>
      <c r="H2624">
        <v>104509691</v>
      </c>
      <c r="I2624" s="1">
        <v>0.6746513674604645</v>
      </c>
    </row>
    <row r="2625" spans="1:9" x14ac:dyDescent="0.3">
      <c r="A2625" t="s">
        <v>45</v>
      </c>
      <c r="B2625">
        <v>2021</v>
      </c>
      <c r="C2625">
        <v>2</v>
      </c>
      <c r="D2625" t="s">
        <v>13</v>
      </c>
      <c r="E2625">
        <v>7146</v>
      </c>
      <c r="F2625" s="6">
        <v>4271255.8440778516</v>
      </c>
      <c r="G2625" s="5">
        <v>5193683</v>
      </c>
      <c r="H2625">
        <v>104509691</v>
      </c>
      <c r="I2625" s="1">
        <v>0.82239440568048761</v>
      </c>
    </row>
    <row r="2626" spans="1:9" x14ac:dyDescent="0.3">
      <c r="A2626" t="s">
        <v>45</v>
      </c>
      <c r="B2626">
        <v>2021</v>
      </c>
      <c r="C2626">
        <v>3</v>
      </c>
      <c r="D2626" t="s">
        <v>10</v>
      </c>
      <c r="E2626">
        <v>864329</v>
      </c>
      <c r="F2626" s="6">
        <v>3491901741.1594186</v>
      </c>
      <c r="G2626" s="5">
        <v>5609219</v>
      </c>
      <c r="H2626">
        <v>135070606</v>
      </c>
      <c r="I2626" s="1">
        <v>622.52904391135712</v>
      </c>
    </row>
    <row r="2627" spans="1:9" x14ac:dyDescent="0.3">
      <c r="A2627" t="s">
        <v>45</v>
      </c>
      <c r="B2627">
        <v>2021</v>
      </c>
      <c r="C2627">
        <v>3</v>
      </c>
      <c r="D2627" t="s">
        <v>9</v>
      </c>
      <c r="E2627">
        <v>620991</v>
      </c>
      <c r="F2627" s="6">
        <v>215226019.57596284</v>
      </c>
      <c r="G2627" s="5">
        <v>5609219</v>
      </c>
      <c r="H2627">
        <v>135070606</v>
      </c>
      <c r="I2627" s="1">
        <v>38.370051084823544</v>
      </c>
    </row>
    <row r="2628" spans="1:9" x14ac:dyDescent="0.3">
      <c r="A2628" t="s">
        <v>45</v>
      </c>
      <c r="B2628">
        <v>2021</v>
      </c>
      <c r="C2628">
        <v>3</v>
      </c>
      <c r="D2628" t="s">
        <v>11</v>
      </c>
      <c r="E2628">
        <v>584079</v>
      </c>
      <c r="F2628" s="6">
        <v>648504775.62362897</v>
      </c>
      <c r="G2628" s="5">
        <v>5609219</v>
      </c>
      <c r="H2628">
        <v>135070606</v>
      </c>
      <c r="I2628" s="1">
        <v>115.61409451540918</v>
      </c>
    </row>
    <row r="2629" spans="1:9" x14ac:dyDescent="0.3">
      <c r="A2629" t="s">
        <v>45</v>
      </c>
      <c r="B2629">
        <v>2021</v>
      </c>
      <c r="C2629">
        <v>3</v>
      </c>
      <c r="D2629" t="s">
        <v>12</v>
      </c>
      <c r="E2629">
        <v>2886</v>
      </c>
      <c r="F2629" s="6">
        <v>3473153.087671739</v>
      </c>
      <c r="G2629" s="5">
        <v>5609219</v>
      </c>
      <c r="H2629">
        <v>135070606</v>
      </c>
      <c r="I2629" s="1">
        <v>0.61918657261763876</v>
      </c>
    </row>
    <row r="2630" spans="1:9" x14ac:dyDescent="0.3">
      <c r="A2630" t="s">
        <v>45</v>
      </c>
      <c r="B2630">
        <v>2021</v>
      </c>
      <c r="C2630">
        <v>3</v>
      </c>
      <c r="D2630" t="s">
        <v>13</v>
      </c>
      <c r="E2630">
        <v>8915</v>
      </c>
      <c r="F2630" s="6">
        <v>5028078.7347928518</v>
      </c>
      <c r="G2630" s="5">
        <v>5609219</v>
      </c>
      <c r="H2630">
        <v>135070606</v>
      </c>
      <c r="I2630" s="1">
        <v>0.89639551153072328</v>
      </c>
    </row>
    <row r="2631" spans="1:9" x14ac:dyDescent="0.3">
      <c r="A2631" t="s">
        <v>45</v>
      </c>
      <c r="B2631">
        <v>2021</v>
      </c>
      <c r="C2631">
        <v>4</v>
      </c>
      <c r="D2631" t="s">
        <v>10</v>
      </c>
      <c r="E2631">
        <v>1060915</v>
      </c>
      <c r="F2631" s="6">
        <v>4368786747.1030159</v>
      </c>
      <c r="G2631" s="5">
        <v>6009212</v>
      </c>
      <c r="H2631">
        <v>118015722</v>
      </c>
      <c r="I2631" s="1">
        <v>727.01491428543636</v>
      </c>
    </row>
    <row r="2632" spans="1:9" x14ac:dyDescent="0.3">
      <c r="A2632" t="s">
        <v>45</v>
      </c>
      <c r="B2632">
        <v>2021</v>
      </c>
      <c r="C2632">
        <v>4</v>
      </c>
      <c r="D2632" t="s">
        <v>11</v>
      </c>
      <c r="E2632">
        <v>793636</v>
      </c>
      <c r="F2632" s="6">
        <v>874005407.71402133</v>
      </c>
      <c r="G2632" s="5">
        <v>6009212</v>
      </c>
      <c r="H2632">
        <v>118015722</v>
      </c>
      <c r="I2632" s="1">
        <v>145.44426252793568</v>
      </c>
    </row>
    <row r="2633" spans="1:9" x14ac:dyDescent="0.3">
      <c r="A2633" t="s">
        <v>45</v>
      </c>
      <c r="B2633">
        <v>2021</v>
      </c>
      <c r="C2633">
        <v>4</v>
      </c>
      <c r="D2633" t="s">
        <v>9</v>
      </c>
      <c r="E2633">
        <v>650251</v>
      </c>
      <c r="F2633" s="6">
        <v>241225282.07451886</v>
      </c>
      <c r="G2633" s="5">
        <v>6009212</v>
      </c>
      <c r="H2633">
        <v>118015722</v>
      </c>
      <c r="I2633" s="1">
        <v>40.142581435722164</v>
      </c>
    </row>
    <row r="2634" spans="1:9" x14ac:dyDescent="0.3">
      <c r="A2634" t="s">
        <v>45</v>
      </c>
      <c r="B2634">
        <v>2021</v>
      </c>
      <c r="C2634">
        <v>4</v>
      </c>
      <c r="D2634" t="s">
        <v>12</v>
      </c>
      <c r="E2634">
        <v>3635</v>
      </c>
      <c r="F2634" s="6">
        <v>5073898.6076811645</v>
      </c>
      <c r="G2634" s="5">
        <v>6009212</v>
      </c>
      <c r="H2634">
        <v>118015722</v>
      </c>
      <c r="I2634" s="1">
        <v>0.84435340402055448</v>
      </c>
    </row>
    <row r="2635" spans="1:9" x14ac:dyDescent="0.3">
      <c r="A2635" t="s">
        <v>45</v>
      </c>
      <c r="B2635">
        <v>2021</v>
      </c>
      <c r="C2635">
        <v>4</v>
      </c>
      <c r="D2635" t="s">
        <v>13</v>
      </c>
      <c r="E2635">
        <v>12256</v>
      </c>
      <c r="F2635" s="6">
        <v>7838128.8002102282</v>
      </c>
      <c r="G2635" s="5">
        <v>6009212</v>
      </c>
      <c r="H2635">
        <v>118015722</v>
      </c>
      <c r="I2635" s="1">
        <v>1.3043521846475425</v>
      </c>
    </row>
    <row r="2636" spans="1:9" x14ac:dyDescent="0.3">
      <c r="A2636" t="s">
        <v>46</v>
      </c>
      <c r="B2636">
        <v>2018</v>
      </c>
      <c r="C2636">
        <v>1</v>
      </c>
      <c r="D2636" t="s">
        <v>9</v>
      </c>
      <c r="E2636">
        <v>7003704</v>
      </c>
      <c r="F2636" s="6">
        <v>1201827543.8816488</v>
      </c>
      <c r="G2636" s="5">
        <v>51636750</v>
      </c>
      <c r="H2636">
        <v>0</v>
      </c>
      <c r="I2636" s="1">
        <v>23.274655044743305</v>
      </c>
    </row>
    <row r="2637" spans="1:9" x14ac:dyDescent="0.3">
      <c r="A2637" t="s">
        <v>46</v>
      </c>
      <c r="B2637">
        <v>2018</v>
      </c>
      <c r="C2637">
        <v>1</v>
      </c>
      <c r="D2637" t="s">
        <v>10</v>
      </c>
      <c r="E2637">
        <v>4123625</v>
      </c>
      <c r="F2637" s="6">
        <v>11786969148.760597</v>
      </c>
      <c r="G2637" s="5">
        <v>51636750</v>
      </c>
      <c r="H2637">
        <v>0</v>
      </c>
      <c r="I2637" s="1">
        <v>228.2670607418282</v>
      </c>
    </row>
    <row r="2638" spans="1:9" x14ac:dyDescent="0.3">
      <c r="A2638" t="s">
        <v>46</v>
      </c>
      <c r="B2638">
        <v>2018</v>
      </c>
      <c r="C2638">
        <v>1</v>
      </c>
      <c r="D2638" t="s">
        <v>11</v>
      </c>
      <c r="E2638">
        <v>442436</v>
      </c>
      <c r="F2638" s="6">
        <v>428301434.27548659</v>
      </c>
      <c r="G2638" s="5">
        <v>51636750</v>
      </c>
      <c r="H2638">
        <v>0</v>
      </c>
      <c r="I2638" s="1">
        <v>8.2945079672033302</v>
      </c>
    </row>
    <row r="2639" spans="1:9" x14ac:dyDescent="0.3">
      <c r="A2639" t="s">
        <v>46</v>
      </c>
      <c r="B2639">
        <v>2018</v>
      </c>
      <c r="C2639">
        <v>1</v>
      </c>
      <c r="D2639" t="s">
        <v>12</v>
      </c>
      <c r="E2639">
        <v>397328</v>
      </c>
      <c r="F2639" s="6">
        <v>75150444.991081148</v>
      </c>
      <c r="G2639" s="5">
        <v>51636750</v>
      </c>
      <c r="H2639">
        <v>0</v>
      </c>
      <c r="I2639" s="1">
        <v>1.4553674464616992</v>
      </c>
    </row>
    <row r="2640" spans="1:9" x14ac:dyDescent="0.3">
      <c r="A2640" t="s">
        <v>46</v>
      </c>
      <c r="B2640">
        <v>2018</v>
      </c>
      <c r="C2640">
        <v>1</v>
      </c>
      <c r="D2640" t="s">
        <v>13</v>
      </c>
      <c r="E2640">
        <v>570712</v>
      </c>
      <c r="F2640" s="6">
        <v>447722351.31385243</v>
      </c>
      <c r="G2640" s="5">
        <v>51636750</v>
      </c>
      <c r="H2640">
        <v>0</v>
      </c>
      <c r="I2640" s="1">
        <v>8.6706144618678067</v>
      </c>
    </row>
    <row r="2641" spans="1:9" x14ac:dyDescent="0.3">
      <c r="A2641" t="s">
        <v>46</v>
      </c>
      <c r="B2641">
        <v>2018</v>
      </c>
      <c r="C2641">
        <v>2</v>
      </c>
      <c r="D2641" t="s">
        <v>9</v>
      </c>
      <c r="E2641">
        <v>9232131</v>
      </c>
      <c r="F2641" s="6">
        <v>2044535461.4826081</v>
      </c>
      <c r="G2641" s="5">
        <v>70868094</v>
      </c>
      <c r="H2641">
        <v>0</v>
      </c>
      <c r="I2641" s="1">
        <v>28.849872292072764</v>
      </c>
    </row>
    <row r="2642" spans="1:9" x14ac:dyDescent="0.3">
      <c r="A2642" t="s">
        <v>46</v>
      </c>
      <c r="B2642">
        <v>2018</v>
      </c>
      <c r="C2642">
        <v>2</v>
      </c>
      <c r="D2642" t="s">
        <v>10</v>
      </c>
      <c r="E2642">
        <v>6484369</v>
      </c>
      <c r="F2642" s="6">
        <v>22197440015.945545</v>
      </c>
      <c r="G2642" s="5">
        <v>70868094</v>
      </c>
      <c r="H2642">
        <v>0</v>
      </c>
      <c r="I2642" s="1">
        <v>313.22191360114107</v>
      </c>
    </row>
    <row r="2643" spans="1:9" x14ac:dyDescent="0.3">
      <c r="A2643" t="s">
        <v>46</v>
      </c>
      <c r="B2643">
        <v>2018</v>
      </c>
      <c r="C2643">
        <v>2</v>
      </c>
      <c r="D2643" t="s">
        <v>11</v>
      </c>
      <c r="E2643">
        <v>909545</v>
      </c>
      <c r="F2643" s="6">
        <v>799920463.26740801</v>
      </c>
      <c r="G2643" s="5">
        <v>70868094</v>
      </c>
      <c r="H2643">
        <v>0</v>
      </c>
      <c r="I2643" s="1">
        <v>11.287455582866501</v>
      </c>
    </row>
    <row r="2644" spans="1:9" x14ac:dyDescent="0.3">
      <c r="A2644" t="s">
        <v>46</v>
      </c>
      <c r="B2644">
        <v>2018</v>
      </c>
      <c r="C2644">
        <v>2</v>
      </c>
      <c r="D2644" t="s">
        <v>12</v>
      </c>
      <c r="E2644">
        <v>563213</v>
      </c>
      <c r="F2644" s="6">
        <v>105536911.84026654</v>
      </c>
      <c r="G2644" s="5">
        <v>70868094</v>
      </c>
      <c r="H2644">
        <v>0</v>
      </c>
      <c r="I2644" s="1">
        <v>1.4892020637702847</v>
      </c>
    </row>
    <row r="2645" spans="1:9" x14ac:dyDescent="0.3">
      <c r="A2645" t="s">
        <v>46</v>
      </c>
      <c r="B2645">
        <v>2018</v>
      </c>
      <c r="C2645">
        <v>2</v>
      </c>
      <c r="D2645" t="s">
        <v>13</v>
      </c>
      <c r="E2645">
        <v>521685</v>
      </c>
      <c r="F2645" s="6">
        <v>572768843.16416359</v>
      </c>
      <c r="G2645" s="5">
        <v>70868094</v>
      </c>
      <c r="H2645">
        <v>0</v>
      </c>
      <c r="I2645" s="1">
        <v>8.0821821335305497</v>
      </c>
    </row>
    <row r="2646" spans="1:9" x14ac:dyDescent="0.3">
      <c r="A2646" t="s">
        <v>46</v>
      </c>
      <c r="B2646">
        <v>2018</v>
      </c>
      <c r="C2646">
        <v>3</v>
      </c>
      <c r="D2646" t="s">
        <v>10</v>
      </c>
      <c r="E2646">
        <v>13828768</v>
      </c>
      <c r="F2646" s="6">
        <v>32944051606.982761</v>
      </c>
      <c r="G2646" s="5">
        <v>89061313</v>
      </c>
      <c r="H2646">
        <v>0</v>
      </c>
      <c r="I2646" s="1">
        <v>369.90305327053466</v>
      </c>
    </row>
    <row r="2647" spans="1:9" x14ac:dyDescent="0.3">
      <c r="A2647" t="s">
        <v>46</v>
      </c>
      <c r="B2647">
        <v>2018</v>
      </c>
      <c r="C2647">
        <v>3</v>
      </c>
      <c r="D2647" t="s">
        <v>9</v>
      </c>
      <c r="E2647">
        <v>9140873</v>
      </c>
      <c r="F2647" s="6">
        <v>2485029062.8899517</v>
      </c>
      <c r="G2647" s="5">
        <v>89061313</v>
      </c>
      <c r="H2647">
        <v>0</v>
      </c>
      <c r="I2647" s="1">
        <v>27.902452582188538</v>
      </c>
    </row>
    <row r="2648" spans="1:9" x14ac:dyDescent="0.3">
      <c r="A2648" t="s">
        <v>46</v>
      </c>
      <c r="B2648">
        <v>2018</v>
      </c>
      <c r="C2648">
        <v>3</v>
      </c>
      <c r="D2648" t="s">
        <v>11</v>
      </c>
      <c r="E2648">
        <v>2397448</v>
      </c>
      <c r="F2648" s="6">
        <v>1012726185.1169598</v>
      </c>
      <c r="G2648" s="5">
        <v>89061313</v>
      </c>
      <c r="H2648">
        <v>0</v>
      </c>
      <c r="I2648" s="1">
        <v>11.3711122259893</v>
      </c>
    </row>
    <row r="2649" spans="1:9" x14ac:dyDescent="0.3">
      <c r="A2649" t="s">
        <v>46</v>
      </c>
      <c r="B2649">
        <v>2018</v>
      </c>
      <c r="C2649">
        <v>3</v>
      </c>
      <c r="D2649" t="s">
        <v>12</v>
      </c>
      <c r="E2649">
        <v>603303</v>
      </c>
      <c r="F2649" s="6">
        <v>76605144.657766581</v>
      </c>
      <c r="G2649" s="5">
        <v>89061313</v>
      </c>
      <c r="H2649">
        <v>0</v>
      </c>
      <c r="I2649" s="1">
        <v>0.86013940371355835</v>
      </c>
    </row>
    <row r="2650" spans="1:9" x14ac:dyDescent="0.3">
      <c r="A2650" t="s">
        <v>46</v>
      </c>
      <c r="B2650">
        <v>2018</v>
      </c>
      <c r="C2650">
        <v>3</v>
      </c>
      <c r="D2650" t="s">
        <v>13</v>
      </c>
      <c r="E2650">
        <v>544964</v>
      </c>
      <c r="F2650" s="6">
        <v>493702369.59362882</v>
      </c>
      <c r="G2650" s="5">
        <v>89061313</v>
      </c>
      <c r="H2650">
        <v>0</v>
      </c>
      <c r="I2650" s="1">
        <v>5.5433987324398508</v>
      </c>
    </row>
    <row r="2651" spans="1:9" x14ac:dyDescent="0.3">
      <c r="A2651" t="s">
        <v>46</v>
      </c>
      <c r="B2651">
        <v>2018</v>
      </c>
      <c r="C2651">
        <v>4</v>
      </c>
      <c r="D2651" t="s">
        <v>10</v>
      </c>
      <c r="E2651">
        <v>15804910</v>
      </c>
      <c r="F2651" s="6">
        <v>48836291123.914734</v>
      </c>
      <c r="G2651" s="5">
        <v>113761604</v>
      </c>
      <c r="H2651">
        <v>0</v>
      </c>
      <c r="I2651" s="1">
        <v>429.28623900129548</v>
      </c>
    </row>
    <row r="2652" spans="1:9" x14ac:dyDescent="0.3">
      <c r="A2652" t="s">
        <v>46</v>
      </c>
      <c r="B2652">
        <v>2018</v>
      </c>
      <c r="C2652">
        <v>4</v>
      </c>
      <c r="D2652" t="s">
        <v>9</v>
      </c>
      <c r="E2652">
        <v>11976808</v>
      </c>
      <c r="F2652" s="6">
        <v>3040717446.7287879</v>
      </c>
      <c r="G2652" s="5">
        <v>113761604</v>
      </c>
      <c r="H2652">
        <v>0</v>
      </c>
      <c r="I2652" s="1">
        <v>26.728855253559786</v>
      </c>
    </row>
    <row r="2653" spans="1:9" x14ac:dyDescent="0.3">
      <c r="A2653" t="s">
        <v>46</v>
      </c>
      <c r="B2653">
        <v>2018</v>
      </c>
      <c r="C2653">
        <v>4</v>
      </c>
      <c r="D2653" t="s">
        <v>11</v>
      </c>
      <c r="E2653">
        <v>6953857</v>
      </c>
      <c r="F2653" s="6">
        <v>2480267671.2597928</v>
      </c>
      <c r="G2653" s="5">
        <v>113761604</v>
      </c>
      <c r="H2653">
        <v>0</v>
      </c>
      <c r="I2653" s="1">
        <v>21.802326831290046</v>
      </c>
    </row>
    <row r="2654" spans="1:9" x14ac:dyDescent="0.3">
      <c r="A2654" t="s">
        <v>46</v>
      </c>
      <c r="B2654">
        <v>2018</v>
      </c>
      <c r="C2654">
        <v>4</v>
      </c>
      <c r="D2654" t="s">
        <v>12</v>
      </c>
      <c r="E2654">
        <v>517619</v>
      </c>
      <c r="F2654" s="6">
        <v>76250539.858519018</v>
      </c>
      <c r="G2654" s="5">
        <v>113761604</v>
      </c>
      <c r="H2654">
        <v>0</v>
      </c>
      <c r="I2654" s="1">
        <v>0.67026604036383852</v>
      </c>
    </row>
    <row r="2655" spans="1:9" x14ac:dyDescent="0.3">
      <c r="A2655" t="s">
        <v>46</v>
      </c>
      <c r="B2655">
        <v>2018</v>
      </c>
      <c r="C2655">
        <v>4</v>
      </c>
      <c r="D2655" t="s">
        <v>13</v>
      </c>
      <c r="E2655">
        <v>847573</v>
      </c>
      <c r="F2655" s="6">
        <v>663216794.15546632</v>
      </c>
      <c r="G2655" s="5">
        <v>113761604</v>
      </c>
      <c r="H2655">
        <v>0</v>
      </c>
      <c r="I2655" s="1">
        <v>5.829882586355466</v>
      </c>
    </row>
    <row r="2656" spans="1:9" x14ac:dyDescent="0.3">
      <c r="A2656" t="s">
        <v>46</v>
      </c>
      <c r="B2656">
        <v>2019</v>
      </c>
      <c r="C2656">
        <v>1</v>
      </c>
      <c r="D2656" t="s">
        <v>10</v>
      </c>
      <c r="E2656">
        <v>32062452</v>
      </c>
      <c r="F2656" s="6">
        <v>68506766330.451492</v>
      </c>
      <c r="G2656" s="5">
        <v>137045271</v>
      </c>
      <c r="H2656">
        <v>0</v>
      </c>
      <c r="I2656" s="1">
        <v>499.88420490956958</v>
      </c>
    </row>
    <row r="2657" spans="1:9" x14ac:dyDescent="0.3">
      <c r="A2657" t="s">
        <v>46</v>
      </c>
      <c r="B2657">
        <v>2019</v>
      </c>
      <c r="C2657">
        <v>1</v>
      </c>
      <c r="D2657" t="s">
        <v>9</v>
      </c>
      <c r="E2657">
        <v>15400713</v>
      </c>
      <c r="F2657" s="6">
        <v>4231102032.9564486</v>
      </c>
      <c r="G2657" s="5">
        <v>137045271</v>
      </c>
      <c r="H2657">
        <v>0</v>
      </c>
      <c r="I2657" s="1">
        <v>30.873754359290871</v>
      </c>
    </row>
    <row r="2658" spans="1:9" x14ac:dyDescent="0.3">
      <c r="A2658" t="s">
        <v>46</v>
      </c>
      <c r="B2658">
        <v>2019</v>
      </c>
      <c r="C2658">
        <v>1</v>
      </c>
      <c r="D2658" t="s">
        <v>11</v>
      </c>
      <c r="E2658">
        <v>8558766</v>
      </c>
      <c r="F2658" s="6">
        <v>3105904146.2085333</v>
      </c>
      <c r="G2658" s="5">
        <v>137045271</v>
      </c>
      <c r="H2658">
        <v>0</v>
      </c>
      <c r="I2658" s="1">
        <v>22.663344189443308</v>
      </c>
    </row>
    <row r="2659" spans="1:9" x14ac:dyDescent="0.3">
      <c r="A2659" t="s">
        <v>46</v>
      </c>
      <c r="B2659">
        <v>2019</v>
      </c>
      <c r="C2659">
        <v>1</v>
      </c>
      <c r="D2659" t="s">
        <v>12</v>
      </c>
      <c r="E2659">
        <v>389733</v>
      </c>
      <c r="F2659" s="6">
        <v>43341558.485355489</v>
      </c>
      <c r="G2659" s="5">
        <v>137045271</v>
      </c>
      <c r="H2659">
        <v>0</v>
      </c>
      <c r="I2659" s="1">
        <v>0.31625723506618109</v>
      </c>
    </row>
    <row r="2660" spans="1:9" x14ac:dyDescent="0.3">
      <c r="A2660" t="s">
        <v>46</v>
      </c>
      <c r="B2660">
        <v>2019</v>
      </c>
      <c r="C2660">
        <v>1</v>
      </c>
      <c r="D2660" t="s">
        <v>13</v>
      </c>
      <c r="E2660">
        <v>912840</v>
      </c>
      <c r="F2660" s="6">
        <v>637066065.90783691</v>
      </c>
      <c r="G2660" s="5">
        <v>137045271</v>
      </c>
      <c r="H2660">
        <v>0</v>
      </c>
      <c r="I2660" s="1">
        <v>4.648581167808679</v>
      </c>
    </row>
    <row r="2661" spans="1:9" x14ac:dyDescent="0.3">
      <c r="A2661" t="s">
        <v>46</v>
      </c>
      <c r="B2661">
        <v>2019</v>
      </c>
      <c r="C2661">
        <v>2</v>
      </c>
      <c r="D2661" t="s">
        <v>10</v>
      </c>
      <c r="E2661">
        <v>27105049</v>
      </c>
      <c r="F2661" s="6">
        <v>87581482658.948608</v>
      </c>
      <c r="G2661" s="5">
        <v>157479839</v>
      </c>
      <c r="H2661">
        <v>862334440</v>
      </c>
      <c r="I2661" s="1">
        <v>556.14409574643139</v>
      </c>
    </row>
    <row r="2662" spans="1:9" x14ac:dyDescent="0.3">
      <c r="A2662" t="s">
        <v>46</v>
      </c>
      <c r="B2662">
        <v>2019</v>
      </c>
      <c r="C2662">
        <v>2</v>
      </c>
      <c r="D2662" t="s">
        <v>9</v>
      </c>
      <c r="E2662">
        <v>17551537</v>
      </c>
      <c r="F2662" s="6">
        <v>5627886175.9093685</v>
      </c>
      <c r="G2662" s="5">
        <v>157479839</v>
      </c>
      <c r="H2662">
        <v>862334440</v>
      </c>
      <c r="I2662" s="1">
        <v>35.737185227306263</v>
      </c>
    </row>
    <row r="2663" spans="1:9" x14ac:dyDescent="0.3">
      <c r="A2663" t="s">
        <v>46</v>
      </c>
      <c r="B2663">
        <v>2019</v>
      </c>
      <c r="C2663">
        <v>2</v>
      </c>
      <c r="D2663" t="s">
        <v>11</v>
      </c>
      <c r="E2663">
        <v>12733089</v>
      </c>
      <c r="F2663" s="6">
        <v>4894223107.4523211</v>
      </c>
      <c r="G2663" s="5">
        <v>157479839</v>
      </c>
      <c r="H2663">
        <v>862334440</v>
      </c>
      <c r="I2663" s="1">
        <v>31.078410662156703</v>
      </c>
    </row>
    <row r="2664" spans="1:9" x14ac:dyDescent="0.3">
      <c r="A2664" t="s">
        <v>46</v>
      </c>
      <c r="B2664">
        <v>2019</v>
      </c>
      <c r="C2664">
        <v>2</v>
      </c>
      <c r="D2664" t="s">
        <v>12</v>
      </c>
      <c r="E2664">
        <v>264091</v>
      </c>
      <c r="F2664" s="6">
        <v>38169259.945291094</v>
      </c>
      <c r="G2664" s="5">
        <v>157479839</v>
      </c>
      <c r="H2664">
        <v>862334440</v>
      </c>
      <c r="I2664" s="1">
        <v>0.24237553319629121</v>
      </c>
    </row>
    <row r="2665" spans="1:9" x14ac:dyDescent="0.3">
      <c r="A2665" t="s">
        <v>46</v>
      </c>
      <c r="B2665">
        <v>2019</v>
      </c>
      <c r="C2665">
        <v>2</v>
      </c>
      <c r="D2665" t="s">
        <v>13</v>
      </c>
      <c r="E2665">
        <v>1229734</v>
      </c>
      <c r="F2665" s="6">
        <v>775758168.42010379</v>
      </c>
      <c r="G2665" s="5">
        <v>157479839</v>
      </c>
      <c r="H2665">
        <v>862334440</v>
      </c>
      <c r="I2665" s="1">
        <v>4.9260792578033037</v>
      </c>
    </row>
    <row r="2666" spans="1:9" x14ac:dyDescent="0.3">
      <c r="A2666" t="s">
        <v>46</v>
      </c>
      <c r="B2666">
        <v>2019</v>
      </c>
      <c r="C2666">
        <v>3</v>
      </c>
      <c r="D2666" t="s">
        <v>10</v>
      </c>
      <c r="E2666">
        <v>26990786</v>
      </c>
      <c r="F2666" s="6">
        <v>95134023863.979645</v>
      </c>
      <c r="G2666" s="5">
        <v>176490677</v>
      </c>
      <c r="H2666">
        <v>2949568666</v>
      </c>
      <c r="I2666" s="1">
        <v>539.03144053314293</v>
      </c>
    </row>
    <row r="2667" spans="1:9" x14ac:dyDescent="0.3">
      <c r="A2667" t="s">
        <v>46</v>
      </c>
      <c r="B2667">
        <v>2019</v>
      </c>
      <c r="C2667">
        <v>3</v>
      </c>
      <c r="D2667" t="s">
        <v>9</v>
      </c>
      <c r="E2667">
        <v>20359672</v>
      </c>
      <c r="F2667" s="6">
        <v>8000160942.595396</v>
      </c>
      <c r="G2667" s="5">
        <v>176490677</v>
      </c>
      <c r="H2667">
        <v>2949568666</v>
      </c>
      <c r="I2667" s="1">
        <v>45.329085244516321</v>
      </c>
    </row>
    <row r="2668" spans="1:9" x14ac:dyDescent="0.3">
      <c r="A2668" t="s">
        <v>46</v>
      </c>
      <c r="B2668">
        <v>2019</v>
      </c>
      <c r="C2668">
        <v>3</v>
      </c>
      <c r="D2668" t="s">
        <v>11</v>
      </c>
      <c r="E2668">
        <v>19625935</v>
      </c>
      <c r="F2668" s="6">
        <v>7399443975.2421799</v>
      </c>
      <c r="G2668" s="5">
        <v>176490677</v>
      </c>
      <c r="H2668">
        <v>2949568666</v>
      </c>
      <c r="I2668" s="1">
        <v>41.925409891436814</v>
      </c>
    </row>
    <row r="2669" spans="1:9" x14ac:dyDescent="0.3">
      <c r="A2669" t="s">
        <v>46</v>
      </c>
      <c r="B2669">
        <v>2019</v>
      </c>
      <c r="C2669">
        <v>3</v>
      </c>
      <c r="D2669" t="s">
        <v>12</v>
      </c>
      <c r="E2669">
        <v>258548</v>
      </c>
      <c r="F2669" s="6">
        <v>51363215.145978652</v>
      </c>
      <c r="G2669" s="5">
        <v>176490677</v>
      </c>
      <c r="H2669">
        <v>2949568666</v>
      </c>
      <c r="I2669" s="1">
        <v>0.29102508993139992</v>
      </c>
    </row>
    <row r="2670" spans="1:9" x14ac:dyDescent="0.3">
      <c r="A2670" t="s">
        <v>46</v>
      </c>
      <c r="B2670">
        <v>2019</v>
      </c>
      <c r="C2670">
        <v>3</v>
      </c>
      <c r="D2670" t="s">
        <v>13</v>
      </c>
      <c r="E2670">
        <v>1389018</v>
      </c>
      <c r="F2670" s="6">
        <v>683145478.08653164</v>
      </c>
      <c r="G2670" s="5">
        <v>176490677</v>
      </c>
      <c r="H2670">
        <v>2949568666</v>
      </c>
      <c r="I2670" s="1">
        <v>3.8707170809171503</v>
      </c>
    </row>
    <row r="2671" spans="1:9" x14ac:dyDescent="0.3">
      <c r="A2671" t="s">
        <v>46</v>
      </c>
      <c r="B2671">
        <v>2019</v>
      </c>
      <c r="C2671">
        <v>4</v>
      </c>
      <c r="D2671" t="s">
        <v>10</v>
      </c>
      <c r="E2671">
        <v>40540310</v>
      </c>
      <c r="F2671" s="6">
        <v>126564888408.1326</v>
      </c>
      <c r="G2671" s="5">
        <v>197444962</v>
      </c>
      <c r="H2671">
        <v>3564754875</v>
      </c>
      <c r="I2671" s="1">
        <v>641.01351144190039</v>
      </c>
    </row>
    <row r="2672" spans="1:9" x14ac:dyDescent="0.3">
      <c r="A2672" t="s">
        <v>46</v>
      </c>
      <c r="B2672">
        <v>2019</v>
      </c>
      <c r="C2672">
        <v>4</v>
      </c>
      <c r="D2672" t="s">
        <v>9</v>
      </c>
      <c r="E2672">
        <v>24299776</v>
      </c>
      <c r="F2672" s="6">
        <v>9082140369.7749767</v>
      </c>
      <c r="G2672" s="5">
        <v>197444962</v>
      </c>
      <c r="H2672">
        <v>3564754875</v>
      </c>
      <c r="I2672" s="1">
        <v>45.998339374063022</v>
      </c>
    </row>
    <row r="2673" spans="1:9" x14ac:dyDescent="0.3">
      <c r="A2673" t="s">
        <v>46</v>
      </c>
      <c r="B2673">
        <v>2019</v>
      </c>
      <c r="C2673">
        <v>4</v>
      </c>
      <c r="D2673" t="s">
        <v>11</v>
      </c>
      <c r="E2673">
        <v>20582052</v>
      </c>
      <c r="F2673" s="6">
        <v>9412924984.9687004</v>
      </c>
      <c r="G2673" s="5">
        <v>197444962</v>
      </c>
      <c r="H2673">
        <v>3564754875</v>
      </c>
      <c r="I2673" s="1">
        <v>47.673665053903477</v>
      </c>
    </row>
    <row r="2674" spans="1:9" x14ac:dyDescent="0.3">
      <c r="A2674" t="s">
        <v>46</v>
      </c>
      <c r="B2674">
        <v>2019</v>
      </c>
      <c r="C2674">
        <v>4</v>
      </c>
      <c r="D2674" t="s">
        <v>12</v>
      </c>
      <c r="E2674">
        <v>242936</v>
      </c>
      <c r="F2674" s="6">
        <v>45686806.830938108</v>
      </c>
      <c r="G2674" s="5">
        <v>197444962</v>
      </c>
      <c r="H2674">
        <v>3564754875</v>
      </c>
      <c r="I2674" s="1">
        <v>0.23139008647350601</v>
      </c>
    </row>
    <row r="2675" spans="1:9" x14ac:dyDescent="0.3">
      <c r="A2675" t="s">
        <v>46</v>
      </c>
      <c r="B2675">
        <v>2019</v>
      </c>
      <c r="C2675">
        <v>4</v>
      </c>
      <c r="D2675" t="s">
        <v>13</v>
      </c>
      <c r="E2675">
        <v>1239931</v>
      </c>
      <c r="F2675" s="6">
        <v>433285937.58885401</v>
      </c>
      <c r="G2675" s="5">
        <v>197444962</v>
      </c>
      <c r="H2675">
        <v>3564754875</v>
      </c>
      <c r="I2675" s="1">
        <v>2.1944643874420762</v>
      </c>
    </row>
    <row r="2676" spans="1:9" x14ac:dyDescent="0.3">
      <c r="A2676" t="s">
        <v>46</v>
      </c>
      <c r="B2676">
        <v>2020</v>
      </c>
      <c r="C2676">
        <v>1</v>
      </c>
      <c r="D2676" t="s">
        <v>10</v>
      </c>
      <c r="E2676">
        <v>39581157</v>
      </c>
      <c r="F2676" s="6">
        <v>147734706846.56177</v>
      </c>
      <c r="G2676" s="5">
        <v>221498816</v>
      </c>
      <c r="H2676">
        <v>4117102913</v>
      </c>
      <c r="I2676" s="1">
        <v>666.97741105109003</v>
      </c>
    </row>
    <row r="2677" spans="1:9" x14ac:dyDescent="0.3">
      <c r="A2677" t="s">
        <v>46</v>
      </c>
      <c r="B2677">
        <v>2020</v>
      </c>
      <c r="C2677">
        <v>1</v>
      </c>
      <c r="D2677" t="s">
        <v>9</v>
      </c>
      <c r="E2677">
        <v>29777603</v>
      </c>
      <c r="F2677" s="6">
        <v>11168417430.652225</v>
      </c>
      <c r="G2677" s="5">
        <v>221498816</v>
      </c>
      <c r="H2677">
        <v>4117102913</v>
      </c>
      <c r="I2677" s="1">
        <v>50.422018647053292</v>
      </c>
    </row>
    <row r="2678" spans="1:9" x14ac:dyDescent="0.3">
      <c r="A2678" t="s">
        <v>46</v>
      </c>
      <c r="B2678">
        <v>2020</v>
      </c>
      <c r="C2678">
        <v>1</v>
      </c>
      <c r="D2678" t="s">
        <v>11</v>
      </c>
      <c r="E2678">
        <v>26741638</v>
      </c>
      <c r="F2678" s="6">
        <v>13072371616.871723</v>
      </c>
      <c r="G2678" s="5">
        <v>221498816</v>
      </c>
      <c r="H2678">
        <v>4117102913</v>
      </c>
      <c r="I2678" s="1">
        <v>59.017794555036012</v>
      </c>
    </row>
    <row r="2679" spans="1:9" x14ac:dyDescent="0.3">
      <c r="A2679" t="s">
        <v>46</v>
      </c>
      <c r="B2679">
        <v>2020</v>
      </c>
      <c r="C2679">
        <v>1</v>
      </c>
      <c r="D2679" t="s">
        <v>12</v>
      </c>
      <c r="E2679">
        <v>139990</v>
      </c>
      <c r="F2679" s="6">
        <v>64365117.409359045</v>
      </c>
      <c r="G2679" s="5">
        <v>221498816</v>
      </c>
      <c r="H2679">
        <v>4117102913</v>
      </c>
      <c r="I2679" s="1">
        <v>0.29058899082042516</v>
      </c>
    </row>
    <row r="2680" spans="1:9" x14ac:dyDescent="0.3">
      <c r="A2680" t="s">
        <v>46</v>
      </c>
      <c r="B2680">
        <v>2020</v>
      </c>
      <c r="C2680">
        <v>1</v>
      </c>
      <c r="D2680" t="s">
        <v>13</v>
      </c>
      <c r="E2680">
        <v>998744</v>
      </c>
      <c r="F2680" s="6">
        <v>376573949.20358998</v>
      </c>
      <c r="G2680" s="5">
        <v>221498816</v>
      </c>
      <c r="H2680">
        <v>4117102913</v>
      </c>
      <c r="I2680" s="1">
        <v>1.7001172105750217</v>
      </c>
    </row>
    <row r="2681" spans="1:9" x14ac:dyDescent="0.3">
      <c r="A2681" t="s">
        <v>46</v>
      </c>
      <c r="B2681">
        <v>2020</v>
      </c>
      <c r="C2681">
        <v>2</v>
      </c>
      <c r="D2681" t="s">
        <v>9</v>
      </c>
      <c r="E2681">
        <v>42229417</v>
      </c>
      <c r="F2681" s="6">
        <v>14668026056.368128</v>
      </c>
      <c r="G2681" s="5">
        <v>247483709</v>
      </c>
      <c r="H2681">
        <v>4220738874</v>
      </c>
      <c r="I2681" s="1">
        <v>59.268652937345983</v>
      </c>
    </row>
    <row r="2682" spans="1:9" x14ac:dyDescent="0.3">
      <c r="A2682" t="s">
        <v>46</v>
      </c>
      <c r="B2682">
        <v>2020</v>
      </c>
      <c r="C2682">
        <v>2</v>
      </c>
      <c r="D2682" t="s">
        <v>10</v>
      </c>
      <c r="E2682">
        <v>39434202</v>
      </c>
      <c r="F2682" s="6">
        <v>150079524408.86929</v>
      </c>
      <c r="G2682" s="5">
        <v>247483709</v>
      </c>
      <c r="H2682">
        <v>4220738874</v>
      </c>
      <c r="I2682" s="1">
        <v>606.42183283615361</v>
      </c>
    </row>
    <row r="2683" spans="1:9" x14ac:dyDescent="0.3">
      <c r="A2683" t="s">
        <v>46</v>
      </c>
      <c r="B2683">
        <v>2020</v>
      </c>
      <c r="C2683">
        <v>2</v>
      </c>
      <c r="D2683" t="s">
        <v>11</v>
      </c>
      <c r="E2683">
        <v>18625913</v>
      </c>
      <c r="F2683" s="6">
        <v>13655151082.574724</v>
      </c>
      <c r="G2683" s="5">
        <v>247483709</v>
      </c>
      <c r="H2683">
        <v>4220738874</v>
      </c>
      <c r="I2683" s="1">
        <v>55.175959410624174</v>
      </c>
    </row>
    <row r="2684" spans="1:9" x14ac:dyDescent="0.3">
      <c r="A2684" t="s">
        <v>46</v>
      </c>
      <c r="B2684">
        <v>2020</v>
      </c>
      <c r="C2684">
        <v>2</v>
      </c>
      <c r="D2684" t="s">
        <v>12</v>
      </c>
      <c r="E2684">
        <v>150360</v>
      </c>
      <c r="F2684" s="6">
        <v>131930242.90371712</v>
      </c>
      <c r="G2684" s="5">
        <v>247483709</v>
      </c>
      <c r="H2684">
        <v>4220738874</v>
      </c>
      <c r="I2684" s="1">
        <v>0.53308657542269622</v>
      </c>
    </row>
    <row r="2685" spans="1:9" x14ac:dyDescent="0.3">
      <c r="A2685" t="s">
        <v>46</v>
      </c>
      <c r="B2685">
        <v>2020</v>
      </c>
      <c r="C2685">
        <v>2</v>
      </c>
      <c r="D2685" t="s">
        <v>13</v>
      </c>
      <c r="E2685">
        <v>412073</v>
      </c>
      <c r="F2685" s="6">
        <v>209384339.5723213</v>
      </c>
      <c r="G2685" s="5">
        <v>247483709</v>
      </c>
      <c r="H2685">
        <v>4220738874</v>
      </c>
      <c r="I2685" s="1">
        <v>0.84605302069527855</v>
      </c>
    </row>
    <row r="2686" spans="1:9" x14ac:dyDescent="0.3">
      <c r="A2686" t="s">
        <v>46</v>
      </c>
      <c r="B2686">
        <v>2020</v>
      </c>
      <c r="C2686">
        <v>3</v>
      </c>
      <c r="D2686" t="s">
        <v>10</v>
      </c>
      <c r="E2686">
        <v>54449911</v>
      </c>
      <c r="F2686" s="6">
        <v>207530912756.73047</v>
      </c>
      <c r="G2686" s="5">
        <v>273219276</v>
      </c>
      <c r="H2686">
        <v>4958629588</v>
      </c>
      <c r="I2686" s="1">
        <v>759.57639517619714</v>
      </c>
    </row>
    <row r="2687" spans="1:9" x14ac:dyDescent="0.3">
      <c r="A2687" t="s">
        <v>46</v>
      </c>
      <c r="B2687">
        <v>2020</v>
      </c>
      <c r="C2687">
        <v>3</v>
      </c>
      <c r="D2687" t="s">
        <v>9</v>
      </c>
      <c r="E2687">
        <v>37465163</v>
      </c>
      <c r="F2687" s="6">
        <v>16437365640.853413</v>
      </c>
      <c r="G2687" s="5">
        <v>273219276</v>
      </c>
      <c r="H2687">
        <v>4958629588</v>
      </c>
      <c r="I2687" s="1">
        <v>60.161808059448241</v>
      </c>
    </row>
    <row r="2688" spans="1:9" x14ac:dyDescent="0.3">
      <c r="A2688" t="s">
        <v>46</v>
      </c>
      <c r="B2688">
        <v>2020</v>
      </c>
      <c r="C2688">
        <v>3</v>
      </c>
      <c r="D2688" t="s">
        <v>11</v>
      </c>
      <c r="E2688">
        <v>34697942</v>
      </c>
      <c r="F2688" s="6">
        <v>24224433240.836243</v>
      </c>
      <c r="G2688" s="5">
        <v>273219276</v>
      </c>
      <c r="H2688">
        <v>4958629588</v>
      </c>
      <c r="I2688" s="1">
        <v>88.662972816150216</v>
      </c>
    </row>
    <row r="2689" spans="1:9" x14ac:dyDescent="0.3">
      <c r="A2689" t="s">
        <v>46</v>
      </c>
      <c r="B2689">
        <v>2020</v>
      </c>
      <c r="C2689">
        <v>3</v>
      </c>
      <c r="D2689" t="s">
        <v>12</v>
      </c>
      <c r="E2689">
        <v>206210</v>
      </c>
      <c r="F2689" s="6">
        <v>194129227.54374278</v>
      </c>
      <c r="G2689" s="5">
        <v>273219276</v>
      </c>
      <c r="H2689">
        <v>4958629588</v>
      </c>
      <c r="I2689" s="1">
        <v>0.71052537136414484</v>
      </c>
    </row>
    <row r="2690" spans="1:9" x14ac:dyDescent="0.3">
      <c r="A2690" t="s">
        <v>46</v>
      </c>
      <c r="B2690">
        <v>2020</v>
      </c>
      <c r="C2690">
        <v>3</v>
      </c>
      <c r="D2690" t="s">
        <v>13</v>
      </c>
      <c r="E2690">
        <v>586033</v>
      </c>
      <c r="F2690" s="6">
        <v>303114557.0989778</v>
      </c>
      <c r="G2690" s="5">
        <v>273219276</v>
      </c>
      <c r="H2690">
        <v>4958629588</v>
      </c>
      <c r="I2690" s="1">
        <v>1.1094186381599878</v>
      </c>
    </row>
    <row r="2691" spans="1:9" x14ac:dyDescent="0.3">
      <c r="A2691" t="s">
        <v>46</v>
      </c>
      <c r="B2691">
        <v>2020</v>
      </c>
      <c r="C2691">
        <v>4</v>
      </c>
      <c r="D2691" t="s">
        <v>10</v>
      </c>
      <c r="E2691">
        <v>75433782</v>
      </c>
      <c r="F2691" s="6">
        <v>294401153346.76337</v>
      </c>
      <c r="G2691" s="5">
        <v>299740474</v>
      </c>
      <c r="H2691">
        <v>6074428778</v>
      </c>
      <c r="I2691" s="1">
        <v>982.18685457461231</v>
      </c>
    </row>
    <row r="2692" spans="1:9" x14ac:dyDescent="0.3">
      <c r="A2692" t="s">
        <v>46</v>
      </c>
      <c r="B2692">
        <v>2020</v>
      </c>
      <c r="C2692">
        <v>4</v>
      </c>
      <c r="D2692" t="s">
        <v>11</v>
      </c>
      <c r="E2692">
        <v>61922138</v>
      </c>
      <c r="F2692" s="6">
        <v>44438824680.670944</v>
      </c>
      <c r="G2692" s="5">
        <v>299740474</v>
      </c>
      <c r="H2692">
        <v>6074428778</v>
      </c>
      <c r="I2692" s="1">
        <v>148.25767133694112</v>
      </c>
    </row>
    <row r="2693" spans="1:9" x14ac:dyDescent="0.3">
      <c r="A2693" t="s">
        <v>46</v>
      </c>
      <c r="B2693">
        <v>2020</v>
      </c>
      <c r="C2693">
        <v>4</v>
      </c>
      <c r="D2693" t="s">
        <v>9</v>
      </c>
      <c r="E2693">
        <v>39570153</v>
      </c>
      <c r="F2693" s="6">
        <v>17793973968.761925</v>
      </c>
      <c r="G2693" s="5">
        <v>299740474</v>
      </c>
      <c r="H2693">
        <v>6074428778</v>
      </c>
      <c r="I2693" s="1">
        <v>59.364602088278289</v>
      </c>
    </row>
    <row r="2694" spans="1:9" x14ac:dyDescent="0.3">
      <c r="A2694" t="s">
        <v>46</v>
      </c>
      <c r="B2694">
        <v>2020</v>
      </c>
      <c r="C2694">
        <v>4</v>
      </c>
      <c r="D2694" t="s">
        <v>12</v>
      </c>
      <c r="E2694">
        <v>246868</v>
      </c>
      <c r="F2694" s="6">
        <v>255803306.13741985</v>
      </c>
      <c r="G2694" s="5">
        <v>299740474</v>
      </c>
      <c r="H2694">
        <v>6074428778</v>
      </c>
      <c r="I2694" s="1">
        <v>0.85341596589795166</v>
      </c>
    </row>
    <row r="2695" spans="1:9" x14ac:dyDescent="0.3">
      <c r="A2695" t="s">
        <v>46</v>
      </c>
      <c r="B2695">
        <v>2020</v>
      </c>
      <c r="C2695">
        <v>4</v>
      </c>
      <c r="D2695" t="s">
        <v>13</v>
      </c>
      <c r="E2695">
        <v>994576</v>
      </c>
      <c r="F2695" s="6">
        <v>539071475.93423271</v>
      </c>
      <c r="G2695" s="5">
        <v>299740474</v>
      </c>
      <c r="H2695">
        <v>6074428778</v>
      </c>
      <c r="I2695" s="1">
        <v>1.7984607441910989</v>
      </c>
    </row>
    <row r="2696" spans="1:9" x14ac:dyDescent="0.3">
      <c r="A2696" t="s">
        <v>46</v>
      </c>
      <c r="B2696">
        <v>2021</v>
      </c>
      <c r="C2696">
        <v>1</v>
      </c>
      <c r="D2696" t="s">
        <v>10</v>
      </c>
      <c r="E2696">
        <v>85539321</v>
      </c>
      <c r="F2696" s="6">
        <v>321609613378.67889</v>
      </c>
      <c r="G2696" s="5">
        <v>324302825</v>
      </c>
      <c r="H2696">
        <v>7036901564</v>
      </c>
      <c r="I2696" s="1">
        <v>991.6953803244819</v>
      </c>
    </row>
    <row r="2697" spans="1:9" x14ac:dyDescent="0.3">
      <c r="A2697" t="s">
        <v>46</v>
      </c>
      <c r="B2697">
        <v>2021</v>
      </c>
      <c r="C2697">
        <v>1</v>
      </c>
      <c r="D2697" t="s">
        <v>11</v>
      </c>
      <c r="E2697">
        <v>78873969</v>
      </c>
      <c r="F2697" s="6">
        <v>55362244381.436859</v>
      </c>
      <c r="G2697" s="5">
        <v>324302825</v>
      </c>
      <c r="H2697">
        <v>7036901564</v>
      </c>
      <c r="I2697" s="1">
        <v>170.71156990826972</v>
      </c>
    </row>
    <row r="2698" spans="1:9" x14ac:dyDescent="0.3">
      <c r="A2698" t="s">
        <v>46</v>
      </c>
      <c r="B2698">
        <v>2021</v>
      </c>
      <c r="C2698">
        <v>1</v>
      </c>
      <c r="D2698" t="s">
        <v>9</v>
      </c>
      <c r="E2698">
        <v>38981894</v>
      </c>
      <c r="F2698" s="6">
        <v>18563189222.328217</v>
      </c>
      <c r="G2698" s="5">
        <v>324302825</v>
      </c>
      <c r="H2698">
        <v>7036901564</v>
      </c>
      <c r="I2698" s="1">
        <v>57.24029453745343</v>
      </c>
    </row>
    <row r="2699" spans="1:9" x14ac:dyDescent="0.3">
      <c r="A2699" t="s">
        <v>46</v>
      </c>
      <c r="B2699">
        <v>2021</v>
      </c>
      <c r="C2699">
        <v>1</v>
      </c>
      <c r="D2699" t="s">
        <v>12</v>
      </c>
      <c r="E2699">
        <v>250656</v>
      </c>
      <c r="F2699" s="6">
        <v>266104783.7449573</v>
      </c>
      <c r="G2699" s="5">
        <v>324302825</v>
      </c>
      <c r="H2699">
        <v>7036901564</v>
      </c>
      <c r="I2699" s="1">
        <v>0.8205441434096582</v>
      </c>
    </row>
    <row r="2700" spans="1:9" x14ac:dyDescent="0.3">
      <c r="A2700" t="s">
        <v>46</v>
      </c>
      <c r="B2700">
        <v>2021</v>
      </c>
      <c r="C2700">
        <v>1</v>
      </c>
      <c r="D2700" t="s">
        <v>13</v>
      </c>
      <c r="E2700">
        <v>853707</v>
      </c>
      <c r="F2700" s="6">
        <v>486435811.37712038</v>
      </c>
      <c r="G2700" s="5">
        <v>324302825</v>
      </c>
      <c r="H2700">
        <v>7036901564</v>
      </c>
      <c r="I2700" s="1">
        <v>1.4999431823547031</v>
      </c>
    </row>
    <row r="2701" spans="1:9" x14ac:dyDescent="0.3">
      <c r="A2701" t="s">
        <v>46</v>
      </c>
      <c r="B2701">
        <v>2021</v>
      </c>
      <c r="C2701">
        <v>2</v>
      </c>
      <c r="D2701" t="s">
        <v>10</v>
      </c>
      <c r="E2701">
        <v>102927942</v>
      </c>
      <c r="F2701" s="6">
        <v>388761820128.4563</v>
      </c>
      <c r="G2701" s="5">
        <v>348170834</v>
      </c>
      <c r="H2701">
        <v>7409587504</v>
      </c>
      <c r="I2701" s="1">
        <v>1116.583533612285</v>
      </c>
    </row>
    <row r="2702" spans="1:9" x14ac:dyDescent="0.3">
      <c r="A2702" t="s">
        <v>46</v>
      </c>
      <c r="B2702">
        <v>2021</v>
      </c>
      <c r="C2702">
        <v>2</v>
      </c>
      <c r="D2702" t="s">
        <v>11</v>
      </c>
      <c r="E2702">
        <v>84860582</v>
      </c>
      <c r="F2702" s="6">
        <v>70351401159.787872</v>
      </c>
      <c r="G2702" s="5">
        <v>348170834</v>
      </c>
      <c r="H2702">
        <v>7409587504</v>
      </c>
      <c r="I2702" s="1">
        <v>202.06000701307414</v>
      </c>
    </row>
    <row r="2703" spans="1:9" x14ac:dyDescent="0.3">
      <c r="A2703" t="s">
        <v>46</v>
      </c>
      <c r="B2703">
        <v>2021</v>
      </c>
      <c r="C2703">
        <v>2</v>
      </c>
      <c r="D2703" t="s">
        <v>9</v>
      </c>
      <c r="E2703">
        <v>53030710</v>
      </c>
      <c r="F2703" s="6">
        <v>22266927128.754082</v>
      </c>
      <c r="G2703" s="5">
        <v>348170834</v>
      </c>
      <c r="H2703">
        <v>7409587504</v>
      </c>
      <c r="I2703" s="1">
        <v>63.954027604604242</v>
      </c>
    </row>
    <row r="2704" spans="1:9" x14ac:dyDescent="0.3">
      <c r="A2704" t="s">
        <v>46</v>
      </c>
      <c r="B2704">
        <v>2021</v>
      </c>
      <c r="C2704">
        <v>2</v>
      </c>
      <c r="D2704" t="s">
        <v>12</v>
      </c>
      <c r="E2704">
        <v>270944</v>
      </c>
      <c r="F2704" s="6">
        <v>266853066.82962543</v>
      </c>
      <c r="G2704" s="5">
        <v>348170834</v>
      </c>
      <c r="H2704">
        <v>7409587504</v>
      </c>
      <c r="I2704" s="1">
        <v>0.76644290897044365</v>
      </c>
    </row>
    <row r="2705" spans="1:9" x14ac:dyDescent="0.3">
      <c r="A2705" t="s">
        <v>46</v>
      </c>
      <c r="B2705">
        <v>2021</v>
      </c>
      <c r="C2705">
        <v>2</v>
      </c>
      <c r="D2705" t="s">
        <v>13</v>
      </c>
      <c r="E2705">
        <v>858953</v>
      </c>
      <c r="F2705" s="6">
        <v>525487682.55840123</v>
      </c>
      <c r="G2705" s="5">
        <v>348170834</v>
      </c>
      <c r="H2705">
        <v>7409587504</v>
      </c>
      <c r="I2705" s="1">
        <v>1.5092811667228887</v>
      </c>
    </row>
    <row r="2706" spans="1:9" x14ac:dyDescent="0.3">
      <c r="A2706" t="s">
        <v>46</v>
      </c>
      <c r="B2706">
        <v>2021</v>
      </c>
      <c r="C2706">
        <v>3</v>
      </c>
      <c r="D2706" t="s">
        <v>10</v>
      </c>
      <c r="E2706">
        <v>127945827</v>
      </c>
      <c r="F2706" s="6">
        <v>440726915882.17084</v>
      </c>
      <c r="G2706" s="5">
        <v>375670702</v>
      </c>
      <c r="H2706">
        <v>8842791276</v>
      </c>
      <c r="I2706" s="1">
        <v>1173.1735095013366</v>
      </c>
    </row>
    <row r="2707" spans="1:9" x14ac:dyDescent="0.3">
      <c r="A2707" t="s">
        <v>46</v>
      </c>
      <c r="B2707">
        <v>2021</v>
      </c>
      <c r="C2707">
        <v>3</v>
      </c>
      <c r="D2707" t="s">
        <v>11</v>
      </c>
      <c r="E2707">
        <v>126699830</v>
      </c>
      <c r="F2707" s="6">
        <v>91089049637.023773</v>
      </c>
      <c r="G2707" s="5">
        <v>375670702</v>
      </c>
      <c r="H2707">
        <v>8842791276</v>
      </c>
      <c r="I2707" s="1">
        <v>242.4704645639994</v>
      </c>
    </row>
    <row r="2708" spans="1:9" x14ac:dyDescent="0.3">
      <c r="A2708" t="s">
        <v>46</v>
      </c>
      <c r="B2708">
        <v>2021</v>
      </c>
      <c r="C2708">
        <v>3</v>
      </c>
      <c r="D2708" t="s">
        <v>9</v>
      </c>
      <c r="E2708">
        <v>50414232</v>
      </c>
      <c r="F2708" s="6">
        <v>24348150109.635994</v>
      </c>
      <c r="G2708" s="5">
        <v>375670702</v>
      </c>
      <c r="H2708">
        <v>8842791276</v>
      </c>
      <c r="I2708" s="1">
        <v>64.812480664611414</v>
      </c>
    </row>
    <row r="2709" spans="1:9" x14ac:dyDescent="0.3">
      <c r="A2709" t="s">
        <v>46</v>
      </c>
      <c r="B2709">
        <v>2021</v>
      </c>
      <c r="C2709">
        <v>3</v>
      </c>
      <c r="D2709" t="s">
        <v>12</v>
      </c>
      <c r="E2709">
        <v>253418</v>
      </c>
      <c r="F2709" s="6">
        <v>292009129.02967483</v>
      </c>
      <c r="G2709" s="5">
        <v>375670702</v>
      </c>
      <c r="H2709">
        <v>8842791276</v>
      </c>
      <c r="I2709" s="1">
        <v>0.77730077824827237</v>
      </c>
    </row>
    <row r="2710" spans="1:9" x14ac:dyDescent="0.3">
      <c r="A2710" t="s">
        <v>46</v>
      </c>
      <c r="B2710">
        <v>2021</v>
      </c>
      <c r="C2710">
        <v>3</v>
      </c>
      <c r="D2710" t="s">
        <v>13</v>
      </c>
      <c r="E2710">
        <v>1230077</v>
      </c>
      <c r="F2710" s="6">
        <v>624716522.07454085</v>
      </c>
      <c r="G2710" s="5">
        <v>375670702</v>
      </c>
      <c r="H2710">
        <v>8842791276</v>
      </c>
      <c r="I2710" s="1">
        <v>1.6629364993028943</v>
      </c>
    </row>
    <row r="2711" spans="1:9" x14ac:dyDescent="0.3">
      <c r="A2711" t="s">
        <v>46</v>
      </c>
      <c r="B2711">
        <v>2021</v>
      </c>
      <c r="C2711">
        <v>4</v>
      </c>
      <c r="D2711" t="s">
        <v>11</v>
      </c>
      <c r="E2711">
        <v>183966052</v>
      </c>
      <c r="F2711" s="6">
        <v>142889329646.05463</v>
      </c>
      <c r="G2711" s="5">
        <v>402794205</v>
      </c>
      <c r="H2711">
        <v>12935161734</v>
      </c>
      <c r="I2711" s="1">
        <v>354.7452467595819</v>
      </c>
    </row>
    <row r="2712" spans="1:9" x14ac:dyDescent="0.3">
      <c r="A2712" t="s">
        <v>46</v>
      </c>
      <c r="B2712">
        <v>2021</v>
      </c>
      <c r="C2712">
        <v>4</v>
      </c>
      <c r="D2712" t="s">
        <v>10</v>
      </c>
      <c r="E2712">
        <v>167503176</v>
      </c>
      <c r="F2712" s="6">
        <v>600973581946.67725</v>
      </c>
      <c r="G2712" s="5">
        <v>402794205</v>
      </c>
      <c r="H2712">
        <v>12935161734</v>
      </c>
      <c r="I2712" s="1">
        <v>1492.0114899534794</v>
      </c>
    </row>
    <row r="2713" spans="1:9" x14ac:dyDescent="0.3">
      <c r="A2713" t="s">
        <v>46</v>
      </c>
      <c r="B2713">
        <v>2021</v>
      </c>
      <c r="C2713">
        <v>4</v>
      </c>
      <c r="D2713" t="s">
        <v>9</v>
      </c>
      <c r="E2713">
        <v>52863531</v>
      </c>
      <c r="F2713" s="6">
        <v>28812549097.656891</v>
      </c>
      <c r="G2713" s="5">
        <v>402794205</v>
      </c>
      <c r="H2713">
        <v>12935161734</v>
      </c>
      <c r="I2713" s="1">
        <v>71.531687248720203</v>
      </c>
    </row>
    <row r="2714" spans="1:9" x14ac:dyDescent="0.3">
      <c r="A2714" t="s">
        <v>46</v>
      </c>
      <c r="B2714">
        <v>2021</v>
      </c>
      <c r="C2714">
        <v>4</v>
      </c>
      <c r="D2714" t="s">
        <v>12</v>
      </c>
      <c r="E2714">
        <v>353219</v>
      </c>
      <c r="F2714" s="6">
        <v>386356976.48969895</v>
      </c>
      <c r="G2714" s="5">
        <v>402794205</v>
      </c>
      <c r="H2714">
        <v>12935161734</v>
      </c>
      <c r="I2714" s="1">
        <v>0.95919199356331097</v>
      </c>
    </row>
    <row r="2715" spans="1:9" x14ac:dyDescent="0.3">
      <c r="A2715" t="s">
        <v>46</v>
      </c>
      <c r="B2715">
        <v>2021</v>
      </c>
      <c r="C2715">
        <v>4</v>
      </c>
      <c r="D2715" t="s">
        <v>13</v>
      </c>
      <c r="E2715">
        <v>1471954</v>
      </c>
      <c r="F2715" s="6">
        <v>829152405.34489954</v>
      </c>
      <c r="G2715" s="5">
        <v>402794205</v>
      </c>
      <c r="H2715">
        <v>12935161734</v>
      </c>
      <c r="I2715" s="1">
        <v>2.0585013266139205</v>
      </c>
    </row>
    <row r="2716" spans="1:9" x14ac:dyDescent="0.3">
      <c r="A2716" t="s">
        <v>47</v>
      </c>
      <c r="B2716">
        <v>2018</v>
      </c>
      <c r="C2716">
        <v>1</v>
      </c>
      <c r="D2716" t="s">
        <v>9</v>
      </c>
      <c r="E2716">
        <v>730428</v>
      </c>
      <c r="F2716" s="6">
        <v>124377517.33491451</v>
      </c>
      <c r="G2716" s="5">
        <v>5313473</v>
      </c>
      <c r="H2716">
        <v>0</v>
      </c>
      <c r="I2716" s="1">
        <v>23.407951322028833</v>
      </c>
    </row>
    <row r="2717" spans="1:9" x14ac:dyDescent="0.3">
      <c r="A2717" t="s">
        <v>47</v>
      </c>
      <c r="B2717">
        <v>2018</v>
      </c>
      <c r="C2717">
        <v>1</v>
      </c>
      <c r="D2717" t="s">
        <v>10</v>
      </c>
      <c r="E2717">
        <v>399545</v>
      </c>
      <c r="F2717" s="6">
        <v>1296603346.3345981</v>
      </c>
      <c r="G2717" s="5">
        <v>5313473</v>
      </c>
      <c r="H2717">
        <v>0</v>
      </c>
      <c r="I2717" s="1">
        <v>244.02181893736883</v>
      </c>
    </row>
    <row r="2718" spans="1:9" x14ac:dyDescent="0.3">
      <c r="A2718" t="s">
        <v>47</v>
      </c>
      <c r="B2718">
        <v>2018</v>
      </c>
      <c r="C2718">
        <v>1</v>
      </c>
      <c r="D2718" t="s">
        <v>11</v>
      </c>
      <c r="E2718">
        <v>35382</v>
      </c>
      <c r="F2718" s="6">
        <v>39372913.104244113</v>
      </c>
      <c r="G2718" s="5">
        <v>5313473</v>
      </c>
      <c r="H2718">
        <v>0</v>
      </c>
      <c r="I2718" s="1">
        <v>7.4100147124572029</v>
      </c>
    </row>
    <row r="2719" spans="1:9" x14ac:dyDescent="0.3">
      <c r="A2719" t="s">
        <v>47</v>
      </c>
      <c r="B2719">
        <v>2018</v>
      </c>
      <c r="C2719">
        <v>1</v>
      </c>
      <c r="D2719" t="s">
        <v>12</v>
      </c>
      <c r="E2719">
        <v>27761</v>
      </c>
      <c r="F2719" s="6">
        <v>5637758.5563494945</v>
      </c>
      <c r="G2719" s="5">
        <v>5313473</v>
      </c>
      <c r="H2719">
        <v>0</v>
      </c>
      <c r="I2719" s="1">
        <v>1.061030809105362</v>
      </c>
    </row>
    <row r="2720" spans="1:9" x14ac:dyDescent="0.3">
      <c r="A2720" t="s">
        <v>47</v>
      </c>
      <c r="B2720">
        <v>2018</v>
      </c>
      <c r="C2720">
        <v>1</v>
      </c>
      <c r="D2720" t="s">
        <v>13</v>
      </c>
      <c r="E2720">
        <v>53569</v>
      </c>
      <c r="F2720" s="6">
        <v>42553823.193780273</v>
      </c>
      <c r="G2720" s="5">
        <v>5313473</v>
      </c>
      <c r="H2720">
        <v>0</v>
      </c>
      <c r="I2720" s="1">
        <v>8.0086646142325879</v>
      </c>
    </row>
    <row r="2721" spans="1:9" x14ac:dyDescent="0.3">
      <c r="A2721" t="s">
        <v>47</v>
      </c>
      <c r="B2721">
        <v>2018</v>
      </c>
      <c r="C2721">
        <v>2</v>
      </c>
      <c r="D2721" t="s">
        <v>9</v>
      </c>
      <c r="E2721">
        <v>946332</v>
      </c>
      <c r="F2721" s="6">
        <v>193802092.8234874</v>
      </c>
      <c r="G2721" s="5">
        <v>7140562</v>
      </c>
      <c r="H2721">
        <v>0</v>
      </c>
      <c r="I2721" s="1">
        <v>27.14101394588933</v>
      </c>
    </row>
    <row r="2722" spans="1:9" x14ac:dyDescent="0.3">
      <c r="A2722" t="s">
        <v>47</v>
      </c>
      <c r="B2722">
        <v>2018</v>
      </c>
      <c r="C2722">
        <v>2</v>
      </c>
      <c r="D2722" t="s">
        <v>10</v>
      </c>
      <c r="E2722">
        <v>620490</v>
      </c>
      <c r="F2722" s="6">
        <v>2358941864.7682114</v>
      </c>
      <c r="G2722" s="5">
        <v>7140562</v>
      </c>
      <c r="H2722">
        <v>0</v>
      </c>
      <c r="I2722" s="1">
        <v>330.35801170387026</v>
      </c>
    </row>
    <row r="2723" spans="1:9" x14ac:dyDescent="0.3">
      <c r="A2723" t="s">
        <v>47</v>
      </c>
      <c r="B2723">
        <v>2018</v>
      </c>
      <c r="C2723">
        <v>2</v>
      </c>
      <c r="D2723" t="s">
        <v>11</v>
      </c>
      <c r="E2723">
        <v>60494</v>
      </c>
      <c r="F2723" s="6">
        <v>66946005.758901328</v>
      </c>
      <c r="G2723" s="5">
        <v>7140562</v>
      </c>
      <c r="H2723">
        <v>0</v>
      </c>
      <c r="I2723" s="1">
        <v>9.375453326909188</v>
      </c>
    </row>
    <row r="2724" spans="1:9" x14ac:dyDescent="0.3">
      <c r="A2724" t="s">
        <v>47</v>
      </c>
      <c r="B2724">
        <v>2018</v>
      </c>
      <c r="C2724">
        <v>2</v>
      </c>
      <c r="D2724" t="s">
        <v>12</v>
      </c>
      <c r="E2724">
        <v>29919</v>
      </c>
      <c r="F2724" s="6">
        <v>7913276.7785011362</v>
      </c>
      <c r="G2724" s="5">
        <v>7140562</v>
      </c>
      <c r="H2724">
        <v>0</v>
      </c>
      <c r="I2724" s="1">
        <v>1.108214840582735</v>
      </c>
    </row>
    <row r="2725" spans="1:9" x14ac:dyDescent="0.3">
      <c r="A2725" t="s">
        <v>47</v>
      </c>
      <c r="B2725">
        <v>2018</v>
      </c>
      <c r="C2725">
        <v>2</v>
      </c>
      <c r="D2725" t="s">
        <v>13</v>
      </c>
      <c r="E2725">
        <v>46887</v>
      </c>
      <c r="F2725" s="6">
        <v>52152138.421940193</v>
      </c>
      <c r="G2725" s="5">
        <v>7140562</v>
      </c>
      <c r="H2725">
        <v>0</v>
      </c>
      <c r="I2725" s="1">
        <v>7.3036461866643263</v>
      </c>
    </row>
    <row r="2726" spans="1:9" x14ac:dyDescent="0.3">
      <c r="A2726" t="s">
        <v>47</v>
      </c>
      <c r="B2726">
        <v>2018</v>
      </c>
      <c r="C2726">
        <v>3</v>
      </c>
      <c r="D2726" t="s">
        <v>10</v>
      </c>
      <c r="E2726">
        <v>1049725</v>
      </c>
      <c r="F2726" s="6">
        <v>3356030294.9306479</v>
      </c>
      <c r="G2726" s="5">
        <v>8916732</v>
      </c>
      <c r="H2726">
        <v>0</v>
      </c>
      <c r="I2726" s="1">
        <v>376.37447160357044</v>
      </c>
    </row>
    <row r="2727" spans="1:9" x14ac:dyDescent="0.3">
      <c r="A2727" t="s">
        <v>47</v>
      </c>
      <c r="B2727">
        <v>2018</v>
      </c>
      <c r="C2727">
        <v>3</v>
      </c>
      <c r="D2727" t="s">
        <v>9</v>
      </c>
      <c r="E2727">
        <v>1004356</v>
      </c>
      <c r="F2727" s="6">
        <v>239244556.76646537</v>
      </c>
      <c r="G2727" s="5">
        <v>8916732</v>
      </c>
      <c r="H2727">
        <v>0</v>
      </c>
      <c r="I2727" s="1">
        <v>26.830968651571602</v>
      </c>
    </row>
    <row r="2728" spans="1:9" x14ac:dyDescent="0.3">
      <c r="A2728" t="s">
        <v>47</v>
      </c>
      <c r="B2728">
        <v>2018</v>
      </c>
      <c r="C2728">
        <v>3</v>
      </c>
      <c r="D2728" t="s">
        <v>11</v>
      </c>
      <c r="E2728">
        <v>112342</v>
      </c>
      <c r="F2728" s="6">
        <v>84447374.865835235</v>
      </c>
      <c r="G2728" s="5">
        <v>8916732</v>
      </c>
      <c r="H2728">
        <v>0</v>
      </c>
      <c r="I2728" s="1">
        <v>9.4706642372828114</v>
      </c>
    </row>
    <row r="2729" spans="1:9" x14ac:dyDescent="0.3">
      <c r="A2729" t="s">
        <v>47</v>
      </c>
      <c r="B2729">
        <v>2018</v>
      </c>
      <c r="C2729">
        <v>3</v>
      </c>
      <c r="D2729" t="s">
        <v>12</v>
      </c>
      <c r="E2729">
        <v>22792</v>
      </c>
      <c r="F2729" s="6">
        <v>4334709.9096458489</v>
      </c>
      <c r="G2729" s="5">
        <v>8916732</v>
      </c>
      <c r="H2729">
        <v>0</v>
      </c>
      <c r="I2729" s="1">
        <v>0.48613212886131923</v>
      </c>
    </row>
    <row r="2730" spans="1:9" x14ac:dyDescent="0.3">
      <c r="A2730" t="s">
        <v>47</v>
      </c>
      <c r="B2730">
        <v>2018</v>
      </c>
      <c r="C2730">
        <v>3</v>
      </c>
      <c r="D2730" t="s">
        <v>13</v>
      </c>
      <c r="E2730">
        <v>39917</v>
      </c>
      <c r="F2730" s="6">
        <v>42516103.385902733</v>
      </c>
      <c r="G2730" s="5">
        <v>8916732</v>
      </c>
      <c r="H2730">
        <v>0</v>
      </c>
      <c r="I2730" s="1">
        <v>4.7681261908401789</v>
      </c>
    </row>
    <row r="2731" spans="1:9" x14ac:dyDescent="0.3">
      <c r="A2731" t="s">
        <v>47</v>
      </c>
      <c r="B2731">
        <v>2018</v>
      </c>
      <c r="C2731">
        <v>4</v>
      </c>
      <c r="D2731" t="s">
        <v>10</v>
      </c>
      <c r="E2731">
        <v>1556731</v>
      </c>
      <c r="F2731" s="6">
        <v>5072621132.3435488</v>
      </c>
      <c r="G2731" s="5">
        <v>11133133</v>
      </c>
      <c r="H2731">
        <v>0</v>
      </c>
      <c r="I2731" s="1">
        <v>455.63285126869039</v>
      </c>
    </row>
    <row r="2732" spans="1:9" x14ac:dyDescent="0.3">
      <c r="A2732" t="s">
        <v>47</v>
      </c>
      <c r="B2732">
        <v>2018</v>
      </c>
      <c r="C2732">
        <v>4</v>
      </c>
      <c r="D2732" t="s">
        <v>9</v>
      </c>
      <c r="E2732">
        <v>1252124</v>
      </c>
      <c r="F2732" s="6">
        <v>292877734.33795583</v>
      </c>
      <c r="G2732" s="5">
        <v>11133133</v>
      </c>
      <c r="H2732">
        <v>0</v>
      </c>
      <c r="I2732" s="1">
        <v>26.306856689662816</v>
      </c>
    </row>
    <row r="2733" spans="1:9" x14ac:dyDescent="0.3">
      <c r="A2733" t="s">
        <v>47</v>
      </c>
      <c r="B2733">
        <v>2018</v>
      </c>
      <c r="C2733">
        <v>4</v>
      </c>
      <c r="D2733" t="s">
        <v>11</v>
      </c>
      <c r="E2733">
        <v>289733</v>
      </c>
      <c r="F2733" s="6">
        <v>228453045.85460952</v>
      </c>
      <c r="G2733" s="5">
        <v>11133133</v>
      </c>
      <c r="H2733">
        <v>0</v>
      </c>
      <c r="I2733" s="1">
        <v>20.520103896594922</v>
      </c>
    </row>
    <row r="2734" spans="1:9" x14ac:dyDescent="0.3">
      <c r="A2734" t="s">
        <v>47</v>
      </c>
      <c r="B2734">
        <v>2018</v>
      </c>
      <c r="C2734">
        <v>4</v>
      </c>
      <c r="D2734" t="s">
        <v>12</v>
      </c>
      <c r="E2734">
        <v>29916</v>
      </c>
      <c r="F2734" s="6">
        <v>6035161.0988926934</v>
      </c>
      <c r="G2734" s="5">
        <v>11133133</v>
      </c>
      <c r="H2734">
        <v>0</v>
      </c>
      <c r="I2734" s="1">
        <v>0.54209009259951291</v>
      </c>
    </row>
    <row r="2735" spans="1:9" x14ac:dyDescent="0.3">
      <c r="A2735" t="s">
        <v>47</v>
      </c>
      <c r="B2735">
        <v>2018</v>
      </c>
      <c r="C2735">
        <v>4</v>
      </c>
      <c r="D2735" t="s">
        <v>13</v>
      </c>
      <c r="E2735">
        <v>50257</v>
      </c>
      <c r="F2735" s="6">
        <v>54285064.328889735</v>
      </c>
      <c r="G2735" s="5">
        <v>11133133</v>
      </c>
      <c r="H2735">
        <v>0</v>
      </c>
      <c r="I2735" s="1">
        <v>4.8759917202902123</v>
      </c>
    </row>
    <row r="2736" spans="1:9" x14ac:dyDescent="0.3">
      <c r="A2736" t="s">
        <v>47</v>
      </c>
      <c r="B2736">
        <v>2019</v>
      </c>
      <c r="C2736">
        <v>1</v>
      </c>
      <c r="D2736" t="s">
        <v>10</v>
      </c>
      <c r="E2736">
        <v>3499130</v>
      </c>
      <c r="F2736" s="6">
        <v>6512361464.4960709</v>
      </c>
      <c r="G2736" s="5">
        <v>13474505</v>
      </c>
      <c r="H2736">
        <v>0</v>
      </c>
      <c r="I2736" s="1">
        <v>483.3098851865854</v>
      </c>
    </row>
    <row r="2737" spans="1:9" x14ac:dyDescent="0.3">
      <c r="A2737" t="s">
        <v>47</v>
      </c>
      <c r="B2737">
        <v>2019</v>
      </c>
      <c r="C2737">
        <v>1</v>
      </c>
      <c r="D2737" t="s">
        <v>9</v>
      </c>
      <c r="E2737">
        <v>1590269</v>
      </c>
      <c r="F2737" s="6">
        <v>394631055.69318432</v>
      </c>
      <c r="G2737" s="5">
        <v>13474505</v>
      </c>
      <c r="H2737">
        <v>0</v>
      </c>
      <c r="I2737" s="1">
        <v>29.287239545585113</v>
      </c>
    </row>
    <row r="2738" spans="1:9" x14ac:dyDescent="0.3">
      <c r="A2738" t="s">
        <v>47</v>
      </c>
      <c r="B2738">
        <v>2019</v>
      </c>
      <c r="C2738">
        <v>1</v>
      </c>
      <c r="D2738" t="s">
        <v>11</v>
      </c>
      <c r="E2738">
        <v>372290</v>
      </c>
      <c r="F2738" s="6">
        <v>226281078.76994139</v>
      </c>
      <c r="G2738" s="5">
        <v>13474505</v>
      </c>
      <c r="H2738">
        <v>0</v>
      </c>
      <c r="I2738" s="1">
        <v>16.793275802706027</v>
      </c>
    </row>
    <row r="2739" spans="1:9" x14ac:dyDescent="0.3">
      <c r="A2739" t="s">
        <v>47</v>
      </c>
      <c r="B2739">
        <v>2019</v>
      </c>
      <c r="C2739">
        <v>1</v>
      </c>
      <c r="D2739" t="s">
        <v>12</v>
      </c>
      <c r="E2739">
        <v>28784</v>
      </c>
      <c r="F2739" s="6">
        <v>3951610.3049537898</v>
      </c>
      <c r="G2739" s="5">
        <v>13474505</v>
      </c>
      <c r="H2739">
        <v>0</v>
      </c>
      <c r="I2739" s="1">
        <v>0.2932657121692997</v>
      </c>
    </row>
    <row r="2740" spans="1:9" x14ac:dyDescent="0.3">
      <c r="A2740" t="s">
        <v>47</v>
      </c>
      <c r="B2740">
        <v>2019</v>
      </c>
      <c r="C2740">
        <v>1</v>
      </c>
      <c r="D2740" t="s">
        <v>13</v>
      </c>
      <c r="E2740">
        <v>55528</v>
      </c>
      <c r="F2740" s="6">
        <v>46303966.009797812</v>
      </c>
      <c r="G2740" s="5">
        <v>13474505</v>
      </c>
      <c r="H2740">
        <v>0</v>
      </c>
      <c r="I2740" s="1">
        <v>3.4364131379815297</v>
      </c>
    </row>
    <row r="2741" spans="1:9" x14ac:dyDescent="0.3">
      <c r="A2741" t="s">
        <v>47</v>
      </c>
      <c r="B2741">
        <v>2019</v>
      </c>
      <c r="C2741">
        <v>2</v>
      </c>
      <c r="D2741" t="s">
        <v>10</v>
      </c>
      <c r="E2741">
        <v>2383662</v>
      </c>
      <c r="F2741" s="6">
        <v>7752954670.5802088</v>
      </c>
      <c r="G2741" s="5">
        <v>15557729</v>
      </c>
      <c r="H2741">
        <v>81997069</v>
      </c>
      <c r="I2741" s="1">
        <v>498.33460080068295</v>
      </c>
    </row>
    <row r="2742" spans="1:9" x14ac:dyDescent="0.3">
      <c r="A2742" t="s">
        <v>47</v>
      </c>
      <c r="B2742">
        <v>2019</v>
      </c>
      <c r="C2742">
        <v>2</v>
      </c>
      <c r="D2742" t="s">
        <v>9</v>
      </c>
      <c r="E2742">
        <v>1616176</v>
      </c>
      <c r="F2742" s="6">
        <v>454962951.91365969</v>
      </c>
      <c r="G2742" s="5">
        <v>15557729</v>
      </c>
      <c r="H2742">
        <v>81997069</v>
      </c>
      <c r="I2742" s="1">
        <v>29.243532389184804</v>
      </c>
    </row>
    <row r="2743" spans="1:9" x14ac:dyDescent="0.3">
      <c r="A2743" t="s">
        <v>47</v>
      </c>
      <c r="B2743">
        <v>2019</v>
      </c>
      <c r="C2743">
        <v>2</v>
      </c>
      <c r="D2743" t="s">
        <v>11</v>
      </c>
      <c r="E2743">
        <v>721858</v>
      </c>
      <c r="F2743" s="6">
        <v>323876953.41043639</v>
      </c>
      <c r="G2743" s="5">
        <v>15557729</v>
      </c>
      <c r="H2743">
        <v>81997069</v>
      </c>
      <c r="I2743" s="1">
        <v>20.817752604537358</v>
      </c>
    </row>
    <row r="2744" spans="1:9" x14ac:dyDescent="0.3">
      <c r="A2744" t="s">
        <v>47</v>
      </c>
      <c r="B2744">
        <v>2019</v>
      </c>
      <c r="C2744">
        <v>2</v>
      </c>
      <c r="D2744" t="s">
        <v>12</v>
      </c>
      <c r="E2744">
        <v>21852</v>
      </c>
      <c r="F2744" s="6">
        <v>2550386.4774141517</v>
      </c>
      <c r="G2744" s="5">
        <v>15557729</v>
      </c>
      <c r="H2744">
        <v>81997069</v>
      </c>
      <c r="I2744" s="1">
        <v>0.16393051179990034</v>
      </c>
    </row>
    <row r="2745" spans="1:9" x14ac:dyDescent="0.3">
      <c r="A2745" t="s">
        <v>47</v>
      </c>
      <c r="B2745">
        <v>2019</v>
      </c>
      <c r="C2745">
        <v>2</v>
      </c>
      <c r="D2745" t="s">
        <v>13</v>
      </c>
      <c r="E2745">
        <v>69727</v>
      </c>
      <c r="F2745" s="6">
        <v>54187888.536771461</v>
      </c>
      <c r="G2745" s="5">
        <v>15557729</v>
      </c>
      <c r="H2745">
        <v>81997069</v>
      </c>
      <c r="I2745" s="1">
        <v>3.4830204676255425</v>
      </c>
    </row>
    <row r="2746" spans="1:9" x14ac:dyDescent="0.3">
      <c r="A2746" t="s">
        <v>47</v>
      </c>
      <c r="B2746">
        <v>2019</v>
      </c>
      <c r="C2746">
        <v>3</v>
      </c>
      <c r="D2746" t="s">
        <v>10</v>
      </c>
      <c r="E2746">
        <v>2313544</v>
      </c>
      <c r="F2746" s="6">
        <v>8512622076.4363308</v>
      </c>
      <c r="G2746" s="5">
        <v>17444449</v>
      </c>
      <c r="H2746">
        <v>271270868</v>
      </c>
      <c r="I2746" s="1">
        <v>487.98457758318023</v>
      </c>
    </row>
    <row r="2747" spans="1:9" x14ac:dyDescent="0.3">
      <c r="A2747" t="s">
        <v>47</v>
      </c>
      <c r="B2747">
        <v>2019</v>
      </c>
      <c r="C2747">
        <v>3</v>
      </c>
      <c r="D2747" t="s">
        <v>9</v>
      </c>
      <c r="E2747">
        <v>2201606</v>
      </c>
      <c r="F2747" s="6">
        <v>683772296.97484934</v>
      </c>
      <c r="G2747" s="5">
        <v>17444449</v>
      </c>
      <c r="H2747">
        <v>271270868</v>
      </c>
      <c r="I2747" s="1">
        <v>39.19712780695162</v>
      </c>
    </row>
    <row r="2748" spans="1:9" x14ac:dyDescent="0.3">
      <c r="A2748" t="s">
        <v>47</v>
      </c>
      <c r="B2748">
        <v>2019</v>
      </c>
      <c r="C2748">
        <v>3</v>
      </c>
      <c r="D2748" t="s">
        <v>11</v>
      </c>
      <c r="E2748">
        <v>1121052</v>
      </c>
      <c r="F2748" s="6">
        <v>480794827.11930072</v>
      </c>
      <c r="G2748" s="5">
        <v>17444449</v>
      </c>
      <c r="H2748">
        <v>271270868</v>
      </c>
      <c r="I2748" s="1">
        <v>27.561479707344194</v>
      </c>
    </row>
    <row r="2749" spans="1:9" x14ac:dyDescent="0.3">
      <c r="A2749" t="s">
        <v>47</v>
      </c>
      <c r="B2749">
        <v>2019</v>
      </c>
      <c r="C2749">
        <v>3</v>
      </c>
      <c r="D2749" t="s">
        <v>12</v>
      </c>
      <c r="E2749">
        <v>12119</v>
      </c>
      <c r="F2749" s="6">
        <v>4570326.1920042569</v>
      </c>
      <c r="G2749" s="5">
        <v>17444449</v>
      </c>
      <c r="H2749">
        <v>271270868</v>
      </c>
      <c r="I2749" s="1">
        <v>0.26199315277910223</v>
      </c>
    </row>
    <row r="2750" spans="1:9" x14ac:dyDescent="0.3">
      <c r="A2750" t="s">
        <v>47</v>
      </c>
      <c r="B2750">
        <v>2019</v>
      </c>
      <c r="C2750">
        <v>3</v>
      </c>
      <c r="D2750" t="s">
        <v>13</v>
      </c>
      <c r="E2750">
        <v>62155</v>
      </c>
      <c r="F2750" s="6">
        <v>47272543.294839665</v>
      </c>
      <c r="G2750" s="5">
        <v>17444449</v>
      </c>
      <c r="H2750">
        <v>271270868</v>
      </c>
      <c r="I2750" s="1">
        <v>2.709890309223276</v>
      </c>
    </row>
    <row r="2751" spans="1:9" x14ac:dyDescent="0.3">
      <c r="A2751" t="s">
        <v>47</v>
      </c>
      <c r="B2751">
        <v>2019</v>
      </c>
      <c r="C2751">
        <v>4</v>
      </c>
      <c r="D2751" t="s">
        <v>10</v>
      </c>
      <c r="E2751">
        <v>3210116</v>
      </c>
      <c r="F2751" s="6">
        <v>11020339546.604958</v>
      </c>
      <c r="G2751" s="5">
        <v>19279447</v>
      </c>
      <c r="H2751">
        <v>317392537</v>
      </c>
      <c r="I2751" s="1">
        <v>571.61077009132873</v>
      </c>
    </row>
    <row r="2752" spans="1:9" x14ac:dyDescent="0.3">
      <c r="A2752" t="s">
        <v>47</v>
      </c>
      <c r="B2752">
        <v>2019</v>
      </c>
      <c r="C2752">
        <v>4</v>
      </c>
      <c r="D2752" t="s">
        <v>9</v>
      </c>
      <c r="E2752">
        <v>2547173</v>
      </c>
      <c r="F2752" s="6">
        <v>817728111.45763159</v>
      </c>
      <c r="G2752" s="5">
        <v>19279447</v>
      </c>
      <c r="H2752">
        <v>317392537</v>
      </c>
      <c r="I2752" s="1">
        <v>42.414500346282317</v>
      </c>
    </row>
    <row r="2753" spans="1:9" x14ac:dyDescent="0.3">
      <c r="A2753" t="s">
        <v>47</v>
      </c>
      <c r="B2753">
        <v>2019</v>
      </c>
      <c r="C2753">
        <v>4</v>
      </c>
      <c r="D2753" t="s">
        <v>11</v>
      </c>
      <c r="E2753">
        <v>1542944</v>
      </c>
      <c r="F2753" s="6">
        <v>701746516.87313676</v>
      </c>
      <c r="G2753" s="5">
        <v>19279447</v>
      </c>
      <c r="H2753">
        <v>317392537</v>
      </c>
      <c r="I2753" s="1">
        <v>36.398684924579875</v>
      </c>
    </row>
    <row r="2754" spans="1:9" x14ac:dyDescent="0.3">
      <c r="A2754" t="s">
        <v>47</v>
      </c>
      <c r="B2754">
        <v>2019</v>
      </c>
      <c r="C2754">
        <v>4</v>
      </c>
      <c r="D2754" t="s">
        <v>12</v>
      </c>
      <c r="E2754">
        <v>11585</v>
      </c>
      <c r="F2754" s="6">
        <v>3555524.3767221333</v>
      </c>
      <c r="G2754" s="5">
        <v>19279447</v>
      </c>
      <c r="H2754">
        <v>317392537</v>
      </c>
      <c r="I2754" s="1">
        <v>0.18442045442082095</v>
      </c>
    </row>
    <row r="2755" spans="1:9" x14ac:dyDescent="0.3">
      <c r="A2755" t="s">
        <v>47</v>
      </c>
      <c r="B2755">
        <v>2019</v>
      </c>
      <c r="C2755">
        <v>4</v>
      </c>
      <c r="D2755" t="s">
        <v>13</v>
      </c>
      <c r="E2755">
        <v>50298</v>
      </c>
      <c r="F2755" s="6">
        <v>30336605.838333592</v>
      </c>
      <c r="G2755" s="5">
        <v>19279447</v>
      </c>
      <c r="H2755">
        <v>317392537</v>
      </c>
      <c r="I2755" s="1">
        <v>1.5735205391696967</v>
      </c>
    </row>
    <row r="2756" spans="1:9" x14ac:dyDescent="0.3">
      <c r="A2756" t="s">
        <v>47</v>
      </c>
      <c r="B2756">
        <v>2020</v>
      </c>
      <c r="C2756">
        <v>1</v>
      </c>
      <c r="D2756" t="s">
        <v>10</v>
      </c>
      <c r="E2756">
        <v>3792776</v>
      </c>
      <c r="F2756" s="6">
        <v>13999676596.865887</v>
      </c>
      <c r="G2756" s="5">
        <v>21379666</v>
      </c>
      <c r="H2756">
        <v>358943915</v>
      </c>
      <c r="I2756" s="1">
        <v>654.81268963069328</v>
      </c>
    </row>
    <row r="2757" spans="1:9" x14ac:dyDescent="0.3">
      <c r="A2757" t="s">
        <v>47</v>
      </c>
      <c r="B2757">
        <v>2020</v>
      </c>
      <c r="C2757">
        <v>1</v>
      </c>
      <c r="D2757" t="s">
        <v>9</v>
      </c>
      <c r="E2757">
        <v>2990764</v>
      </c>
      <c r="F2757" s="6">
        <v>1028598924.445406</v>
      </c>
      <c r="G2757" s="5">
        <v>21379666</v>
      </c>
      <c r="H2757">
        <v>358943915</v>
      </c>
      <c r="I2757" s="1">
        <v>48.111084824496601</v>
      </c>
    </row>
    <row r="2758" spans="1:9" x14ac:dyDescent="0.3">
      <c r="A2758" t="s">
        <v>47</v>
      </c>
      <c r="B2758">
        <v>2020</v>
      </c>
      <c r="C2758">
        <v>1</v>
      </c>
      <c r="D2758" t="s">
        <v>11</v>
      </c>
      <c r="E2758">
        <v>2289657</v>
      </c>
      <c r="F2758" s="6">
        <v>1094245197.2356641</v>
      </c>
      <c r="G2758" s="5">
        <v>21379666</v>
      </c>
      <c r="H2758">
        <v>358943915</v>
      </c>
      <c r="I2758" s="1">
        <v>51.181585214458643</v>
      </c>
    </row>
    <row r="2759" spans="1:9" x14ac:dyDescent="0.3">
      <c r="A2759" t="s">
        <v>47</v>
      </c>
      <c r="B2759">
        <v>2020</v>
      </c>
      <c r="C2759">
        <v>1</v>
      </c>
      <c r="D2759" t="s">
        <v>12</v>
      </c>
      <c r="E2759">
        <v>10246</v>
      </c>
      <c r="F2759" s="6">
        <v>8180881.8086930467</v>
      </c>
      <c r="G2759" s="5">
        <v>21379666</v>
      </c>
      <c r="H2759">
        <v>358943915</v>
      </c>
      <c r="I2759" s="1">
        <v>0.38264778358525559</v>
      </c>
    </row>
    <row r="2760" spans="1:9" x14ac:dyDescent="0.3">
      <c r="A2760" t="s">
        <v>47</v>
      </c>
      <c r="B2760">
        <v>2020</v>
      </c>
      <c r="C2760">
        <v>1</v>
      </c>
      <c r="D2760" t="s">
        <v>13</v>
      </c>
      <c r="E2760">
        <v>48341</v>
      </c>
      <c r="F2760" s="6">
        <v>27378658.631921414</v>
      </c>
      <c r="G2760" s="5">
        <v>21379666</v>
      </c>
      <c r="H2760">
        <v>358943915</v>
      </c>
      <c r="I2760" s="1">
        <v>1.2805933746542819</v>
      </c>
    </row>
    <row r="2761" spans="1:9" x14ac:dyDescent="0.3">
      <c r="A2761" t="s">
        <v>47</v>
      </c>
      <c r="B2761">
        <v>2020</v>
      </c>
      <c r="C2761">
        <v>2</v>
      </c>
      <c r="D2761" t="s">
        <v>9</v>
      </c>
      <c r="E2761">
        <v>3755695</v>
      </c>
      <c r="F2761" s="6">
        <v>1303523584.942265</v>
      </c>
      <c r="G2761" s="5">
        <v>23634237</v>
      </c>
      <c r="H2761">
        <v>341822723</v>
      </c>
      <c r="I2761" s="1">
        <v>55.15403712598232</v>
      </c>
    </row>
    <row r="2762" spans="1:9" x14ac:dyDescent="0.3">
      <c r="A2762" t="s">
        <v>47</v>
      </c>
      <c r="B2762">
        <v>2020</v>
      </c>
      <c r="C2762">
        <v>2</v>
      </c>
      <c r="D2762" t="s">
        <v>10</v>
      </c>
      <c r="E2762">
        <v>3656029</v>
      </c>
      <c r="F2762" s="6">
        <v>13572964169.690296</v>
      </c>
      <c r="G2762" s="5">
        <v>23634237</v>
      </c>
      <c r="H2762">
        <v>341822723</v>
      </c>
      <c r="I2762" s="1">
        <v>574.2924626545082</v>
      </c>
    </row>
    <row r="2763" spans="1:9" x14ac:dyDescent="0.3">
      <c r="A2763" t="s">
        <v>47</v>
      </c>
      <c r="B2763">
        <v>2020</v>
      </c>
      <c r="C2763">
        <v>2</v>
      </c>
      <c r="D2763" t="s">
        <v>11</v>
      </c>
      <c r="E2763">
        <v>1587042</v>
      </c>
      <c r="F2763" s="6">
        <v>1181497493.0283294</v>
      </c>
      <c r="G2763" s="5">
        <v>23634237</v>
      </c>
      <c r="H2763">
        <v>341822723</v>
      </c>
      <c r="I2763" s="1">
        <v>49.990930235163901</v>
      </c>
    </row>
    <row r="2764" spans="1:9" x14ac:dyDescent="0.3">
      <c r="A2764" t="s">
        <v>47</v>
      </c>
      <c r="B2764">
        <v>2020</v>
      </c>
      <c r="C2764">
        <v>2</v>
      </c>
      <c r="D2764" t="s">
        <v>12</v>
      </c>
      <c r="E2764">
        <v>15023</v>
      </c>
      <c r="F2764" s="6">
        <v>17612288.057719551</v>
      </c>
      <c r="G2764" s="5">
        <v>23634237</v>
      </c>
      <c r="H2764">
        <v>341822723</v>
      </c>
      <c r="I2764" s="1">
        <v>0.74520231212539467</v>
      </c>
    </row>
    <row r="2765" spans="1:9" x14ac:dyDescent="0.3">
      <c r="A2765" t="s">
        <v>47</v>
      </c>
      <c r="B2765">
        <v>2020</v>
      </c>
      <c r="C2765">
        <v>2</v>
      </c>
      <c r="D2765" t="s">
        <v>13</v>
      </c>
      <c r="E2765">
        <v>33981</v>
      </c>
      <c r="F2765" s="6">
        <v>18590166.382408556</v>
      </c>
      <c r="G2765" s="5">
        <v>23634237</v>
      </c>
      <c r="H2765">
        <v>341822723</v>
      </c>
      <c r="I2765" s="1">
        <v>0.78657781008155903</v>
      </c>
    </row>
    <row r="2766" spans="1:9" x14ac:dyDescent="0.3">
      <c r="A2766" t="s">
        <v>47</v>
      </c>
      <c r="B2766">
        <v>2020</v>
      </c>
      <c r="C2766">
        <v>3</v>
      </c>
      <c r="D2766" t="s">
        <v>10</v>
      </c>
      <c r="E2766">
        <v>4836512</v>
      </c>
      <c r="F2766" s="6">
        <v>18377468807.449928</v>
      </c>
      <c r="G2766" s="5">
        <v>26019818</v>
      </c>
      <c r="H2766">
        <v>444150828</v>
      </c>
      <c r="I2766" s="1">
        <v>706.28736939858413</v>
      </c>
    </row>
    <row r="2767" spans="1:9" x14ac:dyDescent="0.3">
      <c r="A2767" t="s">
        <v>47</v>
      </c>
      <c r="B2767">
        <v>2020</v>
      </c>
      <c r="C2767">
        <v>3</v>
      </c>
      <c r="D2767" t="s">
        <v>9</v>
      </c>
      <c r="E2767">
        <v>3751993</v>
      </c>
      <c r="F2767" s="6">
        <v>1509373287.6970551</v>
      </c>
      <c r="G2767" s="5">
        <v>26019818</v>
      </c>
      <c r="H2767">
        <v>444150828</v>
      </c>
      <c r="I2767" s="1">
        <v>58.008602815632884</v>
      </c>
    </row>
    <row r="2768" spans="1:9" x14ac:dyDescent="0.3">
      <c r="A2768" t="s">
        <v>47</v>
      </c>
      <c r="B2768">
        <v>2020</v>
      </c>
      <c r="C2768">
        <v>3</v>
      </c>
      <c r="D2768" t="s">
        <v>11</v>
      </c>
      <c r="E2768">
        <v>3164623</v>
      </c>
      <c r="F2768" s="6">
        <v>2166776519.8536706</v>
      </c>
      <c r="G2768" s="5">
        <v>26019818</v>
      </c>
      <c r="H2768">
        <v>444150828</v>
      </c>
      <c r="I2768" s="1">
        <v>83.27408438651149</v>
      </c>
    </row>
    <row r="2769" spans="1:9" x14ac:dyDescent="0.3">
      <c r="A2769" t="s">
        <v>47</v>
      </c>
      <c r="B2769">
        <v>2020</v>
      </c>
      <c r="C2769">
        <v>3</v>
      </c>
      <c r="D2769" t="s">
        <v>12</v>
      </c>
      <c r="E2769">
        <v>20455</v>
      </c>
      <c r="F2769" s="6">
        <v>26449980.584111303</v>
      </c>
      <c r="G2769" s="5">
        <v>26019818</v>
      </c>
      <c r="H2769">
        <v>444150828</v>
      </c>
      <c r="I2769" s="1">
        <v>1.0165321134879308</v>
      </c>
    </row>
    <row r="2770" spans="1:9" x14ac:dyDescent="0.3">
      <c r="A2770" t="s">
        <v>47</v>
      </c>
      <c r="B2770">
        <v>2020</v>
      </c>
      <c r="C2770">
        <v>3</v>
      </c>
      <c r="D2770" t="s">
        <v>13</v>
      </c>
      <c r="E2770">
        <v>45352</v>
      </c>
      <c r="F2770" s="6">
        <v>23442372.421768252</v>
      </c>
      <c r="G2770" s="5">
        <v>26019818</v>
      </c>
      <c r="H2770">
        <v>444150828</v>
      </c>
      <c r="I2770" s="1">
        <v>0.90094298206729395</v>
      </c>
    </row>
    <row r="2771" spans="1:9" x14ac:dyDescent="0.3">
      <c r="A2771" t="s">
        <v>47</v>
      </c>
      <c r="B2771">
        <v>2020</v>
      </c>
      <c r="C2771">
        <v>4</v>
      </c>
      <c r="D2771" t="s">
        <v>10</v>
      </c>
      <c r="E2771">
        <v>6748183</v>
      </c>
      <c r="F2771" s="6">
        <v>25748737002.1362</v>
      </c>
      <c r="G2771" s="5">
        <v>28558684</v>
      </c>
      <c r="H2771">
        <v>578213768</v>
      </c>
      <c r="I2771" s="1">
        <v>901.60796632422557</v>
      </c>
    </row>
    <row r="2772" spans="1:9" x14ac:dyDescent="0.3">
      <c r="A2772" t="s">
        <v>47</v>
      </c>
      <c r="B2772">
        <v>2020</v>
      </c>
      <c r="C2772">
        <v>4</v>
      </c>
      <c r="D2772" t="s">
        <v>11</v>
      </c>
      <c r="E2772">
        <v>6629201</v>
      </c>
      <c r="F2772" s="6">
        <v>4274032856.6465273</v>
      </c>
      <c r="G2772" s="5">
        <v>28558684</v>
      </c>
      <c r="H2772">
        <v>578213768</v>
      </c>
      <c r="I2772" s="1">
        <v>149.65790638835205</v>
      </c>
    </row>
    <row r="2773" spans="1:9" x14ac:dyDescent="0.3">
      <c r="A2773" t="s">
        <v>47</v>
      </c>
      <c r="B2773">
        <v>2020</v>
      </c>
      <c r="C2773">
        <v>4</v>
      </c>
      <c r="D2773" t="s">
        <v>9</v>
      </c>
      <c r="E2773">
        <v>4140391</v>
      </c>
      <c r="F2773" s="6">
        <v>1697819950.5564795</v>
      </c>
      <c r="G2773" s="5">
        <v>28558684</v>
      </c>
      <c r="H2773">
        <v>578213768</v>
      </c>
      <c r="I2773" s="1">
        <v>59.450216633108148</v>
      </c>
    </row>
    <row r="2774" spans="1:9" x14ac:dyDescent="0.3">
      <c r="A2774" t="s">
        <v>47</v>
      </c>
      <c r="B2774">
        <v>2020</v>
      </c>
      <c r="C2774">
        <v>4</v>
      </c>
      <c r="D2774" t="s">
        <v>12</v>
      </c>
      <c r="E2774">
        <v>27120</v>
      </c>
      <c r="F2774" s="6">
        <v>29791064.761797357</v>
      </c>
      <c r="G2774" s="5">
        <v>28558684</v>
      </c>
      <c r="H2774">
        <v>578213768</v>
      </c>
      <c r="I2774" s="1">
        <v>1.0431525753006461</v>
      </c>
    </row>
    <row r="2775" spans="1:9" x14ac:dyDescent="0.3">
      <c r="A2775" t="s">
        <v>47</v>
      </c>
      <c r="B2775">
        <v>2020</v>
      </c>
      <c r="C2775">
        <v>4</v>
      </c>
      <c r="D2775" t="s">
        <v>13</v>
      </c>
      <c r="E2775">
        <v>68376</v>
      </c>
      <c r="F2775" s="6">
        <v>42358455.009380013</v>
      </c>
      <c r="G2775" s="5">
        <v>28558684</v>
      </c>
      <c r="H2775">
        <v>578213768</v>
      </c>
      <c r="I2775" s="1">
        <v>1.483207524876847</v>
      </c>
    </row>
    <row r="2776" spans="1:9" x14ac:dyDescent="0.3">
      <c r="A2776" t="s">
        <v>47</v>
      </c>
      <c r="B2776">
        <v>2021</v>
      </c>
      <c r="C2776">
        <v>1</v>
      </c>
      <c r="D2776" t="s">
        <v>11</v>
      </c>
      <c r="E2776">
        <v>8393767</v>
      </c>
      <c r="F2776" s="6">
        <v>5283142247.0657768</v>
      </c>
      <c r="G2776" s="5">
        <v>30823342</v>
      </c>
      <c r="H2776">
        <v>652104860</v>
      </c>
      <c r="I2776" s="1">
        <v>171.40069519605552</v>
      </c>
    </row>
    <row r="2777" spans="1:9" x14ac:dyDescent="0.3">
      <c r="A2777" t="s">
        <v>47</v>
      </c>
      <c r="B2777">
        <v>2021</v>
      </c>
      <c r="C2777">
        <v>1</v>
      </c>
      <c r="D2777" t="s">
        <v>10</v>
      </c>
      <c r="E2777">
        <v>7981710</v>
      </c>
      <c r="F2777" s="6">
        <v>29202365442.634418</v>
      </c>
      <c r="G2777" s="5">
        <v>30823342</v>
      </c>
      <c r="H2777">
        <v>652104860</v>
      </c>
      <c r="I2777" s="1">
        <v>947.41074613630212</v>
      </c>
    </row>
    <row r="2778" spans="1:9" x14ac:dyDescent="0.3">
      <c r="A2778" t="s">
        <v>47</v>
      </c>
      <c r="B2778">
        <v>2021</v>
      </c>
      <c r="C2778">
        <v>1</v>
      </c>
      <c r="D2778" t="s">
        <v>9</v>
      </c>
      <c r="E2778">
        <v>4146569</v>
      </c>
      <c r="F2778" s="6">
        <v>1727960484.030287</v>
      </c>
      <c r="G2778" s="5">
        <v>30823342</v>
      </c>
      <c r="H2778">
        <v>652104860</v>
      </c>
      <c r="I2778" s="1">
        <v>56.060127549773384</v>
      </c>
    </row>
    <row r="2779" spans="1:9" x14ac:dyDescent="0.3">
      <c r="A2779" t="s">
        <v>47</v>
      </c>
      <c r="B2779">
        <v>2021</v>
      </c>
      <c r="C2779">
        <v>1</v>
      </c>
      <c r="D2779" t="s">
        <v>12</v>
      </c>
      <c r="E2779">
        <v>30208</v>
      </c>
      <c r="F2779" s="6">
        <v>38400863.995605037</v>
      </c>
      <c r="G2779" s="5">
        <v>30823342</v>
      </c>
      <c r="H2779">
        <v>652104860</v>
      </c>
      <c r="I2779" s="1">
        <v>1.2458371319892902</v>
      </c>
    </row>
    <row r="2780" spans="1:9" x14ac:dyDescent="0.3">
      <c r="A2780" t="s">
        <v>47</v>
      </c>
      <c r="B2780">
        <v>2021</v>
      </c>
      <c r="C2780">
        <v>1</v>
      </c>
      <c r="D2780" t="s">
        <v>13</v>
      </c>
      <c r="E2780">
        <v>56148</v>
      </c>
      <c r="F2780" s="6">
        <v>36320362.172333807</v>
      </c>
      <c r="G2780" s="5">
        <v>30823342</v>
      </c>
      <c r="H2780">
        <v>652104860</v>
      </c>
      <c r="I2780" s="1">
        <v>1.1783395250370257</v>
      </c>
    </row>
    <row r="2781" spans="1:9" x14ac:dyDescent="0.3">
      <c r="A2781" t="s">
        <v>47</v>
      </c>
      <c r="B2781">
        <v>2021</v>
      </c>
      <c r="C2781">
        <v>2</v>
      </c>
      <c r="D2781" t="s">
        <v>10</v>
      </c>
      <c r="E2781">
        <v>9374939</v>
      </c>
      <c r="F2781" s="6">
        <v>32674145244.390625</v>
      </c>
      <c r="G2781" s="5">
        <v>33044440</v>
      </c>
      <c r="H2781">
        <v>862180396</v>
      </c>
      <c r="I2781" s="1">
        <v>988.79403749588812</v>
      </c>
    </row>
    <row r="2782" spans="1:9" x14ac:dyDescent="0.3">
      <c r="A2782" t="s">
        <v>47</v>
      </c>
      <c r="B2782">
        <v>2021</v>
      </c>
      <c r="C2782">
        <v>2</v>
      </c>
      <c r="D2782" t="s">
        <v>11</v>
      </c>
      <c r="E2782">
        <v>9134389</v>
      </c>
      <c r="F2782" s="6">
        <v>6257528832.0571957</v>
      </c>
      <c r="G2782" s="5">
        <v>33044440</v>
      </c>
      <c r="H2782">
        <v>862180396</v>
      </c>
      <c r="I2782" s="1">
        <v>189.36707149696576</v>
      </c>
    </row>
    <row r="2783" spans="1:9" x14ac:dyDescent="0.3">
      <c r="A2783" t="s">
        <v>47</v>
      </c>
      <c r="B2783">
        <v>2021</v>
      </c>
      <c r="C2783">
        <v>2</v>
      </c>
      <c r="D2783" t="s">
        <v>9</v>
      </c>
      <c r="E2783">
        <v>5388285</v>
      </c>
      <c r="F2783" s="6">
        <v>1979824048.8157122</v>
      </c>
      <c r="G2783" s="5">
        <v>33044440</v>
      </c>
      <c r="H2783">
        <v>862180396</v>
      </c>
      <c r="I2783" s="1">
        <v>59.913983980836477</v>
      </c>
    </row>
    <row r="2784" spans="1:9" x14ac:dyDescent="0.3">
      <c r="A2784" t="s">
        <v>47</v>
      </c>
      <c r="B2784">
        <v>2021</v>
      </c>
      <c r="C2784">
        <v>2</v>
      </c>
      <c r="D2784" t="s">
        <v>12</v>
      </c>
      <c r="E2784">
        <v>31497</v>
      </c>
      <c r="F2784" s="6">
        <v>35404991.874676295</v>
      </c>
      <c r="G2784" s="5">
        <v>33044440</v>
      </c>
      <c r="H2784">
        <v>862180396</v>
      </c>
      <c r="I2784" s="1">
        <v>1.0714356749479275</v>
      </c>
    </row>
    <row r="2785" spans="1:9" x14ac:dyDescent="0.3">
      <c r="A2785" t="s">
        <v>47</v>
      </c>
      <c r="B2785">
        <v>2021</v>
      </c>
      <c r="C2785">
        <v>2</v>
      </c>
      <c r="D2785" t="s">
        <v>13</v>
      </c>
      <c r="E2785">
        <v>71322</v>
      </c>
      <c r="F2785" s="6">
        <v>43914757.70001851</v>
      </c>
      <c r="G2785" s="5">
        <v>33044440</v>
      </c>
      <c r="H2785">
        <v>862180396</v>
      </c>
      <c r="I2785" s="1">
        <v>1.3289605664377582</v>
      </c>
    </row>
    <row r="2786" spans="1:9" x14ac:dyDescent="0.3">
      <c r="A2786" t="s">
        <v>47</v>
      </c>
      <c r="B2786">
        <v>2021</v>
      </c>
      <c r="C2786">
        <v>3</v>
      </c>
      <c r="D2786" t="s">
        <v>11</v>
      </c>
      <c r="E2786">
        <v>13673085</v>
      </c>
      <c r="F2786" s="6">
        <v>9001414756.0706863</v>
      </c>
      <c r="G2786" s="5">
        <v>35568599</v>
      </c>
      <c r="H2786">
        <v>999751830</v>
      </c>
      <c r="I2786" s="1">
        <v>253.07195135998148</v>
      </c>
    </row>
    <row r="2787" spans="1:9" x14ac:dyDescent="0.3">
      <c r="A2787" t="s">
        <v>47</v>
      </c>
      <c r="B2787">
        <v>2021</v>
      </c>
      <c r="C2787">
        <v>3</v>
      </c>
      <c r="D2787" t="s">
        <v>10</v>
      </c>
      <c r="E2787">
        <v>11867174</v>
      </c>
      <c r="F2787" s="6">
        <v>39256650720.018723</v>
      </c>
      <c r="G2787" s="5">
        <v>35568599</v>
      </c>
      <c r="H2787">
        <v>999751830</v>
      </c>
      <c r="I2787" s="1">
        <v>1103.6884168538299</v>
      </c>
    </row>
    <row r="2788" spans="1:9" x14ac:dyDescent="0.3">
      <c r="A2788" t="s">
        <v>47</v>
      </c>
      <c r="B2788">
        <v>2021</v>
      </c>
      <c r="C2788">
        <v>3</v>
      </c>
      <c r="D2788" t="s">
        <v>9</v>
      </c>
      <c r="E2788">
        <v>5388011</v>
      </c>
      <c r="F2788" s="6">
        <v>2182554095.2633209</v>
      </c>
      <c r="G2788" s="5">
        <v>35568599</v>
      </c>
      <c r="H2788">
        <v>999751830</v>
      </c>
      <c r="I2788" s="1">
        <v>61.361823536072393</v>
      </c>
    </row>
    <row r="2789" spans="1:9" x14ac:dyDescent="0.3">
      <c r="A2789" t="s">
        <v>47</v>
      </c>
      <c r="B2789">
        <v>2021</v>
      </c>
      <c r="C2789">
        <v>3</v>
      </c>
      <c r="D2789" t="s">
        <v>12</v>
      </c>
      <c r="E2789">
        <v>27839</v>
      </c>
      <c r="F2789" s="6">
        <v>38013969.983418569</v>
      </c>
      <c r="G2789" s="5">
        <v>35568599</v>
      </c>
      <c r="H2789">
        <v>999751830</v>
      </c>
      <c r="I2789" s="1">
        <v>1.0687508378786179</v>
      </c>
    </row>
    <row r="2790" spans="1:9" x14ac:dyDescent="0.3">
      <c r="A2790" t="s">
        <v>47</v>
      </c>
      <c r="B2790">
        <v>2021</v>
      </c>
      <c r="C2790">
        <v>3</v>
      </c>
      <c r="D2790" t="s">
        <v>13</v>
      </c>
      <c r="E2790">
        <v>86175</v>
      </c>
      <c r="F2790" s="6">
        <v>48863242.228284299</v>
      </c>
      <c r="G2790" s="5">
        <v>35568599</v>
      </c>
      <c r="H2790">
        <v>999751830</v>
      </c>
      <c r="I2790" s="1">
        <v>1.3737747227065171</v>
      </c>
    </row>
    <row r="2791" spans="1:9" x14ac:dyDescent="0.3">
      <c r="A2791" t="s">
        <v>47</v>
      </c>
      <c r="B2791">
        <v>2021</v>
      </c>
      <c r="C2791">
        <v>4</v>
      </c>
      <c r="D2791" t="s">
        <v>11</v>
      </c>
      <c r="E2791">
        <v>19850878</v>
      </c>
      <c r="F2791" s="6">
        <v>13515464697.761791</v>
      </c>
      <c r="G2791" s="5">
        <v>38060165</v>
      </c>
      <c r="H2791">
        <v>1220211894</v>
      </c>
      <c r="I2791" s="1">
        <v>355.10788504889013</v>
      </c>
    </row>
    <row r="2792" spans="1:9" x14ac:dyDescent="0.3">
      <c r="A2792" t="s">
        <v>47</v>
      </c>
      <c r="B2792">
        <v>2021</v>
      </c>
      <c r="C2792">
        <v>4</v>
      </c>
      <c r="D2792" t="s">
        <v>10</v>
      </c>
      <c r="E2792">
        <v>14819203</v>
      </c>
      <c r="F2792" s="6">
        <v>49969580473.077858</v>
      </c>
      <c r="G2792" s="5">
        <v>38060165</v>
      </c>
      <c r="H2792">
        <v>1220211894</v>
      </c>
      <c r="I2792" s="1">
        <v>1312.9102428504411</v>
      </c>
    </row>
    <row r="2793" spans="1:9" x14ac:dyDescent="0.3">
      <c r="A2793" t="s">
        <v>47</v>
      </c>
      <c r="B2793">
        <v>2021</v>
      </c>
      <c r="C2793">
        <v>4</v>
      </c>
      <c r="D2793" t="s">
        <v>9</v>
      </c>
      <c r="E2793">
        <v>5536262</v>
      </c>
      <c r="F2793" s="6">
        <v>2540546090.0230789</v>
      </c>
      <c r="G2793" s="5">
        <v>38060165</v>
      </c>
      <c r="H2793">
        <v>1220211894</v>
      </c>
      <c r="I2793" s="1">
        <v>66.750790229708116</v>
      </c>
    </row>
    <row r="2794" spans="1:9" x14ac:dyDescent="0.3">
      <c r="A2794" t="s">
        <v>47</v>
      </c>
      <c r="B2794">
        <v>2021</v>
      </c>
      <c r="C2794">
        <v>4</v>
      </c>
      <c r="D2794" t="s">
        <v>12</v>
      </c>
      <c r="E2794">
        <v>38764</v>
      </c>
      <c r="F2794" s="6">
        <v>51212042.381750934</v>
      </c>
      <c r="G2794" s="5">
        <v>38060165</v>
      </c>
      <c r="H2794">
        <v>1220211894</v>
      </c>
      <c r="I2794" s="1">
        <v>1.3455549228898753</v>
      </c>
    </row>
    <row r="2795" spans="1:9" x14ac:dyDescent="0.3">
      <c r="A2795" t="s">
        <v>47</v>
      </c>
      <c r="B2795">
        <v>2021</v>
      </c>
      <c r="C2795">
        <v>4</v>
      </c>
      <c r="D2795" t="s">
        <v>13</v>
      </c>
      <c r="E2795">
        <v>116173</v>
      </c>
      <c r="F2795" s="6">
        <v>71304856.176641911</v>
      </c>
      <c r="G2795" s="5">
        <v>38060165</v>
      </c>
      <c r="H2795">
        <v>1220211894</v>
      </c>
      <c r="I2795" s="1">
        <v>1.8734773266653444</v>
      </c>
    </row>
    <row r="2796" spans="1:9" x14ac:dyDescent="0.3">
      <c r="A2796" t="s">
        <v>48</v>
      </c>
      <c r="B2796">
        <v>2018</v>
      </c>
      <c r="C2796">
        <v>1</v>
      </c>
      <c r="D2796" t="s">
        <v>9</v>
      </c>
      <c r="E2796">
        <v>5773831</v>
      </c>
      <c r="F2796" s="6">
        <v>964309485.95923853</v>
      </c>
      <c r="G2796" s="5">
        <v>28652679</v>
      </c>
      <c r="H2796">
        <v>0</v>
      </c>
      <c r="I2796" s="1">
        <v>33.655124742759256</v>
      </c>
    </row>
    <row r="2797" spans="1:9" x14ac:dyDescent="0.3">
      <c r="A2797" t="s">
        <v>48</v>
      </c>
      <c r="B2797">
        <v>2018</v>
      </c>
      <c r="C2797">
        <v>1</v>
      </c>
      <c r="D2797" t="s">
        <v>10</v>
      </c>
      <c r="E2797">
        <v>4383075</v>
      </c>
      <c r="F2797" s="6">
        <v>8874266825.9857712</v>
      </c>
      <c r="G2797" s="5">
        <v>28652679</v>
      </c>
      <c r="H2797">
        <v>0</v>
      </c>
      <c r="I2797" s="1">
        <v>309.71857207438688</v>
      </c>
    </row>
    <row r="2798" spans="1:9" x14ac:dyDescent="0.3">
      <c r="A2798" t="s">
        <v>48</v>
      </c>
      <c r="B2798">
        <v>2018</v>
      </c>
      <c r="C2798">
        <v>1</v>
      </c>
      <c r="D2798" t="s">
        <v>12</v>
      </c>
      <c r="E2798">
        <v>665171</v>
      </c>
      <c r="F2798" s="6">
        <v>119502271.66944443</v>
      </c>
      <c r="G2798" s="5">
        <v>28652679</v>
      </c>
      <c r="H2798">
        <v>0</v>
      </c>
      <c r="I2798" s="1">
        <v>4.1707189638164177</v>
      </c>
    </row>
    <row r="2799" spans="1:9" x14ac:dyDescent="0.3">
      <c r="A2799" t="s">
        <v>48</v>
      </c>
      <c r="B2799">
        <v>2018</v>
      </c>
      <c r="C2799">
        <v>1</v>
      </c>
      <c r="D2799" t="s">
        <v>11</v>
      </c>
      <c r="E2799">
        <v>443378</v>
      </c>
      <c r="F2799" s="6">
        <v>366788699.65713125</v>
      </c>
      <c r="G2799" s="5">
        <v>28652679</v>
      </c>
      <c r="H2799">
        <v>0</v>
      </c>
      <c r="I2799" s="1">
        <v>12.801200880976305</v>
      </c>
    </row>
    <row r="2800" spans="1:9" x14ac:dyDescent="0.3">
      <c r="A2800" t="s">
        <v>48</v>
      </c>
      <c r="B2800">
        <v>2018</v>
      </c>
      <c r="C2800">
        <v>1</v>
      </c>
      <c r="D2800" t="s">
        <v>13</v>
      </c>
      <c r="E2800">
        <v>444770</v>
      </c>
      <c r="F2800" s="6">
        <v>301111268.86863834</v>
      </c>
      <c r="G2800" s="5">
        <v>28652679</v>
      </c>
      <c r="H2800">
        <v>0</v>
      </c>
      <c r="I2800" s="1">
        <v>10.509009257690645</v>
      </c>
    </row>
    <row r="2801" spans="1:9" x14ac:dyDescent="0.3">
      <c r="A2801" t="s">
        <v>48</v>
      </c>
      <c r="B2801">
        <v>2018</v>
      </c>
      <c r="C2801">
        <v>2</v>
      </c>
      <c r="D2801" t="s">
        <v>10</v>
      </c>
      <c r="E2801">
        <v>8284944</v>
      </c>
      <c r="F2801" s="6">
        <v>15889890046.862814</v>
      </c>
      <c r="G2801" s="5">
        <v>42171745</v>
      </c>
      <c r="H2801">
        <v>0</v>
      </c>
      <c r="I2801" s="1">
        <v>376.78995846301387</v>
      </c>
    </row>
    <row r="2802" spans="1:9" x14ac:dyDescent="0.3">
      <c r="A2802" t="s">
        <v>48</v>
      </c>
      <c r="B2802">
        <v>2018</v>
      </c>
      <c r="C2802">
        <v>2</v>
      </c>
      <c r="D2802" t="s">
        <v>9</v>
      </c>
      <c r="E2802">
        <v>7360522</v>
      </c>
      <c r="F2802" s="6">
        <v>1563841173.8396621</v>
      </c>
      <c r="G2802" s="5">
        <v>42171745</v>
      </c>
      <c r="H2802">
        <v>0</v>
      </c>
      <c r="I2802" s="1">
        <v>37.082676418527669</v>
      </c>
    </row>
    <row r="2803" spans="1:9" x14ac:dyDescent="0.3">
      <c r="A2803" t="s">
        <v>48</v>
      </c>
      <c r="B2803">
        <v>2018</v>
      </c>
      <c r="C2803">
        <v>2</v>
      </c>
      <c r="D2803" t="s">
        <v>12</v>
      </c>
      <c r="E2803">
        <v>1121570</v>
      </c>
      <c r="F2803" s="6">
        <v>160809685.93886387</v>
      </c>
      <c r="G2803" s="5">
        <v>42171745</v>
      </c>
      <c r="H2803">
        <v>0</v>
      </c>
      <c r="I2803" s="1">
        <v>3.8132091982170495</v>
      </c>
    </row>
    <row r="2804" spans="1:9" x14ac:dyDescent="0.3">
      <c r="A2804" t="s">
        <v>48</v>
      </c>
      <c r="B2804">
        <v>2018</v>
      </c>
      <c r="C2804">
        <v>2</v>
      </c>
      <c r="D2804" t="s">
        <v>11</v>
      </c>
      <c r="E2804">
        <v>937608</v>
      </c>
      <c r="F2804" s="6">
        <v>715914360.81923699</v>
      </c>
      <c r="G2804" s="5">
        <v>42171745</v>
      </c>
      <c r="H2804">
        <v>0</v>
      </c>
      <c r="I2804" s="1">
        <v>16.976161665096786</v>
      </c>
    </row>
    <row r="2805" spans="1:9" x14ac:dyDescent="0.3">
      <c r="A2805" t="s">
        <v>48</v>
      </c>
      <c r="B2805">
        <v>2018</v>
      </c>
      <c r="C2805">
        <v>2</v>
      </c>
      <c r="D2805" t="s">
        <v>13</v>
      </c>
      <c r="E2805">
        <v>377802</v>
      </c>
      <c r="F2805" s="6">
        <v>298728202.74332541</v>
      </c>
      <c r="G2805" s="5">
        <v>42171745</v>
      </c>
      <c r="H2805">
        <v>0</v>
      </c>
      <c r="I2805" s="1">
        <v>7.0836101931121283</v>
      </c>
    </row>
    <row r="2806" spans="1:9" x14ac:dyDescent="0.3">
      <c r="A2806" t="s">
        <v>48</v>
      </c>
      <c r="B2806">
        <v>2018</v>
      </c>
      <c r="C2806">
        <v>3</v>
      </c>
      <c r="D2806" t="s">
        <v>10</v>
      </c>
      <c r="E2806">
        <v>41882429</v>
      </c>
      <c r="F2806" s="6">
        <v>38439798815.237892</v>
      </c>
      <c r="G2806" s="5">
        <v>53369140</v>
      </c>
      <c r="H2806">
        <v>0</v>
      </c>
      <c r="I2806" s="1">
        <v>720.26266144138526</v>
      </c>
    </row>
    <row r="2807" spans="1:9" x14ac:dyDescent="0.3">
      <c r="A2807" t="s">
        <v>48</v>
      </c>
      <c r="B2807">
        <v>2018</v>
      </c>
      <c r="C2807">
        <v>3</v>
      </c>
      <c r="D2807" t="s">
        <v>9</v>
      </c>
      <c r="E2807">
        <v>7596315</v>
      </c>
      <c r="F2807" s="6">
        <v>1992473341.2750623</v>
      </c>
      <c r="G2807" s="5">
        <v>53369140</v>
      </c>
      <c r="H2807">
        <v>0</v>
      </c>
      <c r="I2807" s="1">
        <v>37.333810162109835</v>
      </c>
    </row>
    <row r="2808" spans="1:9" x14ac:dyDescent="0.3">
      <c r="A2808" t="s">
        <v>48</v>
      </c>
      <c r="B2808">
        <v>2018</v>
      </c>
      <c r="C2808">
        <v>3</v>
      </c>
      <c r="D2808" t="s">
        <v>11</v>
      </c>
      <c r="E2808">
        <v>2252265</v>
      </c>
      <c r="F2808" s="6">
        <v>979603555.13971066</v>
      </c>
      <c r="G2808" s="5">
        <v>53369140</v>
      </c>
      <c r="H2808">
        <v>0</v>
      </c>
      <c r="I2808" s="1">
        <v>18.355243407326981</v>
      </c>
    </row>
    <row r="2809" spans="1:9" x14ac:dyDescent="0.3">
      <c r="A2809" t="s">
        <v>48</v>
      </c>
      <c r="B2809">
        <v>2018</v>
      </c>
      <c r="C2809">
        <v>3</v>
      </c>
      <c r="D2809" t="s">
        <v>12</v>
      </c>
      <c r="E2809">
        <v>1619524</v>
      </c>
      <c r="F2809" s="6">
        <v>185187032.89650059</v>
      </c>
      <c r="G2809" s="5">
        <v>53369140</v>
      </c>
      <c r="H2809">
        <v>0</v>
      </c>
      <c r="I2809" s="1">
        <v>3.4699272444056732</v>
      </c>
    </row>
    <row r="2810" spans="1:9" x14ac:dyDescent="0.3">
      <c r="A2810" t="s">
        <v>48</v>
      </c>
      <c r="B2810">
        <v>2018</v>
      </c>
      <c r="C2810">
        <v>3</v>
      </c>
      <c r="D2810" t="s">
        <v>13</v>
      </c>
      <c r="E2810">
        <v>354883</v>
      </c>
      <c r="F2810" s="6">
        <v>246871438.6293067</v>
      </c>
      <c r="G2810" s="5">
        <v>53369140</v>
      </c>
      <c r="H2810">
        <v>0</v>
      </c>
      <c r="I2810" s="1">
        <v>4.6257338722210379</v>
      </c>
    </row>
    <row r="2811" spans="1:9" x14ac:dyDescent="0.3">
      <c r="A2811" t="s">
        <v>48</v>
      </c>
      <c r="B2811">
        <v>2018</v>
      </c>
      <c r="C2811">
        <v>4</v>
      </c>
      <c r="D2811" t="s">
        <v>10</v>
      </c>
      <c r="E2811">
        <v>17154995</v>
      </c>
      <c r="F2811" s="6">
        <v>35303180047.061478</v>
      </c>
      <c r="G2811" s="5">
        <v>69072058</v>
      </c>
      <c r="H2811">
        <v>0</v>
      </c>
      <c r="I2811" s="1">
        <v>511.10653235584027</v>
      </c>
    </row>
    <row r="2812" spans="1:9" x14ac:dyDescent="0.3">
      <c r="A2812" t="s">
        <v>48</v>
      </c>
      <c r="B2812">
        <v>2018</v>
      </c>
      <c r="C2812">
        <v>4</v>
      </c>
      <c r="D2812" t="s">
        <v>9</v>
      </c>
      <c r="E2812">
        <v>9425082</v>
      </c>
      <c r="F2812" s="6">
        <v>2467741143.2258015</v>
      </c>
      <c r="G2812" s="5">
        <v>69072058</v>
      </c>
      <c r="H2812">
        <v>0</v>
      </c>
      <c r="I2812" s="1">
        <v>35.727053959009034</v>
      </c>
    </row>
    <row r="2813" spans="1:9" x14ac:dyDescent="0.3">
      <c r="A2813" t="s">
        <v>48</v>
      </c>
      <c r="B2813">
        <v>2018</v>
      </c>
      <c r="C2813">
        <v>4</v>
      </c>
      <c r="D2813" t="s">
        <v>11</v>
      </c>
      <c r="E2813">
        <v>8633569</v>
      </c>
      <c r="F2813" s="6">
        <v>2294203496.6575317</v>
      </c>
      <c r="G2813" s="5">
        <v>69072058</v>
      </c>
      <c r="H2813">
        <v>0</v>
      </c>
      <c r="I2813" s="1">
        <v>33.214639364843187</v>
      </c>
    </row>
    <row r="2814" spans="1:9" x14ac:dyDescent="0.3">
      <c r="A2814" t="s">
        <v>48</v>
      </c>
      <c r="B2814">
        <v>2018</v>
      </c>
      <c r="C2814">
        <v>4</v>
      </c>
      <c r="D2814" t="s">
        <v>12</v>
      </c>
      <c r="E2814">
        <v>734796</v>
      </c>
      <c r="F2814" s="6">
        <v>93755616.522836253</v>
      </c>
      <c r="G2814" s="5">
        <v>69072058</v>
      </c>
      <c r="H2814">
        <v>0</v>
      </c>
      <c r="I2814" s="1">
        <v>1.3573595349198406</v>
      </c>
    </row>
    <row r="2815" spans="1:9" x14ac:dyDescent="0.3">
      <c r="A2815" t="s">
        <v>48</v>
      </c>
      <c r="B2815">
        <v>2018</v>
      </c>
      <c r="C2815">
        <v>4</v>
      </c>
      <c r="D2815" t="s">
        <v>13</v>
      </c>
      <c r="E2815">
        <v>565106</v>
      </c>
      <c r="F2815" s="6">
        <v>330738908.23670936</v>
      </c>
      <c r="G2815" s="5">
        <v>69072058</v>
      </c>
      <c r="H2815">
        <v>0</v>
      </c>
      <c r="I2815" s="1">
        <v>4.7883169810389807</v>
      </c>
    </row>
    <row r="2816" spans="1:9" x14ac:dyDescent="0.3">
      <c r="A2816" t="s">
        <v>48</v>
      </c>
      <c r="B2816">
        <v>2019</v>
      </c>
      <c r="C2816">
        <v>1</v>
      </c>
      <c r="D2816" t="s">
        <v>10</v>
      </c>
      <c r="E2816">
        <v>27374206</v>
      </c>
      <c r="F2816" s="6">
        <v>44170923881.744286</v>
      </c>
      <c r="G2816" s="5">
        <v>81943675</v>
      </c>
      <c r="H2816">
        <v>0</v>
      </c>
      <c r="I2816" s="1">
        <v>539.04006479748784</v>
      </c>
    </row>
    <row r="2817" spans="1:9" x14ac:dyDescent="0.3">
      <c r="A2817" t="s">
        <v>48</v>
      </c>
      <c r="B2817">
        <v>2019</v>
      </c>
      <c r="C2817">
        <v>1</v>
      </c>
      <c r="D2817" t="s">
        <v>9</v>
      </c>
      <c r="E2817">
        <v>11659948</v>
      </c>
      <c r="F2817" s="6">
        <v>3021107711.9021683</v>
      </c>
      <c r="G2817" s="5">
        <v>81943675</v>
      </c>
      <c r="H2817">
        <v>0</v>
      </c>
      <c r="I2817" s="1">
        <v>36.86810131352015</v>
      </c>
    </row>
    <row r="2818" spans="1:9" x14ac:dyDescent="0.3">
      <c r="A2818" t="s">
        <v>48</v>
      </c>
      <c r="B2818">
        <v>2019</v>
      </c>
      <c r="C2818">
        <v>1</v>
      </c>
      <c r="D2818" t="s">
        <v>11</v>
      </c>
      <c r="E2818">
        <v>7636726</v>
      </c>
      <c r="F2818" s="6">
        <v>2645438308.3384781</v>
      </c>
      <c r="G2818" s="5">
        <v>81943675</v>
      </c>
      <c r="H2818">
        <v>0</v>
      </c>
      <c r="I2818" s="1">
        <v>32.283618086917365</v>
      </c>
    </row>
    <row r="2819" spans="1:9" x14ac:dyDescent="0.3">
      <c r="A2819" t="s">
        <v>48</v>
      </c>
      <c r="B2819">
        <v>2019</v>
      </c>
      <c r="C2819">
        <v>1</v>
      </c>
      <c r="D2819" t="s">
        <v>12</v>
      </c>
      <c r="E2819">
        <v>525650</v>
      </c>
      <c r="F2819" s="6">
        <v>47986448.469366968</v>
      </c>
      <c r="G2819" s="5">
        <v>81943675</v>
      </c>
      <c r="H2819">
        <v>0</v>
      </c>
      <c r="I2819" s="1">
        <v>0.58560283596466678</v>
      </c>
    </row>
    <row r="2820" spans="1:9" x14ac:dyDescent="0.3">
      <c r="A2820" t="s">
        <v>48</v>
      </c>
      <c r="B2820">
        <v>2019</v>
      </c>
      <c r="C2820">
        <v>1</v>
      </c>
      <c r="D2820" t="s">
        <v>13</v>
      </c>
      <c r="E2820">
        <v>429858</v>
      </c>
      <c r="F2820" s="6">
        <v>279216273.42549002</v>
      </c>
      <c r="G2820" s="5">
        <v>81943675</v>
      </c>
      <c r="H2820">
        <v>0</v>
      </c>
      <c r="I2820" s="1">
        <v>3.407417026701451</v>
      </c>
    </row>
    <row r="2821" spans="1:9" x14ac:dyDescent="0.3">
      <c r="A2821" t="s">
        <v>48</v>
      </c>
      <c r="B2821">
        <v>2019</v>
      </c>
      <c r="C2821">
        <v>2</v>
      </c>
      <c r="D2821" t="s">
        <v>10</v>
      </c>
      <c r="E2821">
        <v>20285958</v>
      </c>
      <c r="F2821" s="6">
        <v>48394974398.378311</v>
      </c>
      <c r="G2821" s="5">
        <v>94740745</v>
      </c>
      <c r="H2821">
        <v>544656211</v>
      </c>
      <c r="I2821" s="1">
        <v>510.81479672107616</v>
      </c>
    </row>
    <row r="2822" spans="1:9" x14ac:dyDescent="0.3">
      <c r="A2822" t="s">
        <v>48</v>
      </c>
      <c r="B2822">
        <v>2019</v>
      </c>
      <c r="C2822">
        <v>2</v>
      </c>
      <c r="D2822" t="s">
        <v>11</v>
      </c>
      <c r="E2822">
        <v>13646142</v>
      </c>
      <c r="F2822" s="6">
        <v>4657258459.145545</v>
      </c>
      <c r="G2822" s="5">
        <v>94740745</v>
      </c>
      <c r="H2822">
        <v>544656211</v>
      </c>
      <c r="I2822" s="1">
        <v>49.157925232122096</v>
      </c>
    </row>
    <row r="2823" spans="1:9" x14ac:dyDescent="0.3">
      <c r="A2823" t="s">
        <v>48</v>
      </c>
      <c r="B2823">
        <v>2019</v>
      </c>
      <c r="C2823">
        <v>2</v>
      </c>
      <c r="D2823" t="s">
        <v>9</v>
      </c>
      <c r="E2823">
        <v>12129638</v>
      </c>
      <c r="F2823" s="6">
        <v>3676123279.3800926</v>
      </c>
      <c r="G2823" s="5">
        <v>94740745</v>
      </c>
      <c r="H2823">
        <v>544656211</v>
      </c>
      <c r="I2823" s="1">
        <v>38.801924973041878</v>
      </c>
    </row>
    <row r="2824" spans="1:9" x14ac:dyDescent="0.3">
      <c r="A2824" t="s">
        <v>48</v>
      </c>
      <c r="B2824">
        <v>2019</v>
      </c>
      <c r="C2824">
        <v>2</v>
      </c>
      <c r="D2824" t="s">
        <v>12</v>
      </c>
      <c r="E2824">
        <v>421037</v>
      </c>
      <c r="F2824" s="6">
        <v>45646046.988463171</v>
      </c>
      <c r="G2824" s="5">
        <v>94740745</v>
      </c>
      <c r="H2824">
        <v>544656211</v>
      </c>
      <c r="I2824" s="1">
        <v>0.48179953607566811</v>
      </c>
    </row>
    <row r="2825" spans="1:9" x14ac:dyDescent="0.3">
      <c r="A2825" t="s">
        <v>48</v>
      </c>
      <c r="B2825">
        <v>2019</v>
      </c>
      <c r="C2825">
        <v>2</v>
      </c>
      <c r="D2825" t="s">
        <v>13</v>
      </c>
      <c r="E2825">
        <v>540760</v>
      </c>
      <c r="F2825" s="6">
        <v>331688935.22631323</v>
      </c>
      <c r="G2825" s="5">
        <v>94740745</v>
      </c>
      <c r="H2825">
        <v>544656211</v>
      </c>
      <c r="I2825" s="1">
        <v>3.5010167507793319</v>
      </c>
    </row>
    <row r="2826" spans="1:9" x14ac:dyDescent="0.3">
      <c r="A2826" t="s">
        <v>48</v>
      </c>
      <c r="B2826">
        <v>2019</v>
      </c>
      <c r="C2826">
        <v>3</v>
      </c>
      <c r="D2826" t="s">
        <v>11</v>
      </c>
      <c r="E2826">
        <v>30804036</v>
      </c>
      <c r="F2826" s="6">
        <v>8273187167.0788555</v>
      </c>
      <c r="G2826" s="5">
        <v>106075442</v>
      </c>
      <c r="H2826">
        <v>1942149121</v>
      </c>
      <c r="I2826" s="1">
        <v>77.993426292570675</v>
      </c>
    </row>
    <row r="2827" spans="1:9" x14ac:dyDescent="0.3">
      <c r="A2827" t="s">
        <v>48</v>
      </c>
      <c r="B2827">
        <v>2019</v>
      </c>
      <c r="C2827">
        <v>3</v>
      </c>
      <c r="D2827" t="s">
        <v>10</v>
      </c>
      <c r="E2827">
        <v>21522913</v>
      </c>
      <c r="F2827" s="6">
        <v>57058405341.480957</v>
      </c>
      <c r="G2827" s="5">
        <v>106075442</v>
      </c>
      <c r="H2827">
        <v>1942149121</v>
      </c>
      <c r="I2827" s="1">
        <v>537.90400742785459</v>
      </c>
    </row>
    <row r="2828" spans="1:9" x14ac:dyDescent="0.3">
      <c r="A2828" t="s">
        <v>48</v>
      </c>
      <c r="B2828">
        <v>2019</v>
      </c>
      <c r="C2828">
        <v>3</v>
      </c>
      <c r="D2828" t="s">
        <v>9</v>
      </c>
      <c r="E2828">
        <v>13011501</v>
      </c>
      <c r="F2828" s="6">
        <v>4832486821.8885756</v>
      </c>
      <c r="G2828" s="5">
        <v>106075442</v>
      </c>
      <c r="H2828">
        <v>1942149121</v>
      </c>
      <c r="I2828" s="1">
        <v>45.557074576117017</v>
      </c>
    </row>
    <row r="2829" spans="1:9" x14ac:dyDescent="0.3">
      <c r="A2829" t="s">
        <v>48</v>
      </c>
      <c r="B2829">
        <v>2019</v>
      </c>
      <c r="C2829">
        <v>3</v>
      </c>
      <c r="D2829" t="s">
        <v>12</v>
      </c>
      <c r="E2829">
        <v>558653</v>
      </c>
      <c r="F2829" s="6">
        <v>57054414.835974008</v>
      </c>
      <c r="G2829" s="5">
        <v>106075442</v>
      </c>
      <c r="H2829">
        <v>1942149121</v>
      </c>
      <c r="I2829" s="1">
        <v>0.53786638792392694</v>
      </c>
    </row>
    <row r="2830" spans="1:9" x14ac:dyDescent="0.3">
      <c r="A2830" t="s">
        <v>48</v>
      </c>
      <c r="B2830">
        <v>2019</v>
      </c>
      <c r="C2830">
        <v>3</v>
      </c>
      <c r="D2830" t="s">
        <v>13</v>
      </c>
      <c r="E2830">
        <v>547726</v>
      </c>
      <c r="F2830" s="6">
        <v>319398871.54610711</v>
      </c>
      <c r="G2830" s="5">
        <v>106075442</v>
      </c>
      <c r="H2830">
        <v>1942149121</v>
      </c>
      <c r="I2830" s="1">
        <v>3.0110538831985929</v>
      </c>
    </row>
    <row r="2831" spans="1:9" x14ac:dyDescent="0.3">
      <c r="A2831" t="s">
        <v>48</v>
      </c>
      <c r="B2831">
        <v>2019</v>
      </c>
      <c r="C2831">
        <v>4</v>
      </c>
      <c r="D2831" t="s">
        <v>10</v>
      </c>
      <c r="E2831">
        <v>67037576</v>
      </c>
      <c r="F2831" s="6">
        <v>76593333397.866501</v>
      </c>
      <c r="G2831" s="5">
        <v>119735638</v>
      </c>
      <c r="H2831">
        <v>2687592743</v>
      </c>
      <c r="I2831" s="1">
        <v>639.68701948092098</v>
      </c>
    </row>
    <row r="2832" spans="1:9" x14ac:dyDescent="0.3">
      <c r="A2832" t="s">
        <v>48</v>
      </c>
      <c r="B2832">
        <v>2019</v>
      </c>
      <c r="C2832">
        <v>4</v>
      </c>
      <c r="D2832" t="s">
        <v>9</v>
      </c>
      <c r="E2832">
        <v>14511711</v>
      </c>
      <c r="F2832" s="6">
        <v>4859794689.902503</v>
      </c>
      <c r="G2832" s="5">
        <v>119735638</v>
      </c>
      <c r="H2832">
        <v>2687592743</v>
      </c>
      <c r="I2832" s="1">
        <v>40.587704471934273</v>
      </c>
    </row>
    <row r="2833" spans="1:9" x14ac:dyDescent="0.3">
      <c r="A2833" t="s">
        <v>48</v>
      </c>
      <c r="B2833">
        <v>2019</v>
      </c>
      <c r="C2833">
        <v>4</v>
      </c>
      <c r="D2833" t="s">
        <v>11</v>
      </c>
      <c r="E2833">
        <v>14187744</v>
      </c>
      <c r="F2833" s="6">
        <v>6477138700.8121147</v>
      </c>
      <c r="G2833" s="5">
        <v>119735638</v>
      </c>
      <c r="H2833">
        <v>2687592743</v>
      </c>
      <c r="I2833" s="1">
        <v>54.095328750928061</v>
      </c>
    </row>
    <row r="2834" spans="1:9" x14ac:dyDescent="0.3">
      <c r="A2834" t="s">
        <v>48</v>
      </c>
      <c r="B2834">
        <v>2019</v>
      </c>
      <c r="C2834">
        <v>4</v>
      </c>
      <c r="D2834" t="s">
        <v>12</v>
      </c>
      <c r="E2834">
        <v>653648</v>
      </c>
      <c r="F2834" s="6">
        <v>77047243.729740053</v>
      </c>
      <c r="G2834" s="5">
        <v>119735638</v>
      </c>
      <c r="H2834">
        <v>2687592743</v>
      </c>
      <c r="I2834" s="1">
        <v>0.64347795707857713</v>
      </c>
    </row>
    <row r="2835" spans="1:9" x14ac:dyDescent="0.3">
      <c r="A2835" t="s">
        <v>48</v>
      </c>
      <c r="B2835">
        <v>2019</v>
      </c>
      <c r="C2835">
        <v>4</v>
      </c>
      <c r="D2835" t="s">
        <v>13</v>
      </c>
      <c r="E2835">
        <v>415159</v>
      </c>
      <c r="F2835" s="6">
        <v>196296222.33587587</v>
      </c>
      <c r="G2835" s="5">
        <v>119735638</v>
      </c>
      <c r="H2835">
        <v>2687592743</v>
      </c>
      <c r="I2835" s="1">
        <v>1.6394135080808261</v>
      </c>
    </row>
    <row r="2836" spans="1:9" x14ac:dyDescent="0.3">
      <c r="A2836" t="s">
        <v>48</v>
      </c>
      <c r="B2836">
        <v>2020</v>
      </c>
      <c r="C2836">
        <v>1</v>
      </c>
      <c r="D2836" t="s">
        <v>10</v>
      </c>
      <c r="E2836">
        <v>28457404</v>
      </c>
      <c r="F2836" s="6">
        <v>82770282623.809143</v>
      </c>
      <c r="G2836" s="5">
        <v>131569042</v>
      </c>
      <c r="H2836">
        <v>2277750398</v>
      </c>
      <c r="I2836" s="1">
        <v>629.10150720569311</v>
      </c>
    </row>
    <row r="2837" spans="1:9" x14ac:dyDescent="0.3">
      <c r="A2837" t="s">
        <v>48</v>
      </c>
      <c r="B2837">
        <v>2020</v>
      </c>
      <c r="C2837">
        <v>1</v>
      </c>
      <c r="D2837" t="s">
        <v>11</v>
      </c>
      <c r="E2837">
        <v>19779392</v>
      </c>
      <c r="F2837" s="6">
        <v>8097859088.5199757</v>
      </c>
      <c r="G2837" s="5">
        <v>131569042</v>
      </c>
      <c r="H2837">
        <v>2277750398</v>
      </c>
      <c r="I2837" s="1">
        <v>61.548362482718204</v>
      </c>
    </row>
    <row r="2838" spans="1:9" x14ac:dyDescent="0.3">
      <c r="A2838" t="s">
        <v>48</v>
      </c>
      <c r="B2838">
        <v>2020</v>
      </c>
      <c r="C2838">
        <v>1</v>
      </c>
      <c r="D2838" t="s">
        <v>9</v>
      </c>
      <c r="E2838">
        <v>17448908</v>
      </c>
      <c r="F2838" s="6">
        <v>5550815439.7347879</v>
      </c>
      <c r="G2838" s="5">
        <v>131569042</v>
      </c>
      <c r="H2838">
        <v>2277750398</v>
      </c>
      <c r="I2838" s="1">
        <v>42.189373391764818</v>
      </c>
    </row>
    <row r="2839" spans="1:9" x14ac:dyDescent="0.3">
      <c r="A2839" t="s">
        <v>48</v>
      </c>
      <c r="B2839">
        <v>2020</v>
      </c>
      <c r="C2839">
        <v>1</v>
      </c>
      <c r="D2839" t="s">
        <v>12</v>
      </c>
      <c r="E2839">
        <v>210068</v>
      </c>
      <c r="F2839" s="6">
        <v>58280893.551501192</v>
      </c>
      <c r="G2839" s="5">
        <v>131569042</v>
      </c>
      <c r="H2839">
        <v>2277750398</v>
      </c>
      <c r="I2839" s="1">
        <v>0.44296813798721124</v>
      </c>
    </row>
    <row r="2840" spans="1:9" x14ac:dyDescent="0.3">
      <c r="A2840" t="s">
        <v>48</v>
      </c>
      <c r="B2840">
        <v>2020</v>
      </c>
      <c r="C2840">
        <v>1</v>
      </c>
      <c r="D2840" t="s">
        <v>13</v>
      </c>
      <c r="E2840">
        <v>354609</v>
      </c>
      <c r="F2840" s="6">
        <v>176067145.32277051</v>
      </c>
      <c r="G2840" s="5">
        <v>131569042</v>
      </c>
      <c r="H2840">
        <v>2277750398</v>
      </c>
      <c r="I2840" s="1">
        <v>1.3382110460511714</v>
      </c>
    </row>
    <row r="2841" spans="1:9" x14ac:dyDescent="0.3">
      <c r="A2841" t="s">
        <v>48</v>
      </c>
      <c r="B2841">
        <v>2020</v>
      </c>
      <c r="C2841">
        <v>2</v>
      </c>
      <c r="D2841" t="s">
        <v>10</v>
      </c>
      <c r="E2841">
        <v>24855687</v>
      </c>
      <c r="F2841" s="6">
        <v>84984004330.771805</v>
      </c>
      <c r="G2841" s="5">
        <v>145442242</v>
      </c>
      <c r="H2841">
        <v>2184482652</v>
      </c>
      <c r="I2841" s="1">
        <v>584.31445474260363</v>
      </c>
    </row>
    <row r="2842" spans="1:9" x14ac:dyDescent="0.3">
      <c r="A2842" t="s">
        <v>48</v>
      </c>
      <c r="B2842">
        <v>2020</v>
      </c>
      <c r="C2842">
        <v>2</v>
      </c>
      <c r="D2842" t="s">
        <v>9</v>
      </c>
      <c r="E2842">
        <v>22220012</v>
      </c>
      <c r="F2842" s="6">
        <v>7496845561.8685951</v>
      </c>
      <c r="G2842" s="5">
        <v>145442242</v>
      </c>
      <c r="H2842">
        <v>2184482652</v>
      </c>
      <c r="I2842" s="1">
        <v>51.545173250757472</v>
      </c>
    </row>
    <row r="2843" spans="1:9" x14ac:dyDescent="0.3">
      <c r="A2843" t="s">
        <v>48</v>
      </c>
      <c r="B2843">
        <v>2020</v>
      </c>
      <c r="C2843">
        <v>2</v>
      </c>
      <c r="D2843" t="s">
        <v>11</v>
      </c>
      <c r="E2843">
        <v>10225729</v>
      </c>
      <c r="F2843" s="6">
        <v>7404190137.6690865</v>
      </c>
      <c r="G2843" s="5">
        <v>145442242</v>
      </c>
      <c r="H2843">
        <v>2184482652</v>
      </c>
      <c r="I2843" s="1">
        <v>50.908113322875529</v>
      </c>
    </row>
    <row r="2844" spans="1:9" x14ac:dyDescent="0.3">
      <c r="A2844" t="s">
        <v>48</v>
      </c>
      <c r="B2844">
        <v>2020</v>
      </c>
      <c r="C2844">
        <v>2</v>
      </c>
      <c r="D2844" t="s">
        <v>12</v>
      </c>
      <c r="E2844">
        <v>130595</v>
      </c>
      <c r="F2844" s="6">
        <v>89987205.230904028</v>
      </c>
      <c r="G2844" s="5">
        <v>145442242</v>
      </c>
      <c r="H2844">
        <v>2184482652</v>
      </c>
      <c r="I2844" s="1">
        <v>0.61871437069090307</v>
      </c>
    </row>
    <row r="2845" spans="1:9" x14ac:dyDescent="0.3">
      <c r="A2845" t="s">
        <v>48</v>
      </c>
      <c r="B2845">
        <v>2020</v>
      </c>
      <c r="C2845">
        <v>2</v>
      </c>
      <c r="D2845" t="s">
        <v>13</v>
      </c>
      <c r="E2845">
        <v>244774</v>
      </c>
      <c r="F2845" s="6">
        <v>124404641.81495729</v>
      </c>
      <c r="G2845" s="5">
        <v>145442242</v>
      </c>
      <c r="H2845">
        <v>2184482652</v>
      </c>
      <c r="I2845" s="1">
        <v>0.85535426368741818</v>
      </c>
    </row>
    <row r="2846" spans="1:9" x14ac:dyDescent="0.3">
      <c r="A2846" t="s">
        <v>48</v>
      </c>
      <c r="B2846">
        <v>2020</v>
      </c>
      <c r="C2846">
        <v>3</v>
      </c>
      <c r="D2846" t="s">
        <v>10</v>
      </c>
      <c r="E2846">
        <v>37556349</v>
      </c>
      <c r="F2846" s="6">
        <v>133120676151.84232</v>
      </c>
      <c r="G2846" s="5">
        <v>158932026</v>
      </c>
      <c r="H2846">
        <v>2712103141</v>
      </c>
      <c r="I2846" s="1">
        <v>837.5950367098593</v>
      </c>
    </row>
    <row r="2847" spans="1:9" x14ac:dyDescent="0.3">
      <c r="A2847" t="s">
        <v>48</v>
      </c>
      <c r="B2847">
        <v>2020</v>
      </c>
      <c r="C2847">
        <v>3</v>
      </c>
      <c r="D2847" t="s">
        <v>9</v>
      </c>
      <c r="E2847">
        <v>22284079</v>
      </c>
      <c r="F2847" s="6">
        <v>8768630922.9701614</v>
      </c>
      <c r="G2847" s="5">
        <v>158932026</v>
      </c>
      <c r="H2847">
        <v>2712103141</v>
      </c>
      <c r="I2847" s="1">
        <v>55.172208796798209</v>
      </c>
    </row>
    <row r="2848" spans="1:9" x14ac:dyDescent="0.3">
      <c r="A2848" t="s">
        <v>48</v>
      </c>
      <c r="B2848">
        <v>2020</v>
      </c>
      <c r="C2848">
        <v>3</v>
      </c>
      <c r="D2848" t="s">
        <v>11</v>
      </c>
      <c r="E2848">
        <v>19599024</v>
      </c>
      <c r="F2848" s="6">
        <v>14614394375.389553</v>
      </c>
      <c r="G2848" s="5">
        <v>158932026</v>
      </c>
      <c r="H2848">
        <v>2712103141</v>
      </c>
      <c r="I2848" s="1">
        <v>91.953741125715922</v>
      </c>
    </row>
    <row r="2849" spans="1:9" x14ac:dyDescent="0.3">
      <c r="A2849" t="s">
        <v>48</v>
      </c>
      <c r="B2849">
        <v>2020</v>
      </c>
      <c r="C2849">
        <v>3</v>
      </c>
      <c r="D2849" t="s">
        <v>12</v>
      </c>
      <c r="E2849">
        <v>151996</v>
      </c>
      <c r="F2849" s="6">
        <v>125973420.85650632</v>
      </c>
      <c r="G2849" s="5">
        <v>158932026</v>
      </c>
      <c r="H2849">
        <v>2712103141</v>
      </c>
      <c r="I2849" s="1">
        <v>0.79262452022417629</v>
      </c>
    </row>
    <row r="2850" spans="1:9" x14ac:dyDescent="0.3">
      <c r="A2850" t="s">
        <v>48</v>
      </c>
      <c r="B2850">
        <v>2020</v>
      </c>
      <c r="C2850">
        <v>3</v>
      </c>
      <c r="D2850" t="s">
        <v>13</v>
      </c>
      <c r="E2850">
        <v>363056</v>
      </c>
      <c r="F2850" s="6">
        <v>183680984.08253318</v>
      </c>
      <c r="G2850" s="5">
        <v>158932026</v>
      </c>
      <c r="H2850">
        <v>2712103141</v>
      </c>
      <c r="I2850" s="1">
        <v>1.1557203963569507</v>
      </c>
    </row>
    <row r="2851" spans="1:9" x14ac:dyDescent="0.3">
      <c r="A2851" t="s">
        <v>48</v>
      </c>
      <c r="B2851">
        <v>2020</v>
      </c>
      <c r="C2851">
        <v>4</v>
      </c>
      <c r="D2851" t="s">
        <v>10</v>
      </c>
      <c r="E2851">
        <v>46437233</v>
      </c>
      <c r="F2851" s="6">
        <v>166391874596.30487</v>
      </c>
      <c r="G2851" s="5">
        <v>172283023</v>
      </c>
      <c r="H2851">
        <v>3208941109</v>
      </c>
      <c r="I2851" s="1">
        <v>965.80540379944966</v>
      </c>
    </row>
    <row r="2852" spans="1:9" x14ac:dyDescent="0.3">
      <c r="A2852" t="s">
        <v>48</v>
      </c>
      <c r="B2852">
        <v>2020</v>
      </c>
      <c r="C2852">
        <v>4</v>
      </c>
      <c r="D2852" t="s">
        <v>11</v>
      </c>
      <c r="E2852">
        <v>30077510</v>
      </c>
      <c r="F2852" s="6">
        <v>22241302940.832962</v>
      </c>
      <c r="G2852" s="5">
        <v>172283023</v>
      </c>
      <c r="H2852">
        <v>3208941109</v>
      </c>
      <c r="I2852" s="1">
        <v>129.09747317838136</v>
      </c>
    </row>
    <row r="2853" spans="1:9" x14ac:dyDescent="0.3">
      <c r="A2853" t="s">
        <v>48</v>
      </c>
      <c r="B2853">
        <v>2020</v>
      </c>
      <c r="C2853">
        <v>4</v>
      </c>
      <c r="D2853" t="s">
        <v>9</v>
      </c>
      <c r="E2853">
        <v>23158305</v>
      </c>
      <c r="F2853" s="6">
        <v>10074605883.201237</v>
      </c>
      <c r="G2853" s="5">
        <v>172283023</v>
      </c>
      <c r="H2853">
        <v>3208941109</v>
      </c>
      <c r="I2853" s="1">
        <v>58.477067024771422</v>
      </c>
    </row>
    <row r="2854" spans="1:9" x14ac:dyDescent="0.3">
      <c r="A2854" t="s">
        <v>48</v>
      </c>
      <c r="B2854">
        <v>2020</v>
      </c>
      <c r="C2854">
        <v>4</v>
      </c>
      <c r="D2854" t="s">
        <v>12</v>
      </c>
      <c r="E2854">
        <v>178455</v>
      </c>
      <c r="F2854" s="6">
        <v>164241191.74013621</v>
      </c>
      <c r="G2854" s="5">
        <v>172283023</v>
      </c>
      <c r="H2854">
        <v>3208941109</v>
      </c>
      <c r="I2854" s="1">
        <v>0.95332197496985072</v>
      </c>
    </row>
    <row r="2855" spans="1:9" x14ac:dyDescent="0.3">
      <c r="A2855" t="s">
        <v>48</v>
      </c>
      <c r="B2855">
        <v>2020</v>
      </c>
      <c r="C2855">
        <v>4</v>
      </c>
      <c r="D2855" t="s">
        <v>13</v>
      </c>
      <c r="E2855">
        <v>489142</v>
      </c>
      <c r="F2855" s="6">
        <v>293466753.56894124</v>
      </c>
      <c r="G2855" s="5">
        <v>172283023</v>
      </c>
      <c r="H2855">
        <v>3208941109</v>
      </c>
      <c r="I2855" s="1">
        <v>1.703399142055577</v>
      </c>
    </row>
    <row r="2856" spans="1:9" x14ac:dyDescent="0.3">
      <c r="A2856" t="s">
        <v>48</v>
      </c>
      <c r="B2856">
        <v>2021</v>
      </c>
      <c r="C2856">
        <v>1</v>
      </c>
      <c r="D2856" t="s">
        <v>10</v>
      </c>
      <c r="E2856">
        <v>53869075</v>
      </c>
      <c r="F2856" s="6">
        <v>202240249482.85385</v>
      </c>
      <c r="G2856" s="5">
        <v>184896789</v>
      </c>
      <c r="H2856">
        <v>3485159414</v>
      </c>
      <c r="I2856" s="1">
        <v>1093.8007662364209</v>
      </c>
    </row>
    <row r="2857" spans="1:9" x14ac:dyDescent="0.3">
      <c r="A2857" t="s">
        <v>48</v>
      </c>
      <c r="B2857">
        <v>2021</v>
      </c>
      <c r="C2857">
        <v>1</v>
      </c>
      <c r="D2857" t="s">
        <v>11</v>
      </c>
      <c r="E2857">
        <v>37143701</v>
      </c>
      <c r="F2857" s="6">
        <v>28918343691.018497</v>
      </c>
      <c r="G2857" s="5">
        <v>184896789</v>
      </c>
      <c r="H2857">
        <v>3485159414</v>
      </c>
      <c r="I2857" s="1">
        <v>156.40262790620176</v>
      </c>
    </row>
    <row r="2858" spans="1:9" x14ac:dyDescent="0.3">
      <c r="A2858" t="s">
        <v>48</v>
      </c>
      <c r="B2858">
        <v>2021</v>
      </c>
      <c r="C2858">
        <v>1</v>
      </c>
      <c r="D2858" t="s">
        <v>9</v>
      </c>
      <c r="E2858">
        <v>26673733</v>
      </c>
      <c r="F2858" s="6">
        <v>11339665944.69124</v>
      </c>
      <c r="G2858" s="5">
        <v>184896789</v>
      </c>
      <c r="H2858">
        <v>3485159414</v>
      </c>
      <c r="I2858" s="1">
        <v>61.329707270856069</v>
      </c>
    </row>
    <row r="2859" spans="1:9" x14ac:dyDescent="0.3">
      <c r="A2859" t="s">
        <v>48</v>
      </c>
      <c r="B2859">
        <v>2021</v>
      </c>
      <c r="C2859">
        <v>1</v>
      </c>
      <c r="D2859" t="s">
        <v>12</v>
      </c>
      <c r="E2859">
        <v>166727</v>
      </c>
      <c r="F2859" s="6">
        <v>175445811.88444334</v>
      </c>
      <c r="G2859" s="5">
        <v>184896789</v>
      </c>
      <c r="H2859">
        <v>3485159414</v>
      </c>
      <c r="I2859" s="1">
        <v>0.94888512036000439</v>
      </c>
    </row>
    <row r="2860" spans="1:9" x14ac:dyDescent="0.3">
      <c r="A2860" t="s">
        <v>48</v>
      </c>
      <c r="B2860">
        <v>2021</v>
      </c>
      <c r="C2860">
        <v>1</v>
      </c>
      <c r="D2860" t="s">
        <v>13</v>
      </c>
      <c r="E2860">
        <v>400816</v>
      </c>
      <c r="F2860" s="6">
        <v>263502545.07389978</v>
      </c>
      <c r="G2860" s="5">
        <v>184896789</v>
      </c>
      <c r="H2860">
        <v>3485159414</v>
      </c>
      <c r="I2860" s="1">
        <v>1.4251331594184677</v>
      </c>
    </row>
    <row r="2861" spans="1:9" x14ac:dyDescent="0.3">
      <c r="A2861" t="s">
        <v>48</v>
      </c>
      <c r="B2861">
        <v>2021</v>
      </c>
      <c r="C2861">
        <v>2</v>
      </c>
      <c r="D2861" t="s">
        <v>10</v>
      </c>
      <c r="E2861">
        <v>64661051</v>
      </c>
      <c r="F2861" s="6">
        <v>230812278789.29965</v>
      </c>
      <c r="G2861" s="5">
        <v>197779769</v>
      </c>
      <c r="H2861">
        <v>3028756126</v>
      </c>
      <c r="I2861" s="1">
        <v>1167.0166264037837</v>
      </c>
    </row>
    <row r="2862" spans="1:9" x14ac:dyDescent="0.3">
      <c r="A2862" t="s">
        <v>48</v>
      </c>
      <c r="B2862">
        <v>2021</v>
      </c>
      <c r="C2862">
        <v>2</v>
      </c>
      <c r="D2862" t="s">
        <v>11</v>
      </c>
      <c r="E2862">
        <v>41696787</v>
      </c>
      <c r="F2862" s="6">
        <v>34787867208.319321</v>
      </c>
      <c r="G2862" s="5">
        <v>197779769</v>
      </c>
      <c r="H2862">
        <v>3028756126</v>
      </c>
      <c r="I2862" s="1">
        <v>175.89193972776519</v>
      </c>
    </row>
    <row r="2863" spans="1:9" x14ac:dyDescent="0.3">
      <c r="A2863" t="s">
        <v>48</v>
      </c>
      <c r="B2863">
        <v>2021</v>
      </c>
      <c r="C2863">
        <v>2</v>
      </c>
      <c r="D2863" t="s">
        <v>9</v>
      </c>
      <c r="E2863">
        <v>34799709</v>
      </c>
      <c r="F2863" s="6">
        <v>13331453857.609217</v>
      </c>
      <c r="G2863" s="5">
        <v>197779769</v>
      </c>
      <c r="H2863">
        <v>3028756126</v>
      </c>
      <c r="I2863" s="1">
        <v>67.405548732384332</v>
      </c>
    </row>
    <row r="2864" spans="1:9" x14ac:dyDescent="0.3">
      <c r="A2864" t="s">
        <v>48</v>
      </c>
      <c r="B2864">
        <v>2021</v>
      </c>
      <c r="C2864">
        <v>2</v>
      </c>
      <c r="D2864" t="s">
        <v>12</v>
      </c>
      <c r="E2864">
        <v>190537</v>
      </c>
      <c r="F2864" s="6">
        <v>186466487.63076341</v>
      </c>
      <c r="G2864" s="5">
        <v>197779769</v>
      </c>
      <c r="H2864">
        <v>3028756126</v>
      </c>
      <c r="I2864" s="1">
        <v>0.94279859145129963</v>
      </c>
    </row>
    <row r="2865" spans="1:9" x14ac:dyDescent="0.3">
      <c r="A2865" t="s">
        <v>48</v>
      </c>
      <c r="B2865">
        <v>2021</v>
      </c>
      <c r="C2865">
        <v>2</v>
      </c>
      <c r="D2865" t="s">
        <v>13</v>
      </c>
      <c r="E2865">
        <v>549353</v>
      </c>
      <c r="F2865" s="6">
        <v>316744715.70498472</v>
      </c>
      <c r="G2865" s="5">
        <v>197779769</v>
      </c>
      <c r="H2865">
        <v>3028756126</v>
      </c>
      <c r="I2865" s="1">
        <v>1.601502101587472</v>
      </c>
    </row>
    <row r="2866" spans="1:9" x14ac:dyDescent="0.3">
      <c r="A2866" t="s">
        <v>48</v>
      </c>
      <c r="B2866">
        <v>2021</v>
      </c>
      <c r="C2866">
        <v>3</v>
      </c>
      <c r="D2866" t="s">
        <v>10</v>
      </c>
      <c r="E2866">
        <v>84353949</v>
      </c>
      <c r="F2866" s="6">
        <v>294799731350.55359</v>
      </c>
      <c r="G2866" s="5">
        <v>212556058</v>
      </c>
      <c r="H2866">
        <v>3834475326</v>
      </c>
      <c r="I2866" s="1">
        <v>1386.9269788140011</v>
      </c>
    </row>
    <row r="2867" spans="1:9" x14ac:dyDescent="0.3">
      <c r="A2867" t="s">
        <v>48</v>
      </c>
      <c r="B2867">
        <v>2021</v>
      </c>
      <c r="C2867">
        <v>3</v>
      </c>
      <c r="D2867" t="s">
        <v>11</v>
      </c>
      <c r="E2867">
        <v>58800005</v>
      </c>
      <c r="F2867" s="6">
        <v>50971169851.156677</v>
      </c>
      <c r="G2867" s="5">
        <v>212556058</v>
      </c>
      <c r="H2867">
        <v>3834475326</v>
      </c>
      <c r="I2867" s="1">
        <v>239.8010686251844</v>
      </c>
    </row>
    <row r="2868" spans="1:9" x14ac:dyDescent="0.3">
      <c r="A2868" t="s">
        <v>48</v>
      </c>
      <c r="B2868">
        <v>2021</v>
      </c>
      <c r="C2868">
        <v>3</v>
      </c>
      <c r="D2868" t="s">
        <v>9</v>
      </c>
      <c r="E2868">
        <v>37556310</v>
      </c>
      <c r="F2868" s="6">
        <v>16045754099.005053</v>
      </c>
      <c r="G2868" s="5">
        <v>212556058</v>
      </c>
      <c r="H2868">
        <v>3834475326</v>
      </c>
      <c r="I2868" s="1">
        <v>75.489516742002493</v>
      </c>
    </row>
    <row r="2869" spans="1:9" x14ac:dyDescent="0.3">
      <c r="A2869" t="s">
        <v>48</v>
      </c>
      <c r="B2869">
        <v>2021</v>
      </c>
      <c r="C2869">
        <v>3</v>
      </c>
      <c r="D2869" t="s">
        <v>12</v>
      </c>
      <c r="E2869">
        <v>189087</v>
      </c>
      <c r="F2869" s="6">
        <v>213411736.37376124</v>
      </c>
      <c r="G2869" s="5">
        <v>212556058</v>
      </c>
      <c r="H2869">
        <v>3834475326</v>
      </c>
      <c r="I2869" s="1">
        <v>1.0040256597803543</v>
      </c>
    </row>
    <row r="2870" spans="1:9" x14ac:dyDescent="0.3">
      <c r="A2870" t="s">
        <v>48</v>
      </c>
      <c r="B2870">
        <v>2021</v>
      </c>
      <c r="C2870">
        <v>3</v>
      </c>
      <c r="D2870" t="s">
        <v>13</v>
      </c>
      <c r="E2870">
        <v>813637</v>
      </c>
      <c r="F2870" s="6">
        <v>426999219.42323273</v>
      </c>
      <c r="G2870" s="5">
        <v>212556058</v>
      </c>
      <c r="H2870">
        <v>3834475326</v>
      </c>
      <c r="I2870" s="1">
        <v>2.0088781446221247</v>
      </c>
    </row>
    <row r="2871" spans="1:9" x14ac:dyDescent="0.3">
      <c r="A2871" t="s">
        <v>48</v>
      </c>
      <c r="B2871">
        <v>2021</v>
      </c>
      <c r="C2871">
        <v>4</v>
      </c>
      <c r="D2871" t="s">
        <v>10</v>
      </c>
      <c r="E2871">
        <v>105728377</v>
      </c>
      <c r="F2871" s="6">
        <v>372240891205.5542</v>
      </c>
      <c r="G2871" s="5">
        <v>227089797</v>
      </c>
      <c r="H2871">
        <v>5635694229</v>
      </c>
      <c r="I2871" s="1">
        <v>1639.1792855649705</v>
      </c>
    </row>
    <row r="2872" spans="1:9" x14ac:dyDescent="0.3">
      <c r="A2872" t="s">
        <v>48</v>
      </c>
      <c r="B2872">
        <v>2021</v>
      </c>
      <c r="C2872">
        <v>4</v>
      </c>
      <c r="D2872" t="s">
        <v>11</v>
      </c>
      <c r="E2872">
        <v>80248673</v>
      </c>
      <c r="F2872" s="6">
        <v>71231577538.711395</v>
      </c>
      <c r="G2872" s="5">
        <v>227089797</v>
      </c>
      <c r="H2872">
        <v>5635694229</v>
      </c>
      <c r="I2872" s="1">
        <v>313.67141315781527</v>
      </c>
    </row>
    <row r="2873" spans="1:9" x14ac:dyDescent="0.3">
      <c r="A2873" t="s">
        <v>48</v>
      </c>
      <c r="B2873">
        <v>2021</v>
      </c>
      <c r="C2873">
        <v>4</v>
      </c>
      <c r="D2873" t="s">
        <v>9</v>
      </c>
      <c r="E2873">
        <v>37801439</v>
      </c>
      <c r="F2873" s="6">
        <v>17813903244.663807</v>
      </c>
      <c r="G2873" s="5">
        <v>227089797</v>
      </c>
      <c r="H2873">
        <v>5635694229</v>
      </c>
      <c r="I2873" s="1">
        <v>78.444313571092792</v>
      </c>
    </row>
    <row r="2874" spans="1:9" x14ac:dyDescent="0.3">
      <c r="A2874" t="s">
        <v>48</v>
      </c>
      <c r="B2874">
        <v>2021</v>
      </c>
      <c r="C2874">
        <v>4</v>
      </c>
      <c r="D2874" t="s">
        <v>12</v>
      </c>
      <c r="E2874">
        <v>252535</v>
      </c>
      <c r="F2874" s="6">
        <v>270791056.67414302</v>
      </c>
      <c r="G2874" s="5">
        <v>227089797</v>
      </c>
      <c r="H2874">
        <v>5635694229</v>
      </c>
      <c r="I2874" s="1">
        <v>1.1924404365650254</v>
      </c>
    </row>
    <row r="2875" spans="1:9" x14ac:dyDescent="0.3">
      <c r="A2875" t="s">
        <v>48</v>
      </c>
      <c r="B2875">
        <v>2021</v>
      </c>
      <c r="C2875">
        <v>4</v>
      </c>
      <c r="D2875" t="s">
        <v>13</v>
      </c>
      <c r="E2875">
        <v>998536</v>
      </c>
      <c r="F2875" s="6">
        <v>660874216.49347425</v>
      </c>
      <c r="G2875" s="5">
        <v>227089797</v>
      </c>
      <c r="H2875">
        <v>5635694229</v>
      </c>
      <c r="I2875" s="1">
        <v>2.9101889438629169</v>
      </c>
    </row>
  </sheetData>
  <pageMargins left="0.7" right="0.7" top="0.75" bottom="0.75" header="0.3" footer="0.3"/>
  <tableParts count="5">
    <tablePart r:id="rId1"/>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F66FD5-D473-43C2-9B2A-97C88492F9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vt:lpstr>
      <vt:lpstr>Raw</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lishanshu dewangan</dc:creator>
  <cp:lastModifiedBy>lishanshu dewangan</cp:lastModifiedBy>
  <dcterms:created xsi:type="dcterms:W3CDTF">2026-07-21T12:29:32Z</dcterms:created>
  <dcterms:modified xsi:type="dcterms:W3CDTF">2026-07-30T06:56:22Z</dcterms:modified>
</cp:coreProperties>
</file>